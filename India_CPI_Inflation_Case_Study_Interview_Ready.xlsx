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8.xml" ContentType="application/vnd.openxmlformats-officedocument.drawingml.chart+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drawings/drawing6.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8.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20.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nia\Downloads\INTERVIEW MATERIAL\project\"/>
    </mc:Choice>
  </mc:AlternateContent>
  <xr:revisionPtr revIDLastSave="0" documentId="13_ncr:1_{2E56A25C-1C13-44BC-A612-DB1D3D1357A6}" xr6:coauthVersionLast="47" xr6:coauthVersionMax="47" xr10:uidLastSave="{00000000-0000-0000-0000-000000000000}"/>
  <bookViews>
    <workbookView xWindow="-120" yWindow="-120" windowWidth="20730" windowHeight="11040" firstSheet="4" activeTab="8" xr2:uid="{00000000-000D-0000-FFFF-FFFF00000000}"/>
  </bookViews>
  <sheets>
    <sheet name="Dashboard" sheetId="1" r:id="rId1"/>
    <sheet name="Project Guide" sheetId="2" r:id="rId2"/>
    <sheet name="Raw Data" sheetId="3" r:id="rId3"/>
    <sheet name="Clean Data" sheetId="4" r:id="rId4"/>
    <sheet name="Data Quality Check" sheetId="5" r:id="rId5"/>
    <sheet name="Category Mapping" sheetId="6" r:id="rId6"/>
    <sheet name="Q1 Analysis" sheetId="7" r:id="rId7"/>
    <sheet name="Q1 Calculation" sheetId="8" r:id="rId8"/>
    <sheet name="Q1 Contribution" sheetId="9" r:id="rId9"/>
    <sheet name="Q1 Pivot" sheetId="10" r:id="rId10"/>
    <sheet name="Q1 Visualization" sheetId="11" r:id="rId11"/>
    <sheet name="Q2 Calculation" sheetId="12" r:id="rId12"/>
    <sheet name="Q2 Monthly Data" sheetId="13" r:id="rId13"/>
    <sheet name="Q2 Visualization" sheetId="14" r:id="rId14"/>
    <sheet name="Q2 Research" sheetId="15" r:id="rId15"/>
    <sheet name="Q3 Calculation" sheetId="16" r:id="rId16"/>
    <sheet name="Q3 Pivot" sheetId="17" r:id="rId17"/>
    <sheet name="Q3 Visualization" sheetId="18" r:id="rId18"/>
    <sheet name="Q4 Calculation" sheetId="19" r:id="rId19"/>
    <sheet name="Q4 Pivot" sheetId="20" r:id="rId20"/>
    <sheet name="Q4 Visualization" sheetId="21" r:id="rId21"/>
    <sheet name="Q4 Research" sheetId="22" r:id="rId22"/>
    <sheet name="Q5 Oil Data" sheetId="23" r:id="rId23"/>
    <sheet name="Q5 Calculation" sheetId="24" r:id="rId24"/>
    <sheet name="Q5 Pivot" sheetId="25" r:id="rId25"/>
    <sheet name="Q5 Visualization" sheetId="26" r:id="rId26"/>
    <sheet name="Sheet1" sheetId="28" r:id="rId27"/>
    <sheet name="Q5 Research" sheetId="27" r:id="rId28"/>
  </sheets>
  <definedNames>
    <definedName name="_xlnm._FilterDatabase" localSheetId="11" hidden="1">'Q2 Calculation'!$A$12:$G$20</definedName>
    <definedName name="_xlnm._FilterDatabase" localSheetId="12" hidden="1">'Q2 Monthly Data'!$A$1:$D$126</definedName>
    <definedName name="_xlnm._FilterDatabase" localSheetId="22" hidden="1">'Q5 Oil Data'!$A$1:$G$51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4" l="1"/>
  <c r="E7" i="24"/>
  <c r="L20" i="19"/>
  <c r="K20" i="19"/>
  <c r="J20" i="19"/>
  <c r="I8" i="19"/>
  <c r="I12" i="19"/>
  <c r="I41" i="19"/>
  <c r="C41" i="16"/>
  <c r="O12" i="16"/>
  <c r="P13" i="16" s="1"/>
  <c r="B41" i="16"/>
  <c r="O13" i="16"/>
  <c r="Q13" i="16" s="1"/>
  <c r="D14" i="12"/>
  <c r="E15" i="12"/>
  <c r="E7" i="8"/>
  <c r="D8" i="8"/>
  <c r="D7" i="8"/>
  <c r="B15" i="7"/>
  <c r="D12" i="8"/>
  <c r="B7" i="26"/>
  <c r="F7" i="24"/>
  <c r="B33" i="26"/>
  <c r="A33" i="26"/>
  <c r="B32" i="26"/>
  <c r="A32" i="26"/>
  <c r="H31" i="26"/>
  <c r="B31" i="26"/>
  <c r="A31" i="26"/>
  <c r="H30" i="26"/>
  <c r="B30" i="26"/>
  <c r="A30" i="26"/>
  <c r="H29" i="26"/>
  <c r="B29" i="26"/>
  <c r="A29" i="26"/>
  <c r="H28" i="26"/>
  <c r="B28" i="26"/>
  <c r="A28" i="26"/>
  <c r="H27" i="26"/>
  <c r="B27" i="26"/>
  <c r="A27" i="26"/>
  <c r="H26" i="26"/>
  <c r="B26" i="26"/>
  <c r="A26" i="26"/>
  <c r="H25" i="26"/>
  <c r="B25" i="26"/>
  <c r="A25" i="26"/>
  <c r="H24" i="26"/>
  <c r="B24" i="26"/>
  <c r="A24" i="26"/>
  <c r="H23" i="26"/>
  <c r="B23" i="26"/>
  <c r="A23" i="26"/>
  <c r="H22" i="26"/>
  <c r="B22" i="26"/>
  <c r="A22" i="26"/>
  <c r="H21" i="26"/>
  <c r="B21" i="26"/>
  <c r="A21" i="26"/>
  <c r="H20" i="26"/>
  <c r="B20" i="26"/>
  <c r="A20" i="26"/>
  <c r="H19" i="26"/>
  <c r="B19" i="26"/>
  <c r="A19" i="26"/>
  <c r="H18" i="26"/>
  <c r="B18" i="26"/>
  <c r="A18" i="26"/>
  <c r="H17" i="26"/>
  <c r="B17" i="26"/>
  <c r="A17" i="26"/>
  <c r="H16" i="26"/>
  <c r="B16" i="26"/>
  <c r="A16" i="26"/>
  <c r="H15" i="26"/>
  <c r="B15" i="26"/>
  <c r="A15" i="26"/>
  <c r="H14" i="26"/>
  <c r="B14" i="26"/>
  <c r="A14" i="26"/>
  <c r="H13" i="26"/>
  <c r="B13" i="26"/>
  <c r="A13" i="26"/>
  <c r="H12" i="26"/>
  <c r="B12" i="26"/>
  <c r="A12" i="26"/>
  <c r="H11" i="26"/>
  <c r="B11" i="26"/>
  <c r="A11" i="26"/>
  <c r="H10" i="26"/>
  <c r="B10" i="26"/>
  <c r="A10" i="26"/>
  <c r="H9" i="26"/>
  <c r="B9" i="26"/>
  <c r="A9" i="26"/>
  <c r="H8" i="26"/>
  <c r="B8" i="26"/>
  <c r="A8" i="26"/>
  <c r="H7" i="26"/>
  <c r="A7" i="26"/>
  <c r="H6" i="26"/>
  <c r="B6" i="26"/>
  <c r="A6" i="26"/>
  <c r="H5" i="26"/>
  <c r="B5" i="26"/>
  <c r="A5" i="26"/>
  <c r="B7" i="25"/>
  <c r="B6" i="25"/>
  <c r="B5" i="25"/>
  <c r="AF35" i="24"/>
  <c r="AE35" i="24"/>
  <c r="AD35" i="24"/>
  <c r="AC35" i="24"/>
  <c r="AB35" i="24"/>
  <c r="AA35" i="24"/>
  <c r="F33" i="26" s="1"/>
  <c r="Z35" i="24"/>
  <c r="Y35" i="24"/>
  <c r="X35" i="24"/>
  <c r="E33" i="26" s="1"/>
  <c r="W35" i="24"/>
  <c r="V35" i="24"/>
  <c r="U35" i="24"/>
  <c r="T35" i="24"/>
  <c r="S35" i="24"/>
  <c r="R35" i="24"/>
  <c r="D33" i="26" s="1"/>
  <c r="Q35" i="24"/>
  <c r="P35" i="24"/>
  <c r="O35" i="24"/>
  <c r="N35" i="24"/>
  <c r="M35" i="24"/>
  <c r="L35" i="24"/>
  <c r="K35" i="24"/>
  <c r="J35" i="24"/>
  <c r="I35" i="24"/>
  <c r="H35" i="24"/>
  <c r="G35" i="24"/>
  <c r="F35" i="24"/>
  <c r="E35" i="24"/>
  <c r="C33" i="26" s="1"/>
  <c r="AF34" i="24"/>
  <c r="AE34" i="24"/>
  <c r="AD34" i="24"/>
  <c r="AC34" i="24"/>
  <c r="AB34" i="24"/>
  <c r="AA34" i="24"/>
  <c r="F32" i="26" s="1"/>
  <c r="Z34" i="24"/>
  <c r="Y34" i="24"/>
  <c r="X34" i="24"/>
  <c r="E32" i="26" s="1"/>
  <c r="W34" i="24"/>
  <c r="V34" i="24"/>
  <c r="U34" i="24"/>
  <c r="T34" i="24"/>
  <c r="S34" i="24"/>
  <c r="R34" i="24"/>
  <c r="D32" i="26" s="1"/>
  <c r="Q34" i="24"/>
  <c r="P34" i="24"/>
  <c r="O34" i="24"/>
  <c r="N34" i="24"/>
  <c r="M34" i="24"/>
  <c r="L34" i="24"/>
  <c r="K34" i="24"/>
  <c r="J34" i="24"/>
  <c r="I34" i="24"/>
  <c r="H34" i="24"/>
  <c r="G34" i="24"/>
  <c r="F34" i="24"/>
  <c r="E34" i="24"/>
  <c r="C32" i="26" s="1"/>
  <c r="AF33" i="24"/>
  <c r="AE33" i="24"/>
  <c r="AD33" i="24"/>
  <c r="AC33" i="24"/>
  <c r="AB33" i="24"/>
  <c r="AA33" i="24"/>
  <c r="F31" i="26" s="1"/>
  <c r="Z33" i="24"/>
  <c r="Y33" i="24"/>
  <c r="X33" i="24"/>
  <c r="E31" i="26" s="1"/>
  <c r="W33" i="24"/>
  <c r="V33" i="24"/>
  <c r="U33" i="24"/>
  <c r="T33" i="24"/>
  <c r="S33" i="24"/>
  <c r="R33" i="24"/>
  <c r="D31" i="26" s="1"/>
  <c r="Q33" i="24"/>
  <c r="P33" i="24"/>
  <c r="O33" i="24"/>
  <c r="N33" i="24"/>
  <c r="M33" i="24"/>
  <c r="L33" i="24"/>
  <c r="K33" i="24"/>
  <c r="J33" i="24"/>
  <c r="I33" i="24"/>
  <c r="H33" i="24"/>
  <c r="G33" i="24"/>
  <c r="F33" i="24"/>
  <c r="E33" i="24"/>
  <c r="C31" i="26" s="1"/>
  <c r="AF32" i="24"/>
  <c r="AE32" i="24"/>
  <c r="AD32" i="24"/>
  <c r="AC32" i="24"/>
  <c r="AB32" i="24"/>
  <c r="AA32" i="24"/>
  <c r="F30" i="26" s="1"/>
  <c r="Z32" i="24"/>
  <c r="Y32" i="24"/>
  <c r="X32" i="24"/>
  <c r="E30" i="26" s="1"/>
  <c r="W32" i="24"/>
  <c r="V32" i="24"/>
  <c r="U32" i="24"/>
  <c r="T32" i="24"/>
  <c r="S32" i="24"/>
  <c r="R32" i="24"/>
  <c r="D30" i="26" s="1"/>
  <c r="Q32" i="24"/>
  <c r="P32" i="24"/>
  <c r="O32" i="24"/>
  <c r="N32" i="24"/>
  <c r="M32" i="24"/>
  <c r="L32" i="24"/>
  <c r="K32" i="24"/>
  <c r="J32" i="24"/>
  <c r="I32" i="24"/>
  <c r="H32" i="24"/>
  <c r="G32" i="24"/>
  <c r="F32" i="24"/>
  <c r="E32" i="24"/>
  <c r="C30" i="26" s="1"/>
  <c r="AF31" i="24"/>
  <c r="AE31" i="24"/>
  <c r="AD31" i="24"/>
  <c r="AC31" i="24"/>
  <c r="AB31" i="24"/>
  <c r="AA31" i="24"/>
  <c r="Z31" i="24"/>
  <c r="Y31" i="24"/>
  <c r="X31" i="24"/>
  <c r="W31" i="24"/>
  <c r="V31" i="24"/>
  <c r="U31" i="24"/>
  <c r="T31" i="24"/>
  <c r="S31" i="24"/>
  <c r="R31" i="24"/>
  <c r="Q31" i="24"/>
  <c r="P31" i="24"/>
  <c r="O31" i="24"/>
  <c r="N31" i="24"/>
  <c r="M31" i="24"/>
  <c r="L31" i="24"/>
  <c r="K31" i="24"/>
  <c r="J31" i="24"/>
  <c r="I31" i="24"/>
  <c r="H31" i="24"/>
  <c r="G31" i="24"/>
  <c r="F31" i="24"/>
  <c r="E31" i="24"/>
  <c r="C29" i="26" s="1"/>
  <c r="AF30" i="24"/>
  <c r="AE30" i="24"/>
  <c r="AD30" i="24"/>
  <c r="AC30" i="24"/>
  <c r="AB30" i="24"/>
  <c r="AA30" i="24"/>
  <c r="F28" i="26" s="1"/>
  <c r="Z30" i="24"/>
  <c r="Y30" i="24"/>
  <c r="X30" i="24"/>
  <c r="E28" i="26" s="1"/>
  <c r="W30" i="24"/>
  <c r="V30" i="24"/>
  <c r="U30" i="24"/>
  <c r="T30" i="24"/>
  <c r="S30" i="24"/>
  <c r="R30" i="24"/>
  <c r="D28" i="26" s="1"/>
  <c r="Q30" i="24"/>
  <c r="P30" i="24"/>
  <c r="O30" i="24"/>
  <c r="N30" i="24"/>
  <c r="M30" i="24"/>
  <c r="L30" i="24"/>
  <c r="K30" i="24"/>
  <c r="J30" i="24"/>
  <c r="I30" i="24"/>
  <c r="H30" i="24"/>
  <c r="G30" i="24"/>
  <c r="F30" i="24"/>
  <c r="E30" i="24"/>
  <c r="C28" i="26" s="1"/>
  <c r="AF29" i="24"/>
  <c r="AE29" i="24"/>
  <c r="AD29" i="24"/>
  <c r="AC29" i="24"/>
  <c r="AB29" i="24"/>
  <c r="AA29" i="24"/>
  <c r="F27" i="26" s="1"/>
  <c r="Z29" i="24"/>
  <c r="Y29" i="24"/>
  <c r="X29" i="24"/>
  <c r="E27" i="26" s="1"/>
  <c r="W29" i="24"/>
  <c r="V29" i="24"/>
  <c r="U29" i="24"/>
  <c r="T29" i="24"/>
  <c r="S29" i="24"/>
  <c r="R29" i="24"/>
  <c r="D27" i="26" s="1"/>
  <c r="Q29" i="24"/>
  <c r="P29" i="24"/>
  <c r="O29" i="24"/>
  <c r="N29" i="24"/>
  <c r="M29" i="24"/>
  <c r="L29" i="24"/>
  <c r="K29" i="24"/>
  <c r="J29" i="24"/>
  <c r="I29" i="24"/>
  <c r="H29" i="24"/>
  <c r="G29" i="24"/>
  <c r="F29" i="24"/>
  <c r="E29" i="24"/>
  <c r="C27" i="26" s="1"/>
  <c r="AF28" i="24"/>
  <c r="AE28" i="24"/>
  <c r="AD28" i="24"/>
  <c r="AC28" i="24"/>
  <c r="AB28" i="24"/>
  <c r="AA28" i="24"/>
  <c r="F26" i="26" s="1"/>
  <c r="Z28" i="24"/>
  <c r="Y28" i="24"/>
  <c r="X28" i="24"/>
  <c r="E26" i="26" s="1"/>
  <c r="W28" i="24"/>
  <c r="V28" i="24"/>
  <c r="U28" i="24"/>
  <c r="T28" i="24"/>
  <c r="S28" i="24"/>
  <c r="R28" i="24"/>
  <c r="D26" i="26" s="1"/>
  <c r="Q28" i="24"/>
  <c r="P28" i="24"/>
  <c r="O28" i="24"/>
  <c r="N28" i="24"/>
  <c r="M28" i="24"/>
  <c r="L28" i="24"/>
  <c r="K28" i="24"/>
  <c r="J28" i="24"/>
  <c r="I28" i="24"/>
  <c r="H28" i="24"/>
  <c r="G28" i="24"/>
  <c r="F28" i="24"/>
  <c r="E28" i="24"/>
  <c r="C26" i="26" s="1"/>
  <c r="AF27" i="24"/>
  <c r="AE27" i="24"/>
  <c r="AD27" i="24"/>
  <c r="AC27" i="24"/>
  <c r="AB27" i="24"/>
  <c r="AA27" i="24"/>
  <c r="F25" i="26" s="1"/>
  <c r="Z27" i="24"/>
  <c r="Y27" i="24"/>
  <c r="X27" i="24"/>
  <c r="E25" i="26" s="1"/>
  <c r="W27" i="24"/>
  <c r="V27" i="24"/>
  <c r="U27" i="24"/>
  <c r="T27" i="24"/>
  <c r="S27" i="24"/>
  <c r="R27" i="24"/>
  <c r="D25" i="26" s="1"/>
  <c r="Q27" i="24"/>
  <c r="P27" i="24"/>
  <c r="O27" i="24"/>
  <c r="N27" i="24"/>
  <c r="M27" i="24"/>
  <c r="L27" i="24"/>
  <c r="K27" i="24"/>
  <c r="J27" i="24"/>
  <c r="I27" i="24"/>
  <c r="H27" i="24"/>
  <c r="G27" i="24"/>
  <c r="F27" i="24"/>
  <c r="E27" i="24"/>
  <c r="C25" i="26" s="1"/>
  <c r="AF26" i="24"/>
  <c r="AE26" i="24"/>
  <c r="AD26" i="24"/>
  <c r="AC26" i="24"/>
  <c r="AB26" i="24"/>
  <c r="AA26" i="24"/>
  <c r="F24" i="26" s="1"/>
  <c r="Z26" i="24"/>
  <c r="Y26" i="24"/>
  <c r="X26" i="24"/>
  <c r="E24" i="26" s="1"/>
  <c r="W26" i="24"/>
  <c r="V26" i="24"/>
  <c r="U26" i="24"/>
  <c r="T26" i="24"/>
  <c r="S26" i="24"/>
  <c r="R26" i="24"/>
  <c r="D24" i="26" s="1"/>
  <c r="Q26" i="24"/>
  <c r="P26" i="24"/>
  <c r="O26" i="24"/>
  <c r="N26" i="24"/>
  <c r="M26" i="24"/>
  <c r="L26" i="24"/>
  <c r="K26" i="24"/>
  <c r="J26" i="24"/>
  <c r="I26" i="24"/>
  <c r="H26" i="24"/>
  <c r="G26" i="24"/>
  <c r="F26" i="24"/>
  <c r="E26" i="24"/>
  <c r="C24" i="26" s="1"/>
  <c r="AF25" i="24"/>
  <c r="AE25" i="24"/>
  <c r="AD25" i="24"/>
  <c r="AC25" i="24"/>
  <c r="AB25" i="24"/>
  <c r="AA25" i="24"/>
  <c r="F23" i="26" s="1"/>
  <c r="Z25" i="24"/>
  <c r="Y25" i="24"/>
  <c r="X25" i="24"/>
  <c r="E23" i="26" s="1"/>
  <c r="W25" i="24"/>
  <c r="V25" i="24"/>
  <c r="U25" i="24"/>
  <c r="T25" i="24"/>
  <c r="S25" i="24"/>
  <c r="R25" i="24"/>
  <c r="D23" i="26" s="1"/>
  <c r="Q25" i="24"/>
  <c r="P25" i="24"/>
  <c r="O25" i="24"/>
  <c r="N25" i="24"/>
  <c r="M25" i="24"/>
  <c r="L25" i="24"/>
  <c r="K25" i="24"/>
  <c r="J25" i="24"/>
  <c r="I25" i="24"/>
  <c r="H25" i="24"/>
  <c r="G25" i="24"/>
  <c r="F25" i="24"/>
  <c r="E25" i="24"/>
  <c r="C23" i="26" s="1"/>
  <c r="AF24" i="24"/>
  <c r="AE24" i="24"/>
  <c r="AD24" i="24"/>
  <c r="AC24" i="24"/>
  <c r="AB24" i="24"/>
  <c r="AA24" i="24"/>
  <c r="F22" i="26" s="1"/>
  <c r="Z24" i="24"/>
  <c r="Y24" i="24"/>
  <c r="X24" i="24"/>
  <c r="E22" i="26" s="1"/>
  <c r="W24" i="24"/>
  <c r="V24" i="24"/>
  <c r="U24" i="24"/>
  <c r="T24" i="24"/>
  <c r="S24" i="24"/>
  <c r="R24" i="24"/>
  <c r="D22" i="26" s="1"/>
  <c r="Q24" i="24"/>
  <c r="P24" i="24"/>
  <c r="O24" i="24"/>
  <c r="N24" i="24"/>
  <c r="M24" i="24"/>
  <c r="L24" i="24"/>
  <c r="K24" i="24"/>
  <c r="J24" i="24"/>
  <c r="I24" i="24"/>
  <c r="H24" i="24"/>
  <c r="G24" i="24"/>
  <c r="F24" i="24"/>
  <c r="E24" i="24"/>
  <c r="C22" i="26" s="1"/>
  <c r="AF23" i="24"/>
  <c r="AE23" i="24"/>
  <c r="AD23" i="24"/>
  <c r="AC23" i="24"/>
  <c r="AB23" i="24"/>
  <c r="AA23" i="24"/>
  <c r="F21" i="26" s="1"/>
  <c r="Z23" i="24"/>
  <c r="Y23" i="24"/>
  <c r="X23" i="24"/>
  <c r="E21" i="26" s="1"/>
  <c r="W23" i="24"/>
  <c r="V23" i="24"/>
  <c r="U23" i="24"/>
  <c r="T23" i="24"/>
  <c r="S23" i="24"/>
  <c r="R23" i="24"/>
  <c r="D21" i="26" s="1"/>
  <c r="Q23" i="24"/>
  <c r="P23" i="24"/>
  <c r="O23" i="24"/>
  <c r="N23" i="24"/>
  <c r="M23" i="24"/>
  <c r="L23" i="24"/>
  <c r="K23" i="24"/>
  <c r="J23" i="24"/>
  <c r="I23" i="24"/>
  <c r="H23" i="24"/>
  <c r="G23" i="24"/>
  <c r="F23" i="24"/>
  <c r="E23" i="24"/>
  <c r="C21" i="26" s="1"/>
  <c r="AF22" i="24"/>
  <c r="AE22" i="24"/>
  <c r="AD22" i="24"/>
  <c r="AC22" i="24"/>
  <c r="AB22" i="24"/>
  <c r="AA22" i="24"/>
  <c r="F20" i="26" s="1"/>
  <c r="Z22" i="24"/>
  <c r="Y22" i="24"/>
  <c r="X22" i="24"/>
  <c r="E20" i="26" s="1"/>
  <c r="W22" i="24"/>
  <c r="V22" i="24"/>
  <c r="U22" i="24"/>
  <c r="T22" i="24"/>
  <c r="S22" i="24"/>
  <c r="R22" i="24"/>
  <c r="D20" i="26" s="1"/>
  <c r="Q22" i="24"/>
  <c r="P22" i="24"/>
  <c r="O22" i="24"/>
  <c r="N22" i="24"/>
  <c r="M22" i="24"/>
  <c r="L22" i="24"/>
  <c r="K22" i="24"/>
  <c r="J22" i="24"/>
  <c r="I22" i="24"/>
  <c r="H22" i="24"/>
  <c r="G22" i="24"/>
  <c r="F22" i="24"/>
  <c r="E22" i="24"/>
  <c r="C20" i="26" s="1"/>
  <c r="AF21" i="24"/>
  <c r="AE21" i="24"/>
  <c r="AD21" i="24"/>
  <c r="AC21" i="24"/>
  <c r="AB21" i="24"/>
  <c r="AA21" i="24"/>
  <c r="F19" i="26" s="1"/>
  <c r="Z21" i="24"/>
  <c r="Y21" i="24"/>
  <c r="X21" i="24"/>
  <c r="E19" i="26" s="1"/>
  <c r="W21" i="24"/>
  <c r="V21" i="24"/>
  <c r="U21" i="24"/>
  <c r="T21" i="24"/>
  <c r="S21" i="24"/>
  <c r="R21" i="24"/>
  <c r="D19" i="26" s="1"/>
  <c r="Q21" i="24"/>
  <c r="P21" i="24"/>
  <c r="O21" i="24"/>
  <c r="N21" i="24"/>
  <c r="M21" i="24"/>
  <c r="L21" i="24"/>
  <c r="K21" i="24"/>
  <c r="J21" i="24"/>
  <c r="I21" i="24"/>
  <c r="H21" i="24"/>
  <c r="G21" i="24"/>
  <c r="F21" i="24"/>
  <c r="E21" i="24"/>
  <c r="C19" i="26" s="1"/>
  <c r="AF20" i="24"/>
  <c r="AE20" i="24"/>
  <c r="AD20" i="24"/>
  <c r="AC20" i="24"/>
  <c r="AB20" i="24"/>
  <c r="AA20" i="24"/>
  <c r="F18" i="26" s="1"/>
  <c r="Z20" i="24"/>
  <c r="Y20" i="24"/>
  <c r="X20" i="24"/>
  <c r="E18" i="26" s="1"/>
  <c r="W20" i="24"/>
  <c r="V20" i="24"/>
  <c r="U20" i="24"/>
  <c r="T20" i="24"/>
  <c r="S20" i="24"/>
  <c r="R20" i="24"/>
  <c r="D18" i="26" s="1"/>
  <c r="Q20" i="24"/>
  <c r="P20" i="24"/>
  <c r="O20" i="24"/>
  <c r="N20" i="24"/>
  <c r="M20" i="24"/>
  <c r="L20" i="24"/>
  <c r="K20" i="24"/>
  <c r="J20" i="24"/>
  <c r="I20" i="24"/>
  <c r="H20" i="24"/>
  <c r="G20" i="24"/>
  <c r="F20" i="24"/>
  <c r="E20" i="24"/>
  <c r="C18" i="26" s="1"/>
  <c r="AF19" i="24"/>
  <c r="AE19" i="24"/>
  <c r="AD19" i="24"/>
  <c r="AC19" i="24"/>
  <c r="AB19" i="24"/>
  <c r="AA19" i="24"/>
  <c r="Z19" i="24"/>
  <c r="Y19" i="24"/>
  <c r="X19" i="24"/>
  <c r="W19" i="24"/>
  <c r="V19" i="24"/>
  <c r="U19" i="24"/>
  <c r="T19" i="24"/>
  <c r="S19" i="24"/>
  <c r="R19" i="24"/>
  <c r="Q19" i="24"/>
  <c r="P19" i="24"/>
  <c r="O19" i="24"/>
  <c r="N19" i="24"/>
  <c r="M19" i="24"/>
  <c r="L19" i="24"/>
  <c r="K19" i="24"/>
  <c r="J19" i="24"/>
  <c r="I19" i="24"/>
  <c r="H19" i="24"/>
  <c r="G19" i="24"/>
  <c r="F19" i="24"/>
  <c r="E19" i="24"/>
  <c r="C17" i="26" s="1"/>
  <c r="AF18" i="24"/>
  <c r="AE18" i="24"/>
  <c r="AD18" i="24"/>
  <c r="AC18" i="24"/>
  <c r="AB18" i="24"/>
  <c r="AA18" i="24"/>
  <c r="F16" i="26" s="1"/>
  <c r="Z18" i="24"/>
  <c r="Y18" i="24"/>
  <c r="X18" i="24"/>
  <c r="E16" i="26" s="1"/>
  <c r="W18" i="24"/>
  <c r="V18" i="24"/>
  <c r="U18" i="24"/>
  <c r="T18" i="24"/>
  <c r="S18" i="24"/>
  <c r="R18" i="24"/>
  <c r="D16" i="26" s="1"/>
  <c r="Q18" i="24"/>
  <c r="P18" i="24"/>
  <c r="O18" i="24"/>
  <c r="N18" i="24"/>
  <c r="M18" i="24"/>
  <c r="L18" i="24"/>
  <c r="K18" i="24"/>
  <c r="J18" i="24"/>
  <c r="I18" i="24"/>
  <c r="H18" i="24"/>
  <c r="G18" i="24"/>
  <c r="F18" i="24"/>
  <c r="E18" i="24"/>
  <c r="C16" i="26" s="1"/>
  <c r="AF17" i="24"/>
  <c r="AE17" i="24"/>
  <c r="AD17" i="24"/>
  <c r="AC17" i="24"/>
  <c r="AB17" i="24"/>
  <c r="AA17" i="24"/>
  <c r="F15" i="26" s="1"/>
  <c r="Z17" i="24"/>
  <c r="Y17" i="24"/>
  <c r="X17" i="24"/>
  <c r="E15" i="26" s="1"/>
  <c r="W17" i="24"/>
  <c r="V17" i="24"/>
  <c r="U17" i="24"/>
  <c r="T17" i="24"/>
  <c r="S17" i="24"/>
  <c r="R17" i="24"/>
  <c r="D15" i="26" s="1"/>
  <c r="Q17" i="24"/>
  <c r="P17" i="24"/>
  <c r="O17" i="24"/>
  <c r="N17" i="24"/>
  <c r="M17" i="24"/>
  <c r="L17" i="24"/>
  <c r="K17" i="24"/>
  <c r="J17" i="24"/>
  <c r="I17" i="24"/>
  <c r="H17" i="24"/>
  <c r="G17" i="24"/>
  <c r="F17" i="24"/>
  <c r="E17" i="24"/>
  <c r="C15" i="26" s="1"/>
  <c r="AF16" i="24"/>
  <c r="AE16" i="24"/>
  <c r="AD16" i="24"/>
  <c r="AC16" i="24"/>
  <c r="AB16" i="24"/>
  <c r="AA16" i="24"/>
  <c r="F14" i="26" s="1"/>
  <c r="Z16" i="24"/>
  <c r="Y16" i="24"/>
  <c r="X16" i="24"/>
  <c r="E14" i="26" s="1"/>
  <c r="W16" i="24"/>
  <c r="V16" i="24"/>
  <c r="U16" i="24"/>
  <c r="T16" i="24"/>
  <c r="S16" i="24"/>
  <c r="R16" i="24"/>
  <c r="D14" i="26" s="1"/>
  <c r="Q16" i="24"/>
  <c r="P16" i="24"/>
  <c r="O16" i="24"/>
  <c r="N16" i="24"/>
  <c r="M16" i="24"/>
  <c r="L16" i="24"/>
  <c r="K16" i="24"/>
  <c r="J16" i="24"/>
  <c r="I16" i="24"/>
  <c r="H16" i="24"/>
  <c r="G16" i="24"/>
  <c r="F16" i="24"/>
  <c r="E16" i="24"/>
  <c r="C14" i="26" s="1"/>
  <c r="AF15" i="24"/>
  <c r="AE15" i="24"/>
  <c r="AD15" i="24"/>
  <c r="AC15" i="24"/>
  <c r="AB15" i="24"/>
  <c r="AA15" i="24"/>
  <c r="F13" i="26" s="1"/>
  <c r="Z15" i="24"/>
  <c r="Y15" i="24"/>
  <c r="X15" i="24"/>
  <c r="E13" i="26" s="1"/>
  <c r="W15" i="24"/>
  <c r="V15" i="24"/>
  <c r="U15" i="24"/>
  <c r="T15" i="24"/>
  <c r="S15" i="24"/>
  <c r="R15" i="24"/>
  <c r="D13" i="26" s="1"/>
  <c r="Q15" i="24"/>
  <c r="P15" i="24"/>
  <c r="O15" i="24"/>
  <c r="N15" i="24"/>
  <c r="M15" i="24"/>
  <c r="L15" i="24"/>
  <c r="K15" i="24"/>
  <c r="J15" i="24"/>
  <c r="I15" i="24"/>
  <c r="H15" i="24"/>
  <c r="G15" i="24"/>
  <c r="F15" i="24"/>
  <c r="E15" i="24"/>
  <c r="C13" i="26" s="1"/>
  <c r="AF14" i="24"/>
  <c r="AE14" i="24"/>
  <c r="AD14" i="24"/>
  <c r="AC14" i="24"/>
  <c r="AB14" i="24"/>
  <c r="AA14" i="24"/>
  <c r="F12" i="26" s="1"/>
  <c r="Z14" i="24"/>
  <c r="Y14" i="24"/>
  <c r="X14" i="24"/>
  <c r="E12" i="26" s="1"/>
  <c r="W14" i="24"/>
  <c r="V14" i="24"/>
  <c r="U14" i="24"/>
  <c r="T14" i="24"/>
  <c r="S14" i="24"/>
  <c r="R14" i="24"/>
  <c r="D12" i="26" s="1"/>
  <c r="Q14" i="24"/>
  <c r="P14" i="24"/>
  <c r="O14" i="24"/>
  <c r="N14" i="24"/>
  <c r="M14" i="24"/>
  <c r="L14" i="24"/>
  <c r="K14" i="24"/>
  <c r="J14" i="24"/>
  <c r="I14" i="24"/>
  <c r="H14" i="24"/>
  <c r="G14" i="24"/>
  <c r="F14" i="24"/>
  <c r="E14" i="24"/>
  <c r="C12" i="26" s="1"/>
  <c r="AF13" i="24"/>
  <c r="AE13" i="24"/>
  <c r="AD13" i="24"/>
  <c r="AC13" i="24"/>
  <c r="AB13" i="24"/>
  <c r="AA13" i="24"/>
  <c r="F11" i="26" s="1"/>
  <c r="Z13" i="24"/>
  <c r="Y13" i="24"/>
  <c r="X13" i="24"/>
  <c r="E11" i="26" s="1"/>
  <c r="W13" i="24"/>
  <c r="V13" i="24"/>
  <c r="U13" i="24"/>
  <c r="T13" i="24"/>
  <c r="S13" i="24"/>
  <c r="R13" i="24"/>
  <c r="D11" i="26" s="1"/>
  <c r="Q13" i="24"/>
  <c r="P13" i="24"/>
  <c r="O13" i="24"/>
  <c r="N13" i="24"/>
  <c r="M13" i="24"/>
  <c r="L13" i="24"/>
  <c r="K13" i="24"/>
  <c r="J13" i="24"/>
  <c r="I13" i="24"/>
  <c r="H13" i="24"/>
  <c r="G13" i="24"/>
  <c r="F13" i="24"/>
  <c r="E13" i="24"/>
  <c r="C11" i="26" s="1"/>
  <c r="AF12" i="24"/>
  <c r="AE12" i="24"/>
  <c r="AD12" i="24"/>
  <c r="AC12" i="24"/>
  <c r="AB12" i="24"/>
  <c r="AA12" i="24"/>
  <c r="F10" i="26" s="1"/>
  <c r="Z12" i="24"/>
  <c r="Y12" i="24"/>
  <c r="X12" i="24"/>
  <c r="E10" i="26" s="1"/>
  <c r="W12" i="24"/>
  <c r="V12" i="24"/>
  <c r="U12" i="24"/>
  <c r="T12" i="24"/>
  <c r="S12" i="24"/>
  <c r="R12" i="24"/>
  <c r="D10" i="26" s="1"/>
  <c r="Q12" i="24"/>
  <c r="P12" i="24"/>
  <c r="O12" i="24"/>
  <c r="N12" i="24"/>
  <c r="M12" i="24"/>
  <c r="L12" i="24"/>
  <c r="K12" i="24"/>
  <c r="J12" i="24"/>
  <c r="I12" i="24"/>
  <c r="H12" i="24"/>
  <c r="G12" i="24"/>
  <c r="F12" i="24"/>
  <c r="E12" i="24"/>
  <c r="C10" i="26" s="1"/>
  <c r="AF11" i="24"/>
  <c r="AE11" i="24"/>
  <c r="AD11" i="24"/>
  <c r="AC11" i="24"/>
  <c r="AB11" i="24"/>
  <c r="AA11" i="24"/>
  <c r="F9" i="26" s="1"/>
  <c r="Z11" i="24"/>
  <c r="Y11" i="24"/>
  <c r="X11" i="24"/>
  <c r="E9" i="26" s="1"/>
  <c r="W11" i="24"/>
  <c r="V11" i="24"/>
  <c r="U11" i="24"/>
  <c r="T11" i="24"/>
  <c r="S11" i="24"/>
  <c r="R11" i="24"/>
  <c r="D9" i="26" s="1"/>
  <c r="Q11" i="24"/>
  <c r="P11" i="24"/>
  <c r="O11" i="24"/>
  <c r="N11" i="24"/>
  <c r="M11" i="24"/>
  <c r="L11" i="24"/>
  <c r="K11" i="24"/>
  <c r="J11" i="24"/>
  <c r="I11" i="24"/>
  <c r="H11" i="24"/>
  <c r="G11" i="24"/>
  <c r="F11" i="24"/>
  <c r="E11" i="24"/>
  <c r="C9" i="26" s="1"/>
  <c r="AF10" i="24"/>
  <c r="AE10" i="24"/>
  <c r="AD10" i="24"/>
  <c r="AC10" i="24"/>
  <c r="AB10" i="24"/>
  <c r="AA10" i="24"/>
  <c r="F8" i="26" s="1"/>
  <c r="Z10" i="24"/>
  <c r="Y10" i="24"/>
  <c r="X10" i="24"/>
  <c r="E8" i="26" s="1"/>
  <c r="W10" i="24"/>
  <c r="V10" i="24"/>
  <c r="U10" i="24"/>
  <c r="T10" i="24"/>
  <c r="S10" i="24"/>
  <c r="R10" i="24"/>
  <c r="D8" i="26" s="1"/>
  <c r="Q10" i="24"/>
  <c r="P10" i="24"/>
  <c r="O10" i="24"/>
  <c r="N10" i="24"/>
  <c r="M10" i="24"/>
  <c r="L10" i="24"/>
  <c r="K10" i="24"/>
  <c r="J10" i="24"/>
  <c r="I10" i="24"/>
  <c r="H10" i="24"/>
  <c r="G10" i="24"/>
  <c r="F10" i="24"/>
  <c r="E10" i="24"/>
  <c r="C8" i="26" s="1"/>
  <c r="AF9" i="24"/>
  <c r="AE9" i="24"/>
  <c r="AD9" i="24"/>
  <c r="AC9" i="24"/>
  <c r="AB9" i="24"/>
  <c r="AA9" i="24"/>
  <c r="F7" i="26" s="1"/>
  <c r="Z9" i="24"/>
  <c r="Y9" i="24"/>
  <c r="X9" i="24"/>
  <c r="E7" i="26" s="1"/>
  <c r="W9" i="24"/>
  <c r="V9" i="24"/>
  <c r="U9" i="24"/>
  <c r="T9" i="24"/>
  <c r="S9" i="24"/>
  <c r="R9" i="24"/>
  <c r="D7" i="26" s="1"/>
  <c r="Q9" i="24"/>
  <c r="P9" i="24"/>
  <c r="O9" i="24"/>
  <c r="N9" i="24"/>
  <c r="M9" i="24"/>
  <c r="L9" i="24"/>
  <c r="K9" i="24"/>
  <c r="J9" i="24"/>
  <c r="I9" i="24"/>
  <c r="H9" i="24"/>
  <c r="G9" i="24"/>
  <c r="F9" i="24"/>
  <c r="E9" i="24"/>
  <c r="C7" i="26" s="1"/>
  <c r="AF8" i="24"/>
  <c r="AE8" i="24"/>
  <c r="AD8" i="24"/>
  <c r="AC8" i="24"/>
  <c r="AB8" i="24"/>
  <c r="AA8" i="24"/>
  <c r="F6" i="26" s="1"/>
  <c r="Z8" i="24"/>
  <c r="Y8" i="24"/>
  <c r="X8" i="24"/>
  <c r="E6" i="26" s="1"/>
  <c r="W8" i="24"/>
  <c r="V8" i="24"/>
  <c r="U8" i="24"/>
  <c r="T8" i="24"/>
  <c r="S8" i="24"/>
  <c r="R8" i="24"/>
  <c r="D6" i="26" s="1"/>
  <c r="Q8" i="24"/>
  <c r="P8" i="24"/>
  <c r="O8" i="24"/>
  <c r="N8" i="24"/>
  <c r="M8" i="24"/>
  <c r="L8" i="24"/>
  <c r="K8" i="24"/>
  <c r="J8" i="24"/>
  <c r="I8" i="24"/>
  <c r="H8" i="24"/>
  <c r="G8" i="24"/>
  <c r="E8" i="24"/>
  <c r="C6" i="26" s="1"/>
  <c r="AF7" i="24"/>
  <c r="AE7" i="24"/>
  <c r="AD7" i="24"/>
  <c r="AC7" i="24"/>
  <c r="AB7" i="24"/>
  <c r="AA7" i="24"/>
  <c r="Z7" i="24"/>
  <c r="Y7" i="24"/>
  <c r="X7" i="24"/>
  <c r="W7" i="24"/>
  <c r="V7" i="24"/>
  <c r="U7" i="24"/>
  <c r="T7" i="24"/>
  <c r="S7" i="24"/>
  <c r="R7" i="24"/>
  <c r="Q7" i="24"/>
  <c r="P7" i="24"/>
  <c r="O7" i="24"/>
  <c r="N7" i="24"/>
  <c r="M7" i="24"/>
  <c r="L7" i="24"/>
  <c r="K7" i="24"/>
  <c r="J7" i="24"/>
  <c r="I7" i="24"/>
  <c r="H7" i="24"/>
  <c r="G7" i="24"/>
  <c r="C5" i="26"/>
  <c r="E42" i="23"/>
  <c r="E41" i="23"/>
  <c r="E40" i="23"/>
  <c r="E39" i="23"/>
  <c r="E38" i="23"/>
  <c r="E37" i="23"/>
  <c r="E36" i="23"/>
  <c r="E35" i="23"/>
  <c r="E34" i="23"/>
  <c r="E33" i="23"/>
  <c r="E32" i="23"/>
  <c r="E31" i="23"/>
  <c r="C7" i="25" s="1"/>
  <c r="E30" i="23"/>
  <c r="E29" i="23"/>
  <c r="E28" i="23"/>
  <c r="E27" i="23"/>
  <c r="E26" i="23"/>
  <c r="E25" i="23"/>
  <c r="E24" i="23"/>
  <c r="E23" i="23"/>
  <c r="E22" i="23"/>
  <c r="E21" i="23"/>
  <c r="E20" i="23"/>
  <c r="E19" i="23"/>
  <c r="C6" i="25" s="1"/>
  <c r="E18" i="23"/>
  <c r="E17" i="23"/>
  <c r="E16" i="23"/>
  <c r="E15" i="23"/>
  <c r="E14" i="23"/>
  <c r="E13" i="23"/>
  <c r="E12" i="23"/>
  <c r="E11" i="23"/>
  <c r="E10" i="23"/>
  <c r="E9" i="23"/>
  <c r="E8" i="23"/>
  <c r="E7" i="23"/>
  <c r="C5" i="25" s="1"/>
  <c r="A28" i="21"/>
  <c r="A27" i="21"/>
  <c r="A26" i="21"/>
  <c r="A25" i="21"/>
  <c r="A24" i="21"/>
  <c r="A23" i="21"/>
  <c r="A22" i="21"/>
  <c r="A21" i="21"/>
  <c r="A20" i="21"/>
  <c r="A19" i="21"/>
  <c r="A18" i="21"/>
  <c r="A17" i="21"/>
  <c r="A16" i="21"/>
  <c r="A15" i="21"/>
  <c r="A14" i="21"/>
  <c r="A9" i="21"/>
  <c r="A8" i="21"/>
  <c r="G7" i="21"/>
  <c r="A7" i="21"/>
  <c r="G6" i="21"/>
  <c r="A6" i="21"/>
  <c r="G5" i="21"/>
  <c r="A5" i="21"/>
  <c r="G4" i="21"/>
  <c r="A4" i="21"/>
  <c r="B11" i="20"/>
  <c r="A7" i="20"/>
  <c r="A6" i="20"/>
  <c r="A5" i="20"/>
  <c r="A4" i="20"/>
  <c r="L44" i="19"/>
  <c r="D28" i="21" s="1"/>
  <c r="K44" i="19"/>
  <c r="C28" i="21" s="1"/>
  <c r="J44" i="19"/>
  <c r="B28" i="21" s="1"/>
  <c r="I44" i="19"/>
  <c r="L43" i="19"/>
  <c r="D27" i="21" s="1"/>
  <c r="K43" i="19"/>
  <c r="C27" i="21" s="1"/>
  <c r="J43" i="19"/>
  <c r="B27" i="21" s="1"/>
  <c r="I43" i="19"/>
  <c r="H42" i="19"/>
  <c r="G42" i="19"/>
  <c r="F42" i="19"/>
  <c r="I42" i="19" s="1"/>
  <c r="E42" i="19"/>
  <c r="L42" i="19" s="1"/>
  <c r="D26" i="21" s="1"/>
  <c r="D42" i="19"/>
  <c r="K42" i="19" s="1"/>
  <c r="C26" i="21" s="1"/>
  <c r="C42" i="19"/>
  <c r="J42" i="19" s="1"/>
  <c r="B26" i="21" s="1"/>
  <c r="L41" i="19"/>
  <c r="D25" i="21" s="1"/>
  <c r="K41" i="19"/>
  <c r="C25" i="21" s="1"/>
  <c r="J41" i="19"/>
  <c r="B25" i="21" s="1"/>
  <c r="L40" i="19"/>
  <c r="D24" i="21" s="1"/>
  <c r="K40" i="19"/>
  <c r="C24" i="21" s="1"/>
  <c r="J40" i="19"/>
  <c r="B24" i="21" s="1"/>
  <c r="I40" i="19"/>
  <c r="L39" i="19"/>
  <c r="D23" i="21" s="1"/>
  <c r="K39" i="19"/>
  <c r="C23" i="21" s="1"/>
  <c r="J39" i="19"/>
  <c r="B23" i="21" s="1"/>
  <c r="I39" i="19"/>
  <c r="L38" i="19"/>
  <c r="D22" i="21" s="1"/>
  <c r="K38" i="19"/>
  <c r="C22" i="21" s="1"/>
  <c r="J38" i="19"/>
  <c r="B22" i="21" s="1"/>
  <c r="I38" i="19"/>
  <c r="L37" i="19"/>
  <c r="D21" i="21" s="1"/>
  <c r="K37" i="19"/>
  <c r="C21" i="21" s="1"/>
  <c r="J37" i="19"/>
  <c r="B21" i="21" s="1"/>
  <c r="I37" i="19"/>
  <c r="L36" i="19"/>
  <c r="D20" i="21" s="1"/>
  <c r="K36" i="19"/>
  <c r="C20" i="21" s="1"/>
  <c r="J36" i="19"/>
  <c r="B20" i="21" s="1"/>
  <c r="I36" i="19"/>
  <c r="L35" i="19"/>
  <c r="D19" i="21" s="1"/>
  <c r="K35" i="19"/>
  <c r="C19" i="21" s="1"/>
  <c r="J35" i="19"/>
  <c r="B19" i="21" s="1"/>
  <c r="I35" i="19"/>
  <c r="H34" i="19"/>
  <c r="G34" i="19"/>
  <c r="F34" i="19"/>
  <c r="I34" i="19" s="1"/>
  <c r="E34" i="19"/>
  <c r="L34" i="19" s="1"/>
  <c r="D18" i="21" s="1"/>
  <c r="D34" i="19"/>
  <c r="K34" i="19" s="1"/>
  <c r="C18" i="21" s="1"/>
  <c r="C34" i="19"/>
  <c r="J34" i="19" s="1"/>
  <c r="B18" i="21" s="1"/>
  <c r="H33" i="19"/>
  <c r="G33" i="19"/>
  <c r="F33" i="19"/>
  <c r="I33" i="19" s="1"/>
  <c r="E33" i="19"/>
  <c r="D33" i="19"/>
  <c r="C33" i="19"/>
  <c r="L32" i="19"/>
  <c r="K32" i="19"/>
  <c r="J32" i="19"/>
  <c r="I32" i="19"/>
  <c r="L31" i="19"/>
  <c r="D15" i="21" s="1"/>
  <c r="K31" i="19"/>
  <c r="C15" i="21" s="1"/>
  <c r="J31" i="19"/>
  <c r="B15" i="21" s="1"/>
  <c r="I31" i="19"/>
  <c r="L30" i="19"/>
  <c r="D14" i="21" s="1"/>
  <c r="K30" i="19"/>
  <c r="C14" i="21" s="1"/>
  <c r="J30" i="19"/>
  <c r="B14" i="21" s="1"/>
  <c r="I30" i="19"/>
  <c r="L29" i="19"/>
  <c r="K29" i="19"/>
  <c r="J29" i="19"/>
  <c r="I29" i="19"/>
  <c r="L28" i="19"/>
  <c r="K28" i="19"/>
  <c r="J28" i="19"/>
  <c r="I28" i="19"/>
  <c r="L27" i="19"/>
  <c r="K27" i="19"/>
  <c r="J27" i="19"/>
  <c r="I27" i="19"/>
  <c r="L26" i="19"/>
  <c r="K26" i="19"/>
  <c r="J26" i="19"/>
  <c r="I26" i="19"/>
  <c r="L25" i="19"/>
  <c r="D9" i="21" s="1"/>
  <c r="K25" i="19"/>
  <c r="C9" i="21" s="1"/>
  <c r="J25" i="19"/>
  <c r="B9" i="21" s="1"/>
  <c r="I25" i="19"/>
  <c r="L24" i="19"/>
  <c r="D8" i="21" s="1"/>
  <c r="K24" i="19"/>
  <c r="C8" i="21" s="1"/>
  <c r="J24" i="19"/>
  <c r="B8" i="21" s="1"/>
  <c r="I24" i="19"/>
  <c r="L23" i="19"/>
  <c r="D7" i="21" s="1"/>
  <c r="K23" i="19"/>
  <c r="C7" i="21" s="1"/>
  <c r="J23" i="19"/>
  <c r="B7" i="21" s="1"/>
  <c r="I23" i="19"/>
  <c r="L22" i="19"/>
  <c r="D6" i="21" s="1"/>
  <c r="K22" i="19"/>
  <c r="C6" i="21" s="1"/>
  <c r="J22" i="19"/>
  <c r="B6" i="21" s="1"/>
  <c r="I22" i="19"/>
  <c r="H21" i="19"/>
  <c r="G21" i="19"/>
  <c r="F21" i="19"/>
  <c r="I21" i="19" s="1"/>
  <c r="E21" i="19"/>
  <c r="L21" i="19" s="1"/>
  <c r="D5" i="21" s="1"/>
  <c r="D21" i="19"/>
  <c r="K21" i="19" s="1"/>
  <c r="C5" i="21" s="1"/>
  <c r="C21" i="19"/>
  <c r="J21" i="19" s="1"/>
  <c r="B5" i="21" s="1"/>
  <c r="D4" i="21"/>
  <c r="C4" i="21"/>
  <c r="B4" i="21"/>
  <c r="I20" i="19"/>
  <c r="I19" i="19"/>
  <c r="I18" i="19"/>
  <c r="I17" i="19"/>
  <c r="I16" i="19"/>
  <c r="I15" i="19"/>
  <c r="I14" i="19"/>
  <c r="I13" i="19"/>
  <c r="I11" i="19"/>
  <c r="I10" i="19"/>
  <c r="I9" i="19"/>
  <c r="Q6" i="19"/>
  <c r="Q5" i="19"/>
  <c r="Q4" i="19"/>
  <c r="A34" i="18"/>
  <c r="A33" i="18"/>
  <c r="A32" i="18"/>
  <c r="A31" i="18"/>
  <c r="A30" i="18"/>
  <c r="A29" i="18"/>
  <c r="A28" i="18"/>
  <c r="A27" i="18"/>
  <c r="A26" i="18"/>
  <c r="A25" i="18"/>
  <c r="A24" i="18"/>
  <c r="A23" i="18"/>
  <c r="B17" i="17"/>
  <c r="A17" i="18" s="1"/>
  <c r="A17" i="17"/>
  <c r="B16" i="17"/>
  <c r="A16" i="18" s="1"/>
  <c r="A16" i="17"/>
  <c r="B15" i="17"/>
  <c r="A15" i="18" s="1"/>
  <c r="A15" i="17"/>
  <c r="B14" i="17"/>
  <c r="A14" i="18" s="1"/>
  <c r="A14" i="17"/>
  <c r="B13" i="17"/>
  <c r="A13" i="18" s="1"/>
  <c r="A13" i="17"/>
  <c r="B12" i="17"/>
  <c r="A12" i="18" s="1"/>
  <c r="A12" i="17"/>
  <c r="B11" i="17"/>
  <c r="A11" i="18" s="1"/>
  <c r="A11" i="17"/>
  <c r="B10" i="17"/>
  <c r="A10" i="18" s="1"/>
  <c r="A10" i="17"/>
  <c r="B9" i="17"/>
  <c r="A9" i="18" s="1"/>
  <c r="A9" i="17"/>
  <c r="B8" i="17"/>
  <c r="A8" i="18" s="1"/>
  <c r="A8" i="17"/>
  <c r="B7" i="17"/>
  <c r="A7" i="18" s="1"/>
  <c r="A7" i="17"/>
  <c r="B6" i="17"/>
  <c r="A6" i="18" s="1"/>
  <c r="A6" i="17"/>
  <c r="C52" i="16"/>
  <c r="B52" i="16"/>
  <c r="C51" i="16"/>
  <c r="B51" i="16"/>
  <c r="C50" i="16"/>
  <c r="B50" i="16"/>
  <c r="C49" i="16"/>
  <c r="B49" i="16"/>
  <c r="C48" i="16"/>
  <c r="B48" i="16"/>
  <c r="C47" i="16"/>
  <c r="B47" i="16"/>
  <c r="C46" i="16"/>
  <c r="B46" i="16"/>
  <c r="C45" i="16"/>
  <c r="B45" i="16"/>
  <c r="C44" i="16"/>
  <c r="B44" i="16"/>
  <c r="C43" i="16"/>
  <c r="B43" i="16"/>
  <c r="C42" i="16"/>
  <c r="B42" i="16"/>
  <c r="E17" i="17"/>
  <c r="O24" i="16"/>
  <c r="E16" i="17"/>
  <c r="O23" i="16"/>
  <c r="E15" i="17"/>
  <c r="O22" i="16"/>
  <c r="E14" i="17"/>
  <c r="O21" i="16"/>
  <c r="E13" i="17"/>
  <c r="O20" i="16"/>
  <c r="E12" i="17"/>
  <c r="O19" i="16"/>
  <c r="E11" i="17"/>
  <c r="O18" i="16"/>
  <c r="C11" i="17" s="1"/>
  <c r="E10" i="17"/>
  <c r="O17" i="16"/>
  <c r="E9" i="17"/>
  <c r="O16" i="16"/>
  <c r="E8" i="17"/>
  <c r="O15" i="16"/>
  <c r="E7" i="17"/>
  <c r="O14" i="16"/>
  <c r="C7" i="17" s="1"/>
  <c r="E6" i="17"/>
  <c r="C6" i="17"/>
  <c r="A11" i="14"/>
  <c r="A10" i="14"/>
  <c r="A9" i="14"/>
  <c r="A8" i="14"/>
  <c r="A7" i="14"/>
  <c r="B6" i="14"/>
  <c r="A6" i="14"/>
  <c r="D20" i="12"/>
  <c r="D19" i="12"/>
  <c r="D18" i="12"/>
  <c r="D17" i="12"/>
  <c r="D16" i="12"/>
  <c r="D15" i="12"/>
  <c r="D13" i="12"/>
  <c r="E14" i="12" s="1"/>
  <c r="B10" i="12"/>
  <c r="A16" i="11"/>
  <c r="A15" i="11"/>
  <c r="A14" i="11"/>
  <c r="A13" i="11"/>
  <c r="A12" i="11"/>
  <c r="A11" i="11"/>
  <c r="A10" i="11"/>
  <c r="A9" i="11"/>
  <c r="A8" i="11"/>
  <c r="A7" i="11"/>
  <c r="A6" i="11"/>
  <c r="E16" i="10"/>
  <c r="B16" i="10"/>
  <c r="E15" i="10"/>
  <c r="B15" i="10"/>
  <c r="E14" i="10"/>
  <c r="B14" i="10"/>
  <c r="E13" i="10"/>
  <c r="B13" i="10"/>
  <c r="E12" i="10"/>
  <c r="B12" i="10"/>
  <c r="E11" i="10"/>
  <c r="B11" i="10"/>
  <c r="E10" i="10"/>
  <c r="B10" i="10"/>
  <c r="E9" i="10"/>
  <c r="B9" i="10"/>
  <c r="E8" i="10"/>
  <c r="B8" i="10"/>
  <c r="E7" i="10"/>
  <c r="B7" i="10"/>
  <c r="E6" i="10"/>
  <c r="E17" i="10" s="1"/>
  <c r="B6" i="10"/>
  <c r="C18" i="8"/>
  <c r="E17" i="8"/>
  <c r="D17" i="8"/>
  <c r="E16" i="8"/>
  <c r="D16" i="8"/>
  <c r="E15" i="8"/>
  <c r="D15" i="8"/>
  <c r="E14" i="8"/>
  <c r="D14" i="8"/>
  <c r="E13" i="8"/>
  <c r="D13" i="8"/>
  <c r="E12" i="8"/>
  <c r="E11" i="8"/>
  <c r="D11" i="8"/>
  <c r="E10" i="8"/>
  <c r="D10" i="8"/>
  <c r="E9" i="8"/>
  <c r="D9" i="8"/>
  <c r="E8" i="8"/>
  <c r="D18" i="8"/>
  <c r="C25" i="7"/>
  <c r="B25" i="7"/>
  <c r="A25" i="7"/>
  <c r="C24" i="7"/>
  <c r="B24" i="7"/>
  <c r="A24" i="7"/>
  <c r="C23" i="7"/>
  <c r="B23" i="7"/>
  <c r="A23" i="7"/>
  <c r="C22" i="7"/>
  <c r="B22" i="7"/>
  <c r="A22" i="7"/>
  <c r="C21" i="7"/>
  <c r="B21" i="7"/>
  <c r="A21" i="7"/>
  <c r="C20" i="7"/>
  <c r="B20" i="7"/>
  <c r="A20" i="7"/>
  <c r="C19" i="7"/>
  <c r="B19" i="7"/>
  <c r="A19" i="7"/>
  <c r="C18" i="7"/>
  <c r="B18" i="7"/>
  <c r="A18" i="7"/>
  <c r="C17" i="7"/>
  <c r="B17" i="7"/>
  <c r="A17" i="7"/>
  <c r="C16" i="7"/>
  <c r="B16" i="7"/>
  <c r="A16" i="7"/>
  <c r="A15" i="7"/>
  <c r="E7" i="1"/>
  <c r="F7" i="8" l="1"/>
  <c r="E41" i="16"/>
  <c r="D41" i="16"/>
  <c r="B23" i="18"/>
  <c r="F14" i="12"/>
  <c r="C6" i="9"/>
  <c r="C15" i="7"/>
  <c r="C26" i="7" s="1"/>
  <c r="C6" i="10"/>
  <c r="E18" i="8"/>
  <c r="D15" i="7"/>
  <c r="C7" i="10"/>
  <c r="C7" i="9"/>
  <c r="F8" i="8"/>
  <c r="C8" i="10"/>
  <c r="C8" i="9"/>
  <c r="F9" i="8"/>
  <c r="C9" i="10"/>
  <c r="C9" i="9"/>
  <c r="F10" i="8"/>
  <c r="C10" i="10"/>
  <c r="C10" i="9"/>
  <c r="F11" i="8"/>
  <c r="C11" i="10"/>
  <c r="C11" i="9"/>
  <c r="F12" i="8"/>
  <c r="C12" i="10"/>
  <c r="C12" i="9"/>
  <c r="F13" i="8"/>
  <c r="D21" i="7" s="1"/>
  <c r="C13" i="10"/>
  <c r="C13" i="9"/>
  <c r="F14" i="8"/>
  <c r="C14" i="10"/>
  <c r="C14" i="9"/>
  <c r="F15" i="8"/>
  <c r="C15" i="10"/>
  <c r="C15" i="9"/>
  <c r="F16" i="8"/>
  <c r="C16" i="10"/>
  <c r="C16" i="9"/>
  <c r="F17" i="8"/>
  <c r="E16" i="12"/>
  <c r="F15" i="12"/>
  <c r="B8" i="14" s="1"/>
  <c r="E17" i="12"/>
  <c r="F16" i="12"/>
  <c r="B9" i="14" s="1"/>
  <c r="E18" i="12"/>
  <c r="F17" i="12"/>
  <c r="B10" i="14" s="1"/>
  <c r="E19" i="12"/>
  <c r="F18" i="12"/>
  <c r="B11" i="14" s="1"/>
  <c r="E20" i="12"/>
  <c r="F19" i="12"/>
  <c r="F20" i="12"/>
  <c r="B33" i="16"/>
  <c r="B6" i="18"/>
  <c r="P14" i="16"/>
  <c r="D6" i="17"/>
  <c r="B7" i="18"/>
  <c r="P15" i="16"/>
  <c r="Q14" i="16"/>
  <c r="D7" i="17" s="1"/>
  <c r="C7" i="18" s="1"/>
  <c r="C8" i="17"/>
  <c r="B8" i="18" s="1"/>
  <c r="P16" i="16"/>
  <c r="Q15" i="16"/>
  <c r="D8" i="17" s="1"/>
  <c r="C8" i="18" s="1"/>
  <c r="C9" i="17"/>
  <c r="B9" i="18" s="1"/>
  <c r="P17" i="16"/>
  <c r="Q16" i="16"/>
  <c r="D9" i="17" s="1"/>
  <c r="C9" i="18" s="1"/>
  <c r="C10" i="17"/>
  <c r="B10" i="18" s="1"/>
  <c r="P18" i="16"/>
  <c r="Q17" i="16"/>
  <c r="D10" i="17" s="1"/>
  <c r="C10" i="18" s="1"/>
  <c r="B11" i="18"/>
  <c r="P19" i="16"/>
  <c r="Q18" i="16"/>
  <c r="D11" i="17" s="1"/>
  <c r="C11" i="18" s="1"/>
  <c r="C12" i="17"/>
  <c r="B12" i="18" s="1"/>
  <c r="P20" i="16"/>
  <c r="Q19" i="16"/>
  <c r="D12" i="17" s="1"/>
  <c r="C12" i="18" s="1"/>
  <c r="C13" i="17"/>
  <c r="B13" i="18" s="1"/>
  <c r="P21" i="16"/>
  <c r="Q20" i="16"/>
  <c r="D13" i="17" s="1"/>
  <c r="C13" i="18" s="1"/>
  <c r="C14" i="17"/>
  <c r="B14" i="18" s="1"/>
  <c r="P22" i="16"/>
  <c r="Q21" i="16"/>
  <c r="D14" i="17" s="1"/>
  <c r="C14" i="18" s="1"/>
  <c r="C15" i="17"/>
  <c r="B15" i="18" s="1"/>
  <c r="P23" i="16"/>
  <c r="Q22" i="16"/>
  <c r="D15" i="17" s="1"/>
  <c r="C15" i="18" s="1"/>
  <c r="C16" i="17"/>
  <c r="B16" i="18" s="1"/>
  <c r="P24" i="16"/>
  <c r="Q23" i="16"/>
  <c r="D16" i="17" s="1"/>
  <c r="C16" i="18" s="1"/>
  <c r="C17" i="17"/>
  <c r="B17" i="18" s="1"/>
  <c r="B34" i="16"/>
  <c r="Q24" i="16"/>
  <c r="D17" i="17" s="1"/>
  <c r="C17" i="18" s="1"/>
  <c r="C23" i="18"/>
  <c r="E42" i="16"/>
  <c r="C24" i="18" s="1"/>
  <c r="D42" i="16"/>
  <c r="E43" i="16"/>
  <c r="C25" i="18" s="1"/>
  <c r="D43" i="16"/>
  <c r="E44" i="16"/>
  <c r="C26" i="18" s="1"/>
  <c r="D44" i="16"/>
  <c r="E45" i="16"/>
  <c r="C27" i="18" s="1"/>
  <c r="D45" i="16"/>
  <c r="E46" i="16"/>
  <c r="C28" i="18" s="1"/>
  <c r="D46" i="16"/>
  <c r="E47" i="16"/>
  <c r="C29" i="18" s="1"/>
  <c r="D47" i="16"/>
  <c r="E48" i="16"/>
  <c r="C30" i="18" s="1"/>
  <c r="D48" i="16"/>
  <c r="E49" i="16"/>
  <c r="C31" i="18" s="1"/>
  <c r="D49" i="16"/>
  <c r="E50" i="16"/>
  <c r="C32" i="18" s="1"/>
  <c r="D50" i="16"/>
  <c r="E51" i="16"/>
  <c r="C33" i="18" s="1"/>
  <c r="D51" i="16"/>
  <c r="E52" i="16"/>
  <c r="C34" i="18" s="1"/>
  <c r="D52" i="16"/>
  <c r="H4" i="21"/>
  <c r="B4" i="20"/>
  <c r="H5" i="21"/>
  <c r="B5" i="20"/>
  <c r="H6" i="21"/>
  <c r="B6" i="20"/>
  <c r="M20" i="19"/>
  <c r="E4" i="21" s="1"/>
  <c r="M21" i="19"/>
  <c r="M22" i="19"/>
  <c r="E6" i="21" s="1"/>
  <c r="M23" i="19"/>
  <c r="E7" i="21" s="1"/>
  <c r="M24" i="19"/>
  <c r="E8" i="21" s="1"/>
  <c r="M25" i="19"/>
  <c r="E9" i="21" s="1"/>
  <c r="M26" i="19"/>
  <c r="M27" i="19"/>
  <c r="M28" i="19"/>
  <c r="M29" i="19"/>
  <c r="M30" i="19"/>
  <c r="E14" i="21" s="1"/>
  <c r="M31" i="19"/>
  <c r="E15" i="21" s="1"/>
  <c r="M32" i="19"/>
  <c r="B16" i="21"/>
  <c r="C11" i="20"/>
  <c r="C16" i="21"/>
  <c r="D11" i="20"/>
  <c r="D16" i="21"/>
  <c r="E11" i="20"/>
  <c r="J33" i="19"/>
  <c r="K33" i="19"/>
  <c r="L33" i="19"/>
  <c r="M33" i="19"/>
  <c r="M34" i="19"/>
  <c r="E18" i="21" s="1"/>
  <c r="M35" i="19"/>
  <c r="E19" i="21" s="1"/>
  <c r="M36" i="19"/>
  <c r="E20" i="21" s="1"/>
  <c r="M37" i="19"/>
  <c r="E21" i="21" s="1"/>
  <c r="M38" i="19"/>
  <c r="E22" i="21" s="1"/>
  <c r="M39" i="19"/>
  <c r="E23" i="21" s="1"/>
  <c r="M40" i="19"/>
  <c r="E24" i="21" s="1"/>
  <c r="M41" i="19"/>
  <c r="E25" i="21" s="1"/>
  <c r="M42" i="19"/>
  <c r="E26" i="21" s="1"/>
  <c r="M43" i="19"/>
  <c r="E27" i="21" s="1"/>
  <c r="M44" i="19"/>
  <c r="E28" i="21" s="1"/>
  <c r="D5" i="26"/>
  <c r="E5" i="26"/>
  <c r="F5" i="26"/>
  <c r="D17" i="26"/>
  <c r="E17" i="26"/>
  <c r="F17" i="26"/>
  <c r="D29" i="26"/>
  <c r="E29" i="26"/>
  <c r="F29" i="26"/>
  <c r="F41" i="16" l="1"/>
  <c r="E17" i="21"/>
  <c r="R7" i="19"/>
  <c r="D17" i="21"/>
  <c r="R6" i="19"/>
  <c r="C17" i="21"/>
  <c r="R5" i="19"/>
  <c r="B17" i="21"/>
  <c r="Q12" i="19"/>
  <c r="Q11" i="19"/>
  <c r="R4" i="19"/>
  <c r="E16" i="21"/>
  <c r="F11" i="20"/>
  <c r="E5" i="21"/>
  <c r="Q7" i="19"/>
  <c r="B34" i="18"/>
  <c r="F52" i="16"/>
  <c r="D34" i="18" s="1"/>
  <c r="B33" i="18"/>
  <c r="F51" i="16"/>
  <c r="D33" i="18" s="1"/>
  <c r="B32" i="18"/>
  <c r="F50" i="16"/>
  <c r="D32" i="18" s="1"/>
  <c r="B31" i="18"/>
  <c r="F49" i="16"/>
  <c r="D31" i="18" s="1"/>
  <c r="B30" i="18"/>
  <c r="F48" i="16"/>
  <c r="D30" i="18" s="1"/>
  <c r="B29" i="18"/>
  <c r="F47" i="16"/>
  <c r="D29" i="18" s="1"/>
  <c r="B28" i="18"/>
  <c r="F46" i="16"/>
  <c r="D28" i="18" s="1"/>
  <c r="B27" i="18"/>
  <c r="F45" i="16"/>
  <c r="D27" i="18" s="1"/>
  <c r="B26" i="18"/>
  <c r="F44" i="16"/>
  <c r="D26" i="18" s="1"/>
  <c r="B25" i="18"/>
  <c r="F43" i="16"/>
  <c r="D25" i="18" s="1"/>
  <c r="B24" i="18"/>
  <c r="F42" i="16"/>
  <c r="D24" i="18" s="1"/>
  <c r="D53" i="16"/>
  <c r="C43" i="18" s="1"/>
  <c r="B53" i="16"/>
  <c r="B43" i="18" s="1"/>
  <c r="D23" i="18"/>
  <c r="B36" i="16"/>
  <c r="B35" i="16"/>
  <c r="C6" i="18"/>
  <c r="B18" i="18" s="1"/>
  <c r="B32" i="16"/>
  <c r="B31" i="16"/>
  <c r="B30" i="16"/>
  <c r="E3" i="18" s="1"/>
  <c r="B29" i="16"/>
  <c r="G3" i="18" s="1"/>
  <c r="B7" i="14"/>
  <c r="D23" i="12"/>
  <c r="B23" i="12"/>
  <c r="D16" i="10"/>
  <c r="D16" i="9"/>
  <c r="D25" i="7"/>
  <c r="D15" i="10"/>
  <c r="D15" i="9"/>
  <c r="D24" i="7"/>
  <c r="D14" i="10"/>
  <c r="D14" i="9"/>
  <c r="D23" i="7"/>
  <c r="D13" i="10"/>
  <c r="D13" i="9"/>
  <c r="D22" i="7"/>
  <c r="D12" i="10"/>
  <c r="D12" i="9"/>
  <c r="D11" i="10"/>
  <c r="D11" i="9"/>
  <c r="D20" i="7"/>
  <c r="D10" i="10"/>
  <c r="D10" i="9"/>
  <c r="D19" i="7"/>
  <c r="D9" i="10"/>
  <c r="D9" i="9"/>
  <c r="D18" i="7"/>
  <c r="D8" i="10"/>
  <c r="D8" i="9"/>
  <c r="D17" i="7"/>
  <c r="D7" i="10"/>
  <c r="D7" i="9"/>
  <c r="D16" i="7"/>
  <c r="D6" i="10"/>
  <c r="D6" i="9"/>
  <c r="D22" i="8"/>
  <c r="B22" i="8"/>
  <c r="F18" i="8"/>
  <c r="G18" i="8" s="1"/>
  <c r="G17" i="8"/>
  <c r="G16" i="8"/>
  <c r="G15" i="8"/>
  <c r="G14" i="8"/>
  <c r="G13" i="8"/>
  <c r="G12" i="8"/>
  <c r="G11" i="8"/>
  <c r="G10" i="8"/>
  <c r="G9" i="8"/>
  <c r="G8" i="8"/>
  <c r="G7" i="8"/>
  <c r="C17" i="9"/>
  <c r="C17" i="10"/>
  <c r="D29" i="7" l="1"/>
  <c r="B29" i="7"/>
  <c r="D26" i="7"/>
  <c r="B6" i="11"/>
  <c r="D21" i="9"/>
  <c r="A8" i="1" s="1"/>
  <c r="B21" i="9"/>
  <c r="A7" i="1" s="1"/>
  <c r="D17" i="9"/>
  <c r="E17" i="9" s="1"/>
  <c r="E16" i="9"/>
  <c r="E15" i="9"/>
  <c r="E14" i="9"/>
  <c r="E13" i="9"/>
  <c r="E12" i="9"/>
  <c r="E11" i="9"/>
  <c r="E10" i="9"/>
  <c r="E9" i="9"/>
  <c r="E8" i="9"/>
  <c r="E7" i="9"/>
  <c r="F6" i="9"/>
  <c r="E6" i="9"/>
  <c r="A6" i="9"/>
  <c r="D17" i="10"/>
  <c r="A6" i="10"/>
  <c r="B7" i="11"/>
  <c r="F7" i="9"/>
  <c r="A7" i="9"/>
  <c r="A7" i="10"/>
  <c r="B8" i="11"/>
  <c r="F8" i="9"/>
  <c r="A8" i="9"/>
  <c r="A8" i="10"/>
  <c r="B9" i="11"/>
  <c r="F9" i="9"/>
  <c r="A9" i="9"/>
  <c r="A9" i="10"/>
  <c r="B10" i="11"/>
  <c r="F10" i="9"/>
  <c r="A10" i="9"/>
  <c r="A10" i="10"/>
  <c r="B11" i="11"/>
  <c r="F11" i="9"/>
  <c r="A11" i="9"/>
  <c r="A11" i="10"/>
  <c r="B12" i="11"/>
  <c r="F12" i="9"/>
  <c r="A12" i="9"/>
  <c r="A12" i="10"/>
  <c r="B13" i="11"/>
  <c r="F13" i="9"/>
  <c r="A13" i="9"/>
  <c r="A13" i="10"/>
  <c r="B14" i="11"/>
  <c r="F14" i="9"/>
  <c r="A14" i="9"/>
  <c r="A14" i="10"/>
  <c r="B15" i="11"/>
  <c r="F15" i="9"/>
  <c r="A15" i="9"/>
  <c r="A15" i="10"/>
  <c r="B16" i="11"/>
  <c r="F16" i="9"/>
  <c r="A16" i="9"/>
  <c r="A16" i="10"/>
  <c r="E3" i="14"/>
  <c r="C7" i="1"/>
  <c r="F3" i="14"/>
  <c r="C8" i="1"/>
  <c r="B42" i="18"/>
  <c r="E8" i="1"/>
  <c r="H7" i="21"/>
  <c r="B7" i="20"/>
  <c r="I4" i="21"/>
  <c r="C4" i="20"/>
  <c r="S4" i="19"/>
  <c r="G7" i="1"/>
  <c r="I5" i="21"/>
  <c r="C5" i="20"/>
  <c r="S5" i="19"/>
  <c r="I6" i="21"/>
  <c r="C6" i="20"/>
  <c r="S6" i="19"/>
  <c r="I7" i="21"/>
  <c r="C7" i="20"/>
  <c r="S7" i="19"/>
  <c r="J7" i="21" l="1"/>
  <c r="D7" i="20"/>
  <c r="E7" i="20" s="1"/>
  <c r="T7" i="19"/>
  <c r="J6" i="21"/>
  <c r="D6" i="20"/>
  <c r="E6" i="20" s="1"/>
  <c r="T6" i="19"/>
  <c r="J5" i="21"/>
  <c r="D5" i="20"/>
  <c r="E5" i="20" s="1"/>
  <c r="T5" i="19"/>
  <c r="J4" i="21"/>
  <c r="D4" i="20"/>
  <c r="E4" i="20" s="1"/>
  <c r="T4" i="19"/>
  <c r="G8" i="1"/>
  <c r="B67" i="24"/>
  <c r="C67" i="24"/>
  <c r="B42" i="24"/>
  <c r="C42" i="24"/>
  <c r="B43" i="24"/>
  <c r="I7" i="26" s="1"/>
  <c r="C43" i="24"/>
  <c r="B44" i="24"/>
  <c r="C44"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J31" i="26"/>
  <c r="E67" i="24"/>
  <c r="I31" i="26"/>
  <c r="J30" i="26"/>
  <c r="E66" i="24"/>
  <c r="I30" i="26"/>
  <c r="J29" i="26"/>
  <c r="E65" i="24"/>
  <c r="I29" i="26"/>
  <c r="J28" i="26"/>
  <c r="E64" i="24"/>
  <c r="I28" i="26"/>
  <c r="J27" i="26"/>
  <c r="E63" i="24"/>
  <c r="I27" i="26"/>
  <c r="J26" i="26"/>
  <c r="E62" i="24"/>
  <c r="I26" i="26"/>
  <c r="J25" i="26"/>
  <c r="E61" i="24"/>
  <c r="I25" i="26"/>
  <c r="J24" i="26"/>
  <c r="E60" i="24"/>
  <c r="I24" i="26"/>
  <c r="J23" i="26"/>
  <c r="E59" i="24"/>
  <c r="I23" i="26"/>
  <c r="J22" i="26"/>
  <c r="E58" i="24"/>
  <c r="I22" i="26"/>
  <c r="J21" i="26"/>
  <c r="E57" i="24"/>
  <c r="I21" i="26"/>
  <c r="J20" i="26"/>
  <c r="E56" i="24"/>
  <c r="I20" i="26"/>
  <c r="J19" i="26"/>
  <c r="E55" i="24"/>
  <c r="I19" i="26"/>
  <c r="J18" i="26"/>
  <c r="E54" i="24"/>
  <c r="I18" i="26"/>
  <c r="J17" i="26"/>
  <c r="E53" i="24"/>
  <c r="I17" i="26"/>
  <c r="J16" i="26"/>
  <c r="E52" i="24"/>
  <c r="I16" i="26"/>
  <c r="J15" i="26"/>
  <c r="E51" i="24"/>
  <c r="I15" i="26"/>
  <c r="J14" i="26"/>
  <c r="E50" i="24"/>
  <c r="I14" i="26"/>
  <c r="J13" i="26"/>
  <c r="E49" i="24"/>
  <c r="I13" i="26"/>
  <c r="J12" i="26"/>
  <c r="E48" i="24"/>
  <c r="I12" i="26"/>
  <c r="J11" i="26"/>
  <c r="E47" i="24"/>
  <c r="I11" i="26"/>
  <c r="J10" i="26"/>
  <c r="E46" i="24"/>
  <c r="I10" i="26"/>
  <c r="J8" i="26"/>
  <c r="E44" i="24"/>
  <c r="I8" i="26"/>
  <c r="J7" i="26"/>
  <c r="E43" i="24"/>
  <c r="J6" i="26"/>
  <c r="E42" i="24"/>
  <c r="I6" i="26"/>
  <c r="B45" i="24" l="1"/>
  <c r="E45" i="24" s="1"/>
  <c r="C45" i="24"/>
  <c r="J9" i="26"/>
  <c r="I9" i="26"/>
  <c r="B41" i="24"/>
  <c r="C41" i="24"/>
  <c r="J5" i="26"/>
  <c r="E41" i="24"/>
  <c r="I5" i="26"/>
  <c r="D67" i="24"/>
  <c r="D66" i="24"/>
  <c r="D65" i="24"/>
  <c r="D64" i="24"/>
  <c r="D63" i="24"/>
  <c r="D62" i="24"/>
  <c r="D61" i="24"/>
  <c r="D60" i="24"/>
  <c r="D59" i="24"/>
  <c r="D58" i="24"/>
  <c r="D57" i="24"/>
  <c r="D56" i="24"/>
  <c r="D55" i="24"/>
  <c r="D54" i="24"/>
  <c r="D53" i="24"/>
  <c r="D52" i="24"/>
  <c r="D51" i="24"/>
  <c r="D50" i="24"/>
  <c r="D49" i="24"/>
  <c r="D48" i="24"/>
  <c r="D47" i="24"/>
  <c r="D46" i="24"/>
  <c r="D45" i="24"/>
  <c r="D44" i="24"/>
  <c r="D43" i="24"/>
  <c r="D42" i="24"/>
  <c r="D41" i="24"/>
  <c r="B73" i="24"/>
  <c r="B74" i="24"/>
  <c r="B12" i="25"/>
  <c r="C12" i="25"/>
  <c r="D12" i="25"/>
  <c r="B13" i="25"/>
  <c r="C13" i="25"/>
  <c r="D13" i="25"/>
  <c r="B14" i="25"/>
  <c r="C14" i="25"/>
  <c r="D14" i="25"/>
  <c r="B15" i="25"/>
  <c r="C15" i="25"/>
  <c r="D15" i="25"/>
  <c r="B16" i="25"/>
  <c r="C16" i="25"/>
  <c r="D16" i="25"/>
  <c r="B17" i="25"/>
  <c r="C17" i="25"/>
  <c r="D17" i="25"/>
  <c r="B18" i="25"/>
  <c r="C18" i="25"/>
  <c r="D18" i="25"/>
  <c r="B19" i="25"/>
  <c r="C19" i="25"/>
  <c r="D19" i="25"/>
  <c r="B20" i="25"/>
  <c r="C20" i="25"/>
  <c r="D20" i="25"/>
  <c r="B21" i="25"/>
  <c r="C21" i="25"/>
  <c r="D21" i="25"/>
  <c r="B71" i="24"/>
  <c r="B72" i="24"/>
  <c r="D7" i="25"/>
  <c r="D6" i="25"/>
  <c r="D5" i="25"/>
  <c r="J8" i="1"/>
  <c r="J7" i="1"/>
  <c r="E5" i="25"/>
  <c r="F5" i="25"/>
  <c r="G5" i="25"/>
  <c r="E6" i="25"/>
  <c r="F6" i="25"/>
  <c r="G6" i="25"/>
  <c r="E7" i="25"/>
  <c r="F7" i="25"/>
  <c r="G7" i="25"/>
</calcChain>
</file>

<file path=xl/sharedStrings.xml><?xml version="1.0" encoding="utf-8"?>
<sst xmlns="http://schemas.openxmlformats.org/spreadsheetml/2006/main" count="3113" uniqueCount="728">
  <si>
    <t>INDIA CPI INFLATION — INTERVIEW DASHBOARD</t>
  </si>
  <si>
    <t>Q1 — Top Contribution</t>
  </si>
  <si>
    <t>Q2 — Highest Full-Year YoY</t>
  </si>
  <si>
    <t>Q3 — Food 12M Change</t>
  </si>
  <si>
    <t>Q4 — Headline Pre → Post</t>
  </si>
  <si>
    <t>Q5 — Strongest Correlation</t>
  </si>
  <si>
    <t>Q1 Analysis</t>
  </si>
  <si>
    <t>Q2 Calculation</t>
  </si>
  <si>
    <t>Q3 Calculation</t>
  </si>
  <si>
    <t>Q4 Calculation</t>
  </si>
  <si>
    <t>Q5 Calculation</t>
  </si>
  <si>
    <t>Project Guide</t>
  </si>
  <si>
    <t>Q1 — CPI Contribution</t>
  </si>
  <si>
    <t>Q2 — Annual Inflation Trend</t>
  </si>
  <si>
    <t>Q3 — Food Inflation</t>
  </si>
  <si>
    <t>Q4 — COVID Impact</t>
  </si>
  <si>
    <t>Q1 — CPI Basket</t>
  </si>
  <si>
    <t>Q2 — Inflation Trend</t>
  </si>
  <si>
    <t>Full-year YoY inflation peaked at 6.62% in 2022, reflecting global commodity shocks, food and energy pressures, supply constraints and pass-through into core prices.</t>
  </si>
  <si>
    <t>Q3 — Food</t>
  </si>
  <si>
    <t>Food prices remained volatile, with a 3.01% increase in the Food Index from May 2022 to May 2023. Spices showed the largest individual index increase.</t>
  </si>
  <si>
    <t>Q4 — COVID-19</t>
  </si>
  <si>
    <t>Average headline inflation rose by about 1.05 percentage points after the March 2020 COVID reference point. Food and essential services rose, while health behaved differently.</t>
  </si>
  <si>
    <t>Q5 — Imported Oil</t>
  </si>
  <si>
    <t>Q5 — Imported Oil vs CPI</t>
  </si>
  <si>
    <t>India CPI Inflation Case Study — Project Guide</t>
  </si>
  <si>
    <t>Purpose</t>
  </si>
  <si>
    <t>Interview-ready analysis of India CPI inflation, category contribution, annual inflation, COVID impact, food inflation and imported crude-oil relationships.</t>
  </si>
  <si>
    <t>Questions Covered</t>
  </si>
  <si>
    <t>Q1</t>
  </si>
  <si>
    <t>CPI contribution by broader categories — latest month May 2023; equal-weighted category construction.</t>
  </si>
  <si>
    <t>Q2</t>
  </si>
  <si>
    <t>Annual Rural+Urban CPI YoY inflation from 2017; 2023 shown separately as Jan–May YTD.</t>
  </si>
  <si>
    <t>Q3</t>
  </si>
  <si>
    <t>Food inflation over the 12 months ending May 2023, including MoM movement and biggest food-category change.</t>
  </si>
  <si>
    <t>Q4</t>
  </si>
  <si>
    <t>COVID-19 impact using March 2020 as the reference milestone; pre/post 12-month comparison plus category focus.</t>
  </si>
  <si>
    <t>Q5</t>
  </si>
  <si>
    <t>Imported Indian Basket crude-oil MoM changes for 2021–2023 and correlation with CPI-category MoM changes.</t>
  </si>
  <si>
    <t>Key Methodology / Interview Points</t>
  </si>
  <si>
    <t>AVERAGE for equal-weighted broader categories; contribution = category index ÷ sum of broader-category indices.</t>
  </si>
  <si>
    <t>Annual CPI = AVERAGEIFS of monthly General Index; YoY = current annual average ÷ previous annual average − 1.</t>
  </si>
  <si>
    <t>Food Index = AVERAGE of mapped food components; MoM = current index ÷ prior-month index − 1; absolute 12-month change by subtraction.</t>
  </si>
  <si>
    <t>Monthly YoY = current CPI ÷ same month previous year − 1; compare Apr-2019–Mar-2020 with Apr-2020–Mar-2021.</t>
  </si>
  <si>
    <t>MoM oil/CPI momentum followed by CORREL; ABS and RANK used to compare relationship strength. Correlation ≠ causation.</t>
  </si>
  <si>
    <t>Data Sources &amp; Caveats</t>
  </si>
  <si>
    <t>•</t>
  </si>
  <si>
    <t>Primary CPI source: provided All-India CPI dataset; cleaned version retains 372 data rows and 30 columns.</t>
  </si>
  <si>
    <t>Q5 oil source: Indian Basket crude-oil monthly price series; CPI correlation is limited to the overlapping CPI period Jan-2021 to May-2023 because the provided CPI dataset ends in May 2023.</t>
  </si>
  <si>
    <t>Q2 and Q4 use linear interpolation only where required by the specific analysis and flag those observations; this does not alter the raw/clean source sheets.</t>
  </si>
  <si>
    <t>Q1 uses equal weights across detailed categories because that is the case-study instruction, not the official CPI weighting system.</t>
  </si>
  <si>
    <t>Q4 Essential Services is an analytical composite of Fuel &amp; Light, Household Goods &amp; Services and Transport &amp; Communication; it is not an official CPI basket category.</t>
  </si>
  <si>
    <t>Interview Story — 60 Seconds</t>
  </si>
  <si>
    <t>I cleaned and standardized the CPI data, mapped detailed categories into broader analytical groups, and built five analyses. I first quantified how categories contribute to the CPI basket, then calculated annual inflation trends. I used March 2020 as a COVID milestone to compare pre- and post-onset inflation, and separately tested food inflation dynamics. Finally, I joined imported Indian Basket crude-oil prices with CPI data, calculated MoM movements and used CORREL to identify categories most associated with oil-price fluctuations. The key analytical point is that correlation indicates association, not causation, and monthly pass-through can be delayed or muted by taxes, administered prices, exchange rates and other supply shocks.</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</si>
  <si>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</si>
  <si>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</si>
  <si>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</si>
  <si>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</si>
  <si>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</si>
  <si>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</si>
  <si>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</si>
  <si>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</si>
  <si>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</si>
  <si>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</si>
  <si>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</si>
  <si>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</si>
  <si>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</si>
  <si>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</si>
  <si>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</si>
  <si>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</si>
  <si>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</si>
  <si>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</si>
  <si>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</si>
  <si>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</si>
  <si>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</si>
  <si>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</si>
  <si>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</si>
  <si>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</si>
  <si>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</si>
  <si>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</si>
  <si>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</si>
  <si>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</si>
  <si>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</si>
  <si>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</si>
  <si>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</si>
  <si>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</si>
  <si>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 Dashboard</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</si>
  <si>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</si>
  <si>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</si>
  <si>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</si>
  <si>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</si>
  <si>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</si>
  <si>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</si>
  <si>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</si>
  <si>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</si>
  <si>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</si>
  <si>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</si>
  <si>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</si>
  <si>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</si>
  <si>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</si>
  <si>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</si>
  <si>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</si>
  <si>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</si>
  <si>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</si>
  <si>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</si>
  <si>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</si>
  <si>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</si>
  <si>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</si>
  <si>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</si>
  <si>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</si>
  <si>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</si>
  <si>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</si>
  <si>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</si>
  <si>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</si>
  <si>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</si>
  <si>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</si>
  <si>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</si>
  <si>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</si>
  <si>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</si>
  <si>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</si>
  <si>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</si>
  <si>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</si>
  <si>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</si>
  <si>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</si>
  <si>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</si>
  <si>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</si>
  <si>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</si>
  <si>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</si>
  <si>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</si>
  <si>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</si>
  <si>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</si>
  <si>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</si>
  <si>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</si>
  <si>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</si>
  <si>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</si>
  <si>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</si>
  <si>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</si>
  <si>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</si>
  <si>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</si>
  <si>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</si>
  <si>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</si>
  <si>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</si>
  <si>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</si>
  <si>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</si>
  <si>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</si>
  <si>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</si>
  <si>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</si>
  <si>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</si>
  <si>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</si>
  <si>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</si>
  <si>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</si>
  <si>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</si>
  <si>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</si>
  <si>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</si>
  <si>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</si>
  <si>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</si>
  <si>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</si>
  <si>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</si>
  <si>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</si>
  <si>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</si>
  <si>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</si>
  <si>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</si>
  <si>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</si>
  <si>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</si>
  <si>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</si>
  <si>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</si>
  <si>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</si>
  <si>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</si>
  <si>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</si>
  <si>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</si>
  <si>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</si>
  <si>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</si>
  <si>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</si>
  <si>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</si>
  <si>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</si>
  <si>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</si>
  <si>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</si>
  <si>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</si>
  <si>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</si>
  <si>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</si>
  <si>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</si>
  <si>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</si>
  <si>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</si>
  <si>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</si>
  <si>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</si>
  <si>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</si>
  <si>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</si>
  <si>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</si>
  <si>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</si>
  <si>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</si>
  <si>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</si>
  <si>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</si>
  <si>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</si>
  <si>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</si>
  <si>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</si>
  <si>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</si>
  <si>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</si>
  <si>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</si>
  <si>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</si>
  <si>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</si>
  <si>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</si>
  <si>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</si>
  <si>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</si>
  <si>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</si>
  <si>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</si>
  <si>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</si>
  <si>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</si>
  <si>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</si>
  <si>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</si>
  <si>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</si>
  <si>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</si>
  <si>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</si>
  <si>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</si>
  <si>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</si>
  <si>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</si>
  <si>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</si>
  <si>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</si>
  <si>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</si>
  <si>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</si>
  <si>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Data Cleaning &amp; Quality Check</t>
  </si>
  <si>
    <t>Check</t>
  </si>
  <si>
    <t>Before Cleaning</t>
  </si>
  <si>
    <t>Action Taken</t>
  </si>
  <si>
    <t>After Cleaning</t>
  </si>
  <si>
    <t>Rows</t>
  </si>
  <si>
    <t>No rows removed</t>
  </si>
  <si>
    <t>Columns</t>
  </si>
  <si>
    <t>No columns removed</t>
  </si>
  <si>
    <t>Duplicate rows</t>
  </si>
  <si>
    <t>Checked; none found</t>
  </si>
  <si>
    <t>Month typo</t>
  </si>
  <si>
    <t>Marcrh (1 row)</t>
  </si>
  <si>
    <t>Corrected to March</t>
  </si>
  <si>
    <t>No invalid month labels</t>
  </si>
  <si>
    <t>Month whitespace</t>
  </si>
  <si>
    <t>November + trailing space</t>
  </si>
  <si>
    <t>Trimmed text</t>
  </si>
  <si>
    <t>All month labels standardized</t>
  </si>
  <si>
    <t>Housing '-' values</t>
  </si>
  <si>
    <t>Converted '-' to missing numeric value</t>
  </si>
  <si>
    <t>Missing values retained as blank/NA</t>
  </si>
  <si>
    <t>Numeric CPI fields</t>
  </si>
  <si>
    <t>Housing was text/object</t>
  </si>
  <si>
    <t>Converted CPI measure columns to numeric</t>
  </si>
  <si>
    <t>Housing and all CPI measures numeric</t>
  </si>
  <si>
    <t>Missing-value policy</t>
  </si>
  <si>
    <t>Excel / Data Cleaning Method Notes</t>
  </si>
  <si>
    <t>TRIM / text standardization</t>
  </si>
  <si>
    <t>Whitespace was removed from text fields such as Month and Sector so categories match consistently.</t>
  </si>
  <si>
    <t>Numeric conversion</t>
  </si>
  <si>
    <t>CPI measurement fields were converted to numeric data types; non-numeric '-' values were treated as missing.</t>
  </si>
  <si>
    <t>Missing values</t>
  </si>
  <si>
    <t>Detailed CPI Category</t>
  </si>
  <si>
    <t>Broader Category</t>
  </si>
  <si>
    <t>Mapping Logic</t>
  </si>
  <si>
    <t>Food</t>
  </si>
  <si>
    <t>Food &amp; beverages component</t>
  </si>
  <si>
    <t>Pan, Tobacco &amp; Intoxicants</t>
  </si>
  <si>
    <t>Standalone broad category</t>
  </si>
  <si>
    <t>Clothing &amp; Footwear</t>
  </si>
  <si>
    <t>Clothing &amp; footwear component</t>
  </si>
  <si>
    <t>Fuel &amp; Light</t>
  </si>
  <si>
    <t>Energy-related broad category</t>
  </si>
  <si>
    <t>Household Goods &amp; Services</t>
  </si>
  <si>
    <t>Miscellaneous component</t>
  </si>
  <si>
    <t>Transport &amp; Communication</t>
  </si>
  <si>
    <t>Recreation &amp; Amusement</t>
  </si>
  <si>
    <t>Personal Care &amp; Effects</t>
  </si>
  <si>
    <t>Aggregate/index columns are intentionally excluded from this mapping to avoid double-counting.</t>
  </si>
  <si>
    <t>Excluded from component-level calculations: Food and beverages, Clothing and footwear, Miscellaneous, General index.</t>
  </si>
  <si>
    <t>The case study specifies equal weights across categories; the calculation methodology will be documented in the Q1 Analysis sheet.</t>
  </si>
  <si>
    <t>India CPI Inflation Case Study — Q1 Analysis</t>
  </si>
  <si>
    <t>Question</t>
  </si>
  <si>
    <t>Latest Year</t>
  </si>
  <si>
    <t>Latest Month</t>
  </si>
  <si>
    <t>Sector Used</t>
  </si>
  <si>
    <t>For each broader category, the underlying detailed CPI index values are averaged using equal weights, as instructed by the case study. Contribution % = Broader Category Index ÷ Sum of Broader Category Indices × 100. Aggregate/index columns are excluded to avoid double-counting.</t>
  </si>
  <si>
    <t>Components Used</t>
  </si>
  <si>
    <t>Category Index</t>
  </si>
  <si>
    <t>Contribution %</t>
  </si>
  <si>
    <t>Total</t>
  </si>
  <si>
    <t>Key Result</t>
  </si>
  <si>
    <t>Highest Contributing Category</t>
  </si>
  <si>
    <t>Contribution</t>
  </si>
  <si>
    <t>Interview Insight</t>
  </si>
  <si>
    <t>In May 2023, under the case study's equal-weight assumption, Pan, Tobacco &amp; Intoxicants has the highest calculated contribution to the CPI basket at 10.15%.</t>
  </si>
  <si>
    <t>Function / Method Notes</t>
  </si>
  <si>
    <t>AVERAGE</t>
  </si>
  <si>
    <t>Used in Q1 Calculation to derive each broader category's equal-weighted index from its detailed CPI components.</t>
  </si>
  <si>
    <t>SUM</t>
  </si>
  <si>
    <t>Used to total broader-category indices and to verify that contribution percentages sum to 100%.</t>
  </si>
  <si>
    <t>IF</t>
  </si>
  <si>
    <t>Used for the contribution validation check, returning OK/CHECK based on whether the total equals 100%.</t>
  </si>
  <si>
    <t>Key-result formulas</t>
  </si>
  <si>
    <t>INDEX + MATCH + MAX</t>
  </si>
  <si>
    <t>Finds the category name associated with the highest Contribution %; MAX finds the highest contribution.</t>
  </si>
  <si>
    <t>Q1 — CPI Broad Category Calculation</t>
  </si>
  <si>
    <t>Latest Period</t>
  </si>
  <si>
    <t>May 2023</t>
  </si>
  <si>
    <t>Latest Period Component Values</t>
  </si>
  <si>
    <t>Underlying Components</t>
  </si>
  <si>
    <t>Sum of Component Indices</t>
  </si>
  <si>
    <t>Equal-Weighted Category Index</t>
  </si>
  <si>
    <t>Contribution Check</t>
  </si>
  <si>
    <t>Formula / Logic</t>
  </si>
  <si>
    <t>Detailed Category</t>
  </si>
  <si>
    <t>Index Value</t>
  </si>
  <si>
    <t>Cereals and products, Meat and fish, Egg, Milk and products, Oils and fats, Fruits, Vegetables, Pulses and products, Sugar and Confectionery, Spices, Non-alcoholic beverages, Prepared meals, snacks, sweets etc.</t>
  </si>
  <si>
    <t>SUM of underlying component indices → total component index; AVERAGE of underlying component indices → equal-weighted broader-category index; contribution = category index ÷ SUM of all broader-category indices.</t>
  </si>
  <si>
    <t>Average underlying detailed CPI indices; contribution = category index ÷ sum of category indices</t>
  </si>
  <si>
    <t>Clothing, Footwear</t>
  </si>
  <si>
    <t>TOTAL</t>
  </si>
  <si>
    <t>Q1 Answer</t>
  </si>
  <si>
    <t>Highest Contribution</t>
  </si>
  <si>
    <t>Note</t>
  </si>
  <si>
    <t>The calculation follows the case-study instruction to use equal weights. Detailed CPI component indices are averaged within each broader category; aggregate columns such as Food and beverages, Clothing and footwear, Miscellaneous, and General index are excluded.</t>
  </si>
  <si>
    <t>Excel Function / Calculation Guide</t>
  </si>
  <si>
    <t>Adds the underlying CPI component indices within each broader category and totals the category results.</t>
  </si>
  <si>
    <t>Calculates the equal-weighted broader-category CPI index from its underlying detailed categories.</t>
  </si>
  <si>
    <t>SUM + division</t>
  </si>
  <si>
    <t>Calculates each category's contribution as Category Index ÷ SUM of all broader-category indices.</t>
  </si>
  <si>
    <t>IF + SUM</t>
  </si>
  <si>
    <t>Checks whether all contribution percentages add to 100%.</t>
  </si>
  <si>
    <t>Q1 — Contribution of Broader Categories</t>
  </si>
  <si>
    <t>Rank</t>
  </si>
  <si>
    <t>Interpretation</t>
  </si>
  <si>
    <t>Key Takeaway</t>
  </si>
  <si>
    <t>Highest Contributor</t>
  </si>
  <si>
    <t>RANK.EQ</t>
  </si>
  <si>
    <t>Ranks categories by Contribution % so the largest contribution receives rank 1.</t>
  </si>
  <si>
    <t>MAX</t>
  </si>
  <si>
    <t>Finds the highest Contribution % for the key result and highest-contribution flag.</t>
  </si>
  <si>
    <t>INDEX + MATCH</t>
  </si>
  <si>
    <t>Returns the category name associated with the maximum Contribution %.</t>
  </si>
  <si>
    <t>SUM + IF</t>
  </si>
  <si>
    <t>SUM checks that all contribution percentages equal 100%; IF returns the validation status.</t>
  </si>
  <si>
    <t>Q1 — Pivot Table Summary</t>
  </si>
  <si>
    <t>Pivot Insight</t>
  </si>
  <si>
    <t>The pivot summary ranks the broader CPI categories by their calculated contribution for May 2023. The highest contributor is Pan, Tobacco &amp; Intoxicants at 10.15%.</t>
  </si>
  <si>
    <t>Ranks the broader categories by Contribution %.</t>
  </si>
  <si>
    <t>Totals Category Index, Contribution %, and Components Used for validation/summary.</t>
  </si>
  <si>
    <t>Q1 — CPI Contribution Visualization</t>
  </si>
  <si>
    <t>Broader Category Contribution — May 2023</t>
  </si>
  <si>
    <t>Q1 Insight</t>
  </si>
  <si>
    <t>Pan, Tobacco &amp; Intoxicants has the largest calculated contribution at 10.15%. Transport &amp; Communication has the smallest at 8.33%. The result reflects the equal-weight methodology used to group detailed CPI categories.</t>
  </si>
  <si>
    <t>Linked formulas</t>
  </si>
  <si>
    <t>Visualization source values are linked to Q1 Contribution so the chart updates when the underlying calculation changes.</t>
  </si>
  <si>
    <t>Bar Chart</t>
  </si>
  <si>
    <t>Used to compare the contribution percentage across broader CPI categories; a horizontal bar chart is suitable for multiple category labels.</t>
  </si>
  <si>
    <t>Q2 — YoY CPI Inflation Calculation</t>
  </si>
  <si>
    <t>Scope</t>
  </si>
  <si>
    <t>Rural+Urban — General Index (entire basket)</t>
  </si>
  <si>
    <t>Trend Start</t>
  </si>
  <si>
    <t>Methodology</t>
  </si>
  <si>
    <t>Annual CPI is the average of monthly General Index values for Rural+Urban. YoY inflation = (current-year average index ÷ previous-year average index − 1) × 100. 2017–2022 are compared as complete calendar years. 2023 is shown separately as YTD Jan–May and is not ranked against full years. Missing monthly General Index observations needed for annual averages were linearly interpolated between adjacent observed months.</t>
  </si>
  <si>
    <t>Excel Formula Used for Annual Average</t>
  </si>
  <si>
    <t>YoY Formula</t>
  </si>
  <si>
    <t>Current Year Average ÷ Previous Year Average − 1</t>
  </si>
  <si>
    <t>Period</t>
  </si>
  <si>
    <t>Months Used</t>
  </si>
  <si>
    <t>Annual Average CPI</t>
  </si>
  <si>
    <t>Previous Year Average</t>
  </si>
  <si>
    <t>YoY Inflation</t>
  </si>
  <si>
    <t>Full year</t>
  </si>
  <si>
    <t>YTD Jan-May</t>
  </si>
  <si>
    <t>Highest Full-Year Inflation Year</t>
  </si>
  <si>
    <t>Highest YoY Inflation</t>
  </si>
  <si>
    <t>AVERAGEIFS</t>
  </si>
  <si>
    <t>Averages the monthly Rural+Urban General Index values for each year using the Year criterion.</t>
  </si>
  <si>
    <t>YoY formula</t>
  </si>
  <si>
    <t>Calculates year-over-year inflation as (Current Year Average ÷ Previous Year Average) − 1.</t>
  </si>
  <si>
    <t>Linear interpolation</t>
  </si>
  <si>
    <t>Used only to estimate missing monthly General Index values needed for an annual average; estimated months are flagged in the monthly-data sheet.</t>
  </si>
  <si>
    <t>Used to identify the highest full-year YoY inflation rate.</t>
  </si>
  <si>
    <t>Identifies the year with the highest full-year YoY inflation; MAX finds the highest rate and INDEX+MATCH returns its year.</t>
  </si>
  <si>
    <t>Observed General Index</t>
  </si>
  <si>
    <t>General Index for Q2</t>
  </si>
  <si>
    <t>Data note</t>
  </si>
  <si>
    <t>Missing monthly General Index observations used in Q2 annual averages were linearly interpolated between adjacent observed months. This is documented here for transparency.</t>
  </si>
  <si>
    <t>Data Transformation Notes</t>
  </si>
  <si>
    <t>Text cleaning</t>
  </si>
  <si>
    <t>Month and Sector labels were standardized by trimming whitespace and correcting the source typo 'Marcrh' to 'March'.</t>
  </si>
  <si>
    <t>CPI fields were converted to numeric values; '-' is treated as missing rather than as zero.</t>
  </si>
  <si>
    <t>Missing-value treatment</t>
  </si>
  <si>
    <t>Missing General Index observations used for Q2 annual averages were estimated by linear interpolation between adjacent observed months.</t>
  </si>
  <si>
    <t>Q2 — YoY CPI Inflation Trend</t>
  </si>
  <si>
    <t>Trend</t>
  </si>
  <si>
    <t>2017–2022 full-year comparison</t>
  </si>
  <si>
    <t>Highest Year</t>
  </si>
  <si>
    <t>YoY Inflation %</t>
  </si>
  <si>
    <t>Highest Inflation Year</t>
  </si>
  <si>
    <t>Q2 Insight — Why 2022 Stands Out</t>
  </si>
  <si>
    <t>2022 records the highest full-year YoY CPI inflation in this analysis at 6.62%. The increase was driven by global commodity shocks, post-COVID supply constraints, food and energy pressures, adverse weather, and broader pass-through into core prices.</t>
  </si>
  <si>
    <t>Annual average General Index is calculated in Q2 Calculation using AVERAGEIFS on the monthly cleaned data.</t>
  </si>
  <si>
    <t>The trend uses the year-over-year percentage change between consecutive annual averages.</t>
  </si>
  <si>
    <t>Q2 — Research: Why Inflation Was Highest in 2022</t>
  </si>
  <si>
    <t>Finding</t>
  </si>
  <si>
    <t>2022 had the highest full-year YoY CPI increase: 6.62%.</t>
  </si>
  <si>
    <t>Driver</t>
  </si>
  <si>
    <t>Evidence / Interpretation</t>
  </si>
  <si>
    <t>Source</t>
  </si>
  <si>
    <t>Source Link</t>
  </si>
  <si>
    <t>Interview-ready takeaway</t>
  </si>
  <si>
    <t>Russia–Ukraine war &amp; global commodity prices</t>
  </si>
  <si>
    <t>RBI reports that the war exacerbated post-COVID supply constraints and caused global shortages in key food, energy and other commodities.</t>
  </si>
  <si>
    <t>RBI Annual Report 2022-23</t>
  </si>
  <si>
    <t>https://www.rbi.org.in/scripts/AnnualReportPublications.aspx?Id=1373</t>
  </si>
  <si>
    <t>The war amplified imported cost pressures, especially in food and energy.</t>
  </si>
  <si>
    <t>Food-price pressures</t>
  </si>
  <si>
    <t>RBI links higher food prices to global food-price shocks, supply shortages and adverse domestic weather; cereals, vegetables, milk and spices were important drivers.</t>
  </si>
  <si>
    <t>Food inflation was a major contributor to headline CPI.</t>
  </si>
  <si>
    <t>Fuel and energy prices</t>
  </si>
  <si>
    <t>RBI reports fuel and light inflation averaging 10.3% in 2022-23, reflecting higher kerosene and LPG prices after the rise in global energy prices.</t>
  </si>
  <si>
    <t>Higher energy costs affected household prices and production costs.</t>
  </si>
  <si>
    <t>Domestic weather / supply disruption</t>
  </si>
  <si>
    <t>The Economic Survey states that excessive summer heat and uneven rainfall affected farm output, reducing supply and raising prices of some products.</t>
  </si>
  <si>
    <t>Economic Survey 2022-23</t>
  </si>
  <si>
    <t>https://www.indiabudget.gov.in/budget2023-24/economicsurvey/doc/echapter.pdf</t>
  </si>
  <si>
    <t>Weather-related supply shocks added to food-price pressure.</t>
  </si>
  <si>
    <t>Pass-through to core inflation</t>
  </si>
  <si>
    <t>RBI reports elevated core inflation as higher input costs passed through to goods and services, alongside recovering domestic demand.</t>
  </si>
  <si>
    <t>The inflation shock broadened beyond food and fuel into core categories.</t>
  </si>
  <si>
    <t>Overall explanation</t>
  </si>
  <si>
    <t>2022 recorded the highest full-year YoY CPI increase in this dataset-based analysis. The evidence points to a largely supply-side and imported-inflation shock: the Russia–Ukraine conflict intensified global food and energy price pressures while post-pandemic supply constraints persisted. Domestic weather disruptions added to food price pressure, and higher input costs gradually passed through to core goods and services.</t>
  </si>
  <si>
    <t>Source note</t>
  </si>
  <si>
    <t>Research is based on official RBI and Government of India publications.</t>
  </si>
  <si>
    <t>Q3 — Food Inflation Analysis (12 Months Ending May 2023)</t>
  </si>
  <si>
    <t>Analysis Period</t>
  </si>
  <si>
    <t>June 2022 – May 2023</t>
  </si>
  <si>
    <t>Food Index</t>
  </si>
  <si>
    <t>Equal-weighted AVERAGE</t>
  </si>
  <si>
    <t>Previous Month Food Index</t>
  </si>
  <si>
    <t>MoM Food Inflation %</t>
  </si>
  <si>
    <t>12-Month Summary</t>
  </si>
  <si>
    <t>Metric</t>
  </si>
  <si>
    <t>Value</t>
  </si>
  <si>
    <t>Function / Method Used</t>
  </si>
  <si>
    <t>Highest MoM Food Inflation</t>
  </si>
  <si>
    <t>Highest Inflation Month</t>
  </si>
  <si>
    <t>Lowest MoM Food Inflation</t>
  </si>
  <si>
    <t>MIN</t>
  </si>
  <si>
    <t>Lowest Inflation Month</t>
  </si>
  <si>
    <t>INDEX + MATCH + MIN</t>
  </si>
  <si>
    <t>May 2022 Food Index</t>
  </si>
  <si>
    <t>Direct reference</t>
  </si>
  <si>
    <t>May 2023 Food Index</t>
  </si>
  <si>
    <t>Absolute Food Index Change</t>
  </si>
  <si>
    <t>Subtraction</t>
  </si>
  <si>
    <t>Food Index % Change</t>
  </si>
  <si>
    <t>Percentage-change formula</t>
  </si>
  <si>
    <t>Individual Food Category Change — May 2022 to May 2023</t>
  </si>
  <si>
    <t>Food Category</t>
  </si>
  <si>
    <t>May 2022 Index</t>
  </si>
  <si>
    <t>May 2023 Index</t>
  </si>
  <si>
    <t>Absolute Change</t>
  </si>
  <si>
    <t>% Change</t>
  </si>
  <si>
    <t>Contribution to Positive Food Change %</t>
  </si>
  <si>
    <t>Biggest Individual Food Contributor</t>
  </si>
  <si>
    <t>MAX + INDEX + MATCH</t>
  </si>
  <si>
    <t>Equal-weighted Food Index from detailed Food categories.</t>
  </si>
  <si>
    <t>COUNT</t>
  </si>
  <si>
    <t>Counts numeric Food components used in each monthly Food Index.</t>
  </si>
  <si>
    <t>Finds highest MoM Food inflation and largest individual Food-category absolute change.</t>
  </si>
  <si>
    <t>Finds lowest MoM Food inflation.</t>
  </si>
  <si>
    <t>Returns the month/category associated with the MAX or MIN result.</t>
  </si>
  <si>
    <t>SUMIF</t>
  </si>
  <si>
    <t>Sums positive individual Food-category changes for contribution-to-positive-change percentages.</t>
  </si>
  <si>
    <t>Calculates absolute May-23 minus May-22 Food index change.</t>
  </si>
  <si>
    <t>Percentage change</t>
  </si>
  <si>
    <t>Calculates MoM Food inflation and 12-month Food index percentage change.</t>
  </si>
  <si>
    <t>Q3 — Food Inflation Pivot Summary</t>
  </si>
  <si>
    <t>Type</t>
  </si>
  <si>
    <t>Analysis month</t>
  </si>
  <si>
    <t>The Food Index in Q3 Calculation uses AVERAGE across detailed Food categories.</t>
  </si>
  <si>
    <t>This pivot-style summary links to Q3 Calculation rather than hard-coding results.</t>
  </si>
  <si>
    <t>Q3 — Food Inflation Visualization</t>
  </si>
  <si>
    <t>Highest MoM Month</t>
  </si>
  <si>
    <t>Highest Rate</t>
  </si>
  <si>
    <t>Individual Food Category Change</t>
  </si>
  <si>
    <t>Q3 Key Insight</t>
  </si>
  <si>
    <t>Food inflation was volatile over the 12 months ending May 2023. The highest monthly Food inflation was 1.04% in June 2022, while the lowest was -0.66% in February 2023. The Food Index increased 5.18 points, or 3.01%, from May 2022 to May 2023. Spices recorded the largest individual increase.</t>
  </si>
  <si>
    <t>12-Month % Change</t>
  </si>
  <si>
    <t>Biggest Food Category Contributor</t>
  </si>
  <si>
    <t>Q4 — COVID-19 Impact on CPI Inflation in India</t>
  </si>
  <si>
    <t>Pre vs Post COVID Inflation Summary</t>
  </si>
  <si>
    <t>Reference milestone</t>
  </si>
  <si>
    <t>March 2020</t>
  </si>
  <si>
    <t>Method</t>
  </si>
  <si>
    <t>Monthly YoY inflation; 12-month pre vs 12-month post comparison</t>
  </si>
  <si>
    <t>Category</t>
  </si>
  <si>
    <t>Pre-COVID Avg YoY</t>
  </si>
  <si>
    <t>Post-onset Avg YoY</t>
  </si>
  <si>
    <t>Change (pp)</t>
  </si>
  <si>
    <t>Monthly YoY inflation = Current month CPI ÷ same month previous year CPI − 1. Pre-COVID comparison window: Apr-2019 to Mar-2020. Post-onset window: Apr-2020 to Mar-2021. Essential Services is an equal-weighted AVERAGE of Fuel &amp; Light, Household Goods &amp; Services, and Transport &amp; Communication. Missing source observations needed for comparison are linearly interpolated and flagged.</t>
  </si>
  <si>
    <t>General CPI</t>
  </si>
  <si>
    <t>Date</t>
  </si>
  <si>
    <t>General Index</t>
  </si>
  <si>
    <t>Food &amp; Beverages</t>
  </si>
  <si>
    <t>Essential Services Index</t>
  </si>
  <si>
    <t>General YoY %</t>
  </si>
  <si>
    <t>Food YoY %</t>
  </si>
  <si>
    <t>Health YoY %</t>
  </si>
  <si>
    <t>Essential Services YoY %</t>
  </si>
  <si>
    <t>Data Status</t>
  </si>
  <si>
    <t>Essential Services</t>
  </si>
  <si>
    <t>Pre-COVID</t>
  </si>
  <si>
    <t>Observed</t>
  </si>
  <si>
    <t>Key Metric</t>
  </si>
  <si>
    <t>Formula / Result</t>
  </si>
  <si>
    <t>Highest post-onset headline inflation</t>
  </si>
  <si>
    <t>Month of highest post-onset headline inflation</t>
  </si>
  <si>
    <t>Current month CPI ÷ same month previous year CPI − 1. This controls for seasonality better than a simple month-to-month comparison.</t>
  </si>
  <si>
    <t>Used for Essential Services composite and for pre/post average inflation.</t>
  </si>
  <si>
    <t>Used only where a monthly CPI observation required for the comparison is missing; estimated cells are flagged in Data Status.</t>
  </si>
  <si>
    <t>Finds the highest post-onset inflation rate.</t>
  </si>
  <si>
    <t>Returns the month corresponding to the MAX inflation rate.</t>
  </si>
  <si>
    <t>Post-onset average − Pre-COVID average gives the change in percentage points.</t>
  </si>
  <si>
    <t>General, Food, Health, Fuel, HH, Trans</t>
  </si>
  <si>
    <t>COVID onset</t>
  </si>
  <si>
    <t>Post-onset</t>
  </si>
  <si>
    <t>Interpolated Apr-20: 1/3 between Mar-20 and Jun-20</t>
  </si>
  <si>
    <t>Interpolated May-20: 2/3 between Mar-20 and Jun-20</t>
  </si>
  <si>
    <t>Observed — retrieved from Clean Data</t>
  </si>
  <si>
    <t>Q4 Data / Method Note</t>
  </si>
  <si>
    <t>April and May 2020 source observations were unavailable in the Rural+Urban series, so the analysis uses transparent linear interpolation between March and June 2020. January 2021 is observed and retrieved directly from Clean Data. These assumptions are flagged in the Data Status column.</t>
  </si>
  <si>
    <t>Q4 — COVID Inflation Pre/Post Summary</t>
  </si>
  <si>
    <t>Direction</t>
  </si>
  <si>
    <t>12-month average YoY comparison</t>
  </si>
  <si>
    <t>Milestone</t>
  </si>
  <si>
    <t>COVID onset / first lockdown reference</t>
  </si>
  <si>
    <t>Summary values link directly to Q4 Calculation; no hard-coded analytical results.</t>
  </si>
  <si>
    <t>Classifies whether post-onset average inflation is higher or lower than pre-COVID.</t>
  </si>
  <si>
    <t>12-month comparison</t>
  </si>
  <si>
    <t>Apr-2019–Mar-2020 vs Apr-2020–Mar-2021 keeps equal-length windows around the March 2020 milestone.</t>
  </si>
  <si>
    <t>Q4 — COVID-19 Inflation Impact Dashboard</t>
  </si>
  <si>
    <t>Food YoY</t>
  </si>
  <si>
    <t>Health YoY</t>
  </si>
  <si>
    <t>Essential Services YoY</t>
  </si>
  <si>
    <t>Pre-COVID Avg</t>
  </si>
  <si>
    <t>Post-onset Avg</t>
  </si>
  <si>
    <t>Q4 Key Insight</t>
  </si>
  <si>
    <t>The composite rose materially after onset, reflecting higher inflation in fuel/light, household services and transport/communication.</t>
  </si>
  <si>
    <t>Chart data and summary metrics are linked to Q4 Calculation.</t>
  </si>
  <si>
    <t>Line chart</t>
  </si>
  <si>
    <t>Shows the progression of monthly YoY inflation around the March 2020 milestone.</t>
  </si>
  <si>
    <t>Clustered column chart</t>
  </si>
  <si>
    <t>Compares average inflation before and after the onset across categories.</t>
  </si>
  <si>
    <t>Q4 — Research: Why COVID-19 Changed Inflation Dynamics</t>
  </si>
  <si>
    <t>Connection to our CPI analysis</t>
  </si>
  <si>
    <t>Lockdown supply disruptions</t>
  </si>
  <si>
    <t>The Economic Survey reports that headline CPI inflation stayed high during the COVID-induced lockdown and afterward because supply-side disruptions persisted; food inflation was a major driver.</t>
  </si>
  <si>
    <t>Economic Survey 2020-21 / Ministry of Finance</t>
  </si>
  <si>
    <t>https://www.indiabudget.gov.in/economicsurvey/ebook_es2021/files/basic-html/page534.html</t>
  </si>
  <si>
    <t>Supports the rise in headline and food inflation after March 2020.</t>
  </si>
  <si>
    <t>Food-price pressure</t>
  </si>
  <si>
    <t>The Economic Survey states food inflation increased to 9.1% during Apr-Dec 2020-21 and that COVID disruptions increased price momentum from April 2020.</t>
  </si>
  <si>
    <t>https://www.pib.gov.in/Pressreleaseshare.aspx?PRID=1693196&amp;lang=2&amp;reg=48</t>
  </si>
  <si>
    <t>Consistent with elevated Food YoY inflation in the post-onset period.</t>
  </si>
  <si>
    <t>Supply factors dominated during COVID</t>
  </si>
  <si>
    <t>RBI analysis finds supply-side factors became predominant during different phases of COVID-19; demand-side contribution to inflation fell in 2020.</t>
  </si>
  <si>
    <t>Explains why inflation could rise despite weak economic activity.</t>
  </si>
  <si>
    <t>Pre-COVID food pressure already existed</t>
  </si>
  <si>
    <t>RBI notes inflation exceeded the upper tolerance band in Dec 2019-Feb 2020 because of rising food-price pressures.</t>
  </si>
  <si>
    <t>RBI Annual Report 2019-20</t>
  </si>
  <si>
    <t>https://www.rbi.org.in/scripts/AnnualReportPublications.aspx?Id=1287</t>
  </si>
  <si>
    <t>Important context: food inflation was already high before the lockdown.</t>
  </si>
  <si>
    <t>Easing as supply constraints normalized</t>
  </si>
  <si>
    <t>The Economic Survey notes that softer inflation toward the end of 2020 reflected easing supply-side constraints, particularly in food.</t>
  </si>
  <si>
    <t>Economic Survey 2020-21</t>
  </si>
  <si>
    <t>https://www.indiabudget.gov.in/economicsurvey/ebook_es2021/files/basic-html/page422.html</t>
  </si>
  <si>
    <t>Explains why food inflation later moderated from its 2020 peaks.</t>
  </si>
  <si>
    <t>Overall conclusion</t>
  </si>
  <si>
    <t>COVID-19 and the nationwide lockdown materially changed India’s inflation dynamics. Our before/after analysis shows headline CPI and essential-service inflation increased after the March 2020 milestone, while food inflation remained elevated. Healthcare moved differently and did not rise on average in the same way. The evidence indicates that supply-chain disruptions and food-supply pressures were important drivers, but the analysis should be interpreted as an association around the COVID milestone rather than proof of causation.</t>
  </si>
  <si>
    <t>Method / Source Notes</t>
  </si>
  <si>
    <t>Official sources</t>
  </si>
  <si>
    <t>Research uses Government of India Economic Survey and Reserve Bank of India publications.</t>
  </si>
  <si>
    <t>Causality caution</t>
  </si>
  <si>
    <t>The workbook describes association around the March 2020 milestone; it does not claim the spreadsheet alone proves causal impact.</t>
  </si>
  <si>
    <t>Essential Services definition</t>
  </si>
  <si>
    <t>Equal-weighted average of Fuel &amp; Light, Household Goods &amp; Services, and Transport &amp; Communication for this project.</t>
  </si>
  <si>
    <t>March 2020 milestone</t>
  </si>
  <si>
    <t>Used because the case-study hint specifies Mar-20 as the onset/reference point.</t>
  </si>
  <si>
    <t>Q5 — Imported Crude Oil Price Data (Indian Basket)</t>
  </si>
  <si>
    <t>Source: Petroleum Planning &amp; Analysis Cell (PPAC), Government of India. Price is Indian Basket crude oil, USD per barrel.</t>
  </si>
  <si>
    <t>2020-12 is included only as the base month required to calculate Jan-2021 MoM oil change. Q5 analysis itself is 2021–2023.</t>
  </si>
  <si>
    <t>Indian Basket Crude Oil ($/bbl)</t>
  </si>
  <si>
    <t>MoM Oil Price Change %</t>
  </si>
  <si>
    <t>Use</t>
  </si>
  <si>
    <t>Base month only</t>
  </si>
  <si>
    <t>Q5 analysis</t>
  </si>
  <si>
    <t>MoM percentage change</t>
  </si>
  <si>
    <t>(Current month oil price ÷ previous month oil price) − 1. This measures the month-on-month fluctuation requested in Q5.</t>
  </si>
  <si>
    <t>Indian Basket</t>
  </si>
  <si>
    <t>PPAC defines the Indian Basket as a derived basket of Oman &amp; Dubai sour grades and Brent Dated sweet grade; the applicable composition is documented in PPAC reports.</t>
  </si>
  <si>
    <t>Source limitation</t>
  </si>
  <si>
    <t>The CPI file ends in May 2023. Therefore, the oil series is collected through Dec-2023, but CPI correlation analysis can only use the overlapping Jan-2021 to May-2023 period.</t>
  </si>
  <si>
    <t>Source links</t>
  </si>
  <si>
    <t>https://ppac.gov.in/prices/international-prices-of-crude-oil</t>
  </si>
  <si>
    <t>PPAC historical supporting data</t>
  </si>
  <si>
    <t>https://www.data.gov.in/resource/month-wise-details-average-international-crude-oil-prices-indian-basket-2017-18-2022-23</t>
  </si>
  <si>
    <t>Q5 — Imported Oil vs CPI Category Inflation (MoM)</t>
  </si>
  <si>
    <t>Scope: Rural+Urban CPI, overlapping period Jan-2021 to May-2023. Oil series is Indian Basket crude oil ($/bbl).</t>
  </si>
  <si>
    <t>Method: calculate MoM oil-price change and MoM CPI-index change for every CPI category, then use CORREL to test contemporaneous linear association.</t>
  </si>
  <si>
    <t>Oil Price ($/bbl)</t>
  </si>
  <si>
    <t>Oil MoM %</t>
  </si>
  <si>
    <t>Cereals and products MoM %</t>
  </si>
  <si>
    <t>Meat and fish MoM %</t>
  </si>
  <si>
    <t>Egg MoM %</t>
  </si>
  <si>
    <t>Milk and products MoM %</t>
  </si>
  <si>
    <t>Oils and fats MoM %</t>
  </si>
  <si>
    <t>Fruits MoM %</t>
  </si>
  <si>
    <t>Vegetables MoM %</t>
  </si>
  <si>
    <t>Pulses and products MoM %</t>
  </si>
  <si>
    <t>Sugar and Confectionery MoM %</t>
  </si>
  <si>
    <t>Spices MoM %</t>
  </si>
  <si>
    <t>Non-alcoholic beverages MoM %</t>
  </si>
  <si>
    <t>Prepared meals, snacks, sweets etc. MoM %</t>
  </si>
  <si>
    <t>Food and beverages MoM %</t>
  </si>
  <si>
    <t>Pan, tobacco and intoxicants MoM %</t>
  </si>
  <si>
    <t>Clothing MoM %</t>
  </si>
  <si>
    <t>Footwear MoM %</t>
  </si>
  <si>
    <t>Clothing and footwear MoM %</t>
  </si>
  <si>
    <t>Housing MoM %</t>
  </si>
  <si>
    <t>Fuel and light MoM %</t>
  </si>
  <si>
    <t>Household goods and services MoM %</t>
  </si>
  <si>
    <t>Health MoM %</t>
  </si>
  <si>
    <t>Transport and communication MoM %</t>
  </si>
  <si>
    <t>Recreation and amusement MoM %</t>
  </si>
  <si>
    <t>Education MoM %</t>
  </si>
  <si>
    <t>Personal care and effects MoM %</t>
  </si>
  <si>
    <t>Miscellaneous MoM %</t>
  </si>
  <si>
    <t>General index MoM %</t>
  </si>
  <si>
    <t>Correlation Analysis</t>
  </si>
  <si>
    <t>CPI Category</t>
  </si>
  <si>
    <t>CORREL with Oil MoM</t>
  </si>
  <si>
    <t>Absolute Correlation</t>
  </si>
  <si>
    <t>Key Findings</t>
  </si>
  <si>
    <t>Strongest positive correlation category</t>
  </si>
  <si>
    <t>Highest positive correlation</t>
  </si>
  <si>
    <t>Strongest absolute relationship</t>
  </si>
  <si>
    <t>Highest absolute correlation</t>
  </si>
  <si>
    <t>SUMIFS</t>
  </si>
  <si>
    <t>Retrieves the exact Rural+Urban CPI index for a given Year and Month from Clean Data.</t>
  </si>
  <si>
    <t>Current CPI index ÷ previous-month CPI index − 1. This converts the index series into monthly inflation/momentum.</t>
  </si>
  <si>
    <t>CORREL</t>
  </si>
  <si>
    <t>Measures the linear correlation between monthly imported-oil price changes and monthly CPI-category changes over the overlapping period.</t>
  </si>
  <si>
    <t>ABS</t>
  </si>
  <si>
    <t>Converts correlation to absolute strength so positive and negative relationships can be ranked by magnitude.</t>
  </si>
  <si>
    <t>Ranks categories by absolute correlation strength. Excel function RANK.EQ is equivalent; RANK is used for broad spreadsheet compatibility.</t>
  </si>
  <si>
    <t>Finds the highest positive/absolute correlation.</t>
  </si>
  <si>
    <t>Returns the category corresponding to the maximum correlation.</t>
  </si>
  <si>
    <t>Correlation is association, not proof of causation. Oil can affect categories with lags, taxes/administered prices can mute pass-through, and many other shocks affect CPI.</t>
  </si>
  <si>
    <t>Q5 — Pivot-Style Summary</t>
  </si>
  <si>
    <t>Formula-linked summary; created as a pivot-style table because the workbook uses formula-driven analysis sheets.</t>
  </si>
  <si>
    <t>Avg Oil Price ($/bbl)</t>
  </si>
  <si>
    <t>Avg Oil MoM %</t>
  </si>
  <si>
    <t>Avg General CPI MoM %</t>
  </si>
  <si>
    <t>Avg Food &amp; Beverages MoM %</t>
  </si>
  <si>
    <t>Avg Fuel &amp; Light MoM %</t>
  </si>
  <si>
    <t>Avg Transport &amp; Communication MoM %</t>
  </si>
  <si>
    <t>Correlation Ranking</t>
  </si>
  <si>
    <t>Correlation</t>
  </si>
  <si>
    <t>Method Notes</t>
  </si>
  <si>
    <t>AVERAGEIFS summarizes annual oil and CPI momentum. LARGE/INDEX/MATCH ranks the top 10 categories by absolute correlation strength, while retaining the signed correlation for direction.</t>
  </si>
  <si>
    <t>Q5 — Imported Oil &amp; CPI Inflation Visualization</t>
  </si>
  <si>
    <t>Analysis period for CPI correlation: Jan-2021 to May-2023. Oil source extends through Dec-2023.</t>
  </si>
  <si>
    <t>Food &amp; Beverages MoM %</t>
  </si>
  <si>
    <t>Fuel &amp; Light MoM %</t>
  </si>
  <si>
    <t>Transport &amp; Communication MoM %</t>
  </si>
  <si>
    <t>Q5 Key Insight</t>
  </si>
  <si>
    <t>4.</t>
  </si>
  <si>
    <t>Correlation should not be interpreted as causation; oil shocks can transmit indirectly through transportation and input costs and may appear with lags.</t>
  </si>
  <si>
    <t>5.</t>
  </si>
  <si>
    <t>Because the CPI dataset ends in May 2023, CPI/oil correlation is limited to Jan-2021–May-2023 even though the oil series is retained through Dec-2023.</t>
  </si>
  <si>
    <t>Visualization data is linked to Q5 Calculation so the charts update with the underlying analysis.</t>
  </si>
  <si>
    <t>Q5 — Research: How Imported Oil Can Influence Indian Inflation</t>
  </si>
  <si>
    <t>Topic</t>
  </si>
  <si>
    <t>Indian crude basket</t>
  </si>
  <si>
    <t>PPAC reports the Indian Basket as a derived basket of Oman &amp; Dubai sour grades and Brent Dated sweet grade. The 2020-21 onward composition used 75.62% sour and 24.38% sweet in the cited PPAC data.</t>
  </si>
  <si>
    <t>PPAC</t>
  </si>
  <si>
    <t>Use the Indian Basket rather than a generic Brent series because it is the India-specific benchmark used in official petroleum data.</t>
  </si>
  <si>
    <t>2021 oil rebound</t>
  </si>
  <si>
    <t>The Indian basket rose from $54.79/bbl in Jan-2021 to $82.11/bbl in Oct-2021 before easing to $73.30 in Dec-2021.</t>
  </si>
  <si>
    <t>PPAC / Government data</t>
  </si>
  <si>
    <t>The 2021 rebound created renewed energy and input-cost pressure as global demand recovered.</t>
  </si>
  <si>
    <t>2022 energy shock</t>
  </si>
  <si>
    <t>RBI reports that global commodity prices surged in H1 2022; crude oil reached about US$117/bbl in June 2022. It links India’s inflation pick-up to pass-through of higher global commodity prices including crude oil.</t>
  </si>
  <si>
    <t>The Russia-Ukraine war amplified the energy shock, making imported inflation a major part of India’s 2022 inflation story.</t>
  </si>
  <si>
    <t>Fuel and transport transmission</t>
  </si>
  <si>
    <t>RBI states fuel-and-light inflation averaged 10.3% in 2022-23 and that transport and communication inflation moderated after a Q1 spike as petrol and diesel prices moved with international prices.</t>
  </si>
  <si>
    <t>Oil affects CPI directly through fuel and indirectly through transportation and other input costs.</t>
  </si>
  <si>
    <t>Policy can mute pass-through</t>
  </si>
  <si>
    <t>RBI notes that government excise-duty cuts on petrol and diesel and state VAT reductions helped moderate price pressures after the April 2022 inflation peak.</t>
  </si>
  <si>
    <t>A weak contemporaneous correlation for Fuel &amp; Light does not mean oil is irrelevant; policy and timing can weaken the observed monthly relationship.</t>
  </si>
  <si>
    <t>Oil and food-related channels</t>
  </si>
  <si>
    <t>RBI documents imported price pressures in edible oils and notes that higher global commodity/input prices can pass through into domestic prices.</t>
  </si>
  <si>
    <t>RBI Annual Report 2021-22</t>
  </si>
  <si>
    <t>https://www.rbi.org.in/Scripts/AnnualReportPublications.aspx?Id=1343</t>
  </si>
  <si>
    <t>Some food categories can respond to global commodity prices even when crude oil is not their only driver.</t>
  </si>
  <si>
    <t>Academic/RBI evidence on oil-inflation nexus</t>
  </si>
  <si>
    <t>A 2025 RBI Bulletin study estimates that a 10% rise in global crude oil prices could raise inflation by around 20 basis points, while noting that government intervention has contained pass-through.</t>
  </si>
  <si>
    <t>RBI Bulletin, Jul 2025</t>
  </si>
  <si>
    <t>https://www.rbi.org.in/Scripts/BS_ViewBulletin.aspx?Id=23516</t>
  </si>
  <si>
    <t>The broader literature supports a positive oil-inflation mechanism, but the size of pass-through depends on policy and market structure.</t>
  </si>
  <si>
    <t>Q5 Conclusion</t>
  </si>
  <si>
    <t>The data-based conclusion is that imported oil-price fluctuations are associated with some CPI category movements, but the contemporaneous relationship is not uniformly strong. In our Jan-2021–May-2023 Rural+Urban analysis, Oils and fats has the strongest positive correlation among the included CPI categories, while Fuel &amp; Light and Transport &amp; Communication show weaker contemporaneous correlations. This is consistent with the economic story that oil pass-through is filtered through taxes, administered pricing, exchange rates, supply conditions and timing/lag effects.</t>
  </si>
  <si>
    <t>Methodology / Caveat</t>
  </si>
  <si>
    <t>CORREL measures linear association, not causation. The correlation window is limited by the CPI dataset ending in May 2023. The imported oil price is reported in USD/bbl, so exchange-rate effects are not directly included in the oil-price measure.</t>
  </si>
  <si>
    <t>PPAC crude oil prices</t>
  </si>
  <si>
    <t>RBI oil-price/inflation study</t>
  </si>
  <si>
    <t>The basket is broadly distributed across categories.</t>
  </si>
  <si>
    <t>calculated contribution, while Transport &amp; Communication has the lowest.</t>
  </si>
  <si>
    <t>highest calculated contribution, while Transport &amp; Communication has the lowest..</t>
  </si>
  <si>
    <t xml:space="preserve"> Pan, Tobacco &amp; Intoxicants has the</t>
  </si>
  <si>
    <t>I compared monthly changes in imported crude oil prices with inflation changes across CPI categories from 2021 to 2023.Oil prices showed major fluctuations, especially around 2022.
Using Excel’s CORREL function, I checked which categories moved most closely with oil prices.Oils &amp; Fats had the highest positive correlation at 0.404.
This means Oils &amp; Fats prices tended to move in the same direction as oil prices.However, the relationship was only moderate, not very strong.Fuel &amp; Light also showed a relatively weak relationship.This shows that oil-price changes do not immediately or equally affect all CPI categories.Taxes, exchange rates and domestic pricing can delay or reduce the impact.
Overall, oil prices influence inflation, but the impact is not immediate or one-to-one.</t>
  </si>
  <si>
    <t>Avg Food Index</t>
  </si>
  <si>
    <t>After finding out food inflation is being the reason of affecting yoy inflation we tried to find out mom trend in the food inflation for overall food bucket and also the absolute change in the individual food categories plus which food category contributing most to the mom inflation for the 12 month period ending on may 2023,for that we use avg function to get avg of all individual food categories for that month and then to find monthly change we use formula current mmonth food index/previous month-1</t>
  </si>
  <si>
    <t>lowest</t>
  </si>
  <si>
    <t>and to find absolute change we subtrated may 2023 individual food category index with may 2022 index value and to find change inn the percentage we used may2023/may2022-1</t>
  </si>
  <si>
    <t>general index CPI inflation increased from about 4.76% before the COVID-19 onset to 5.80% after onset, a rise of about 1.05 percentage points. Food and essential services also increased, while health inflation was lower on average in the first post-onset year. The pattern suggests supply disruption and changing demand conditions rather than a uniform effect across categories.</t>
  </si>
  <si>
    <t>General CPI YoY</t>
  </si>
  <si>
    <t>I compared monthly changes in imported crude oil prices with inflation changes across CPI categories from 2021 to 2023.Oil prices showed major fluctuations, especially around 2022.
Using Excel’s CORREL function, I checked which categories moved most closely with oil prices.Oils &amp; Fats had the highest positive correlation at 0.404.
This means Oils &amp; Fats prices tended to move in the same direction as oil prices.However, the relationship was only moderate, not very strong.
Fuel &amp; Light also showed a relatively weak relationship.This shows that oil-price changes do not immediately or equally affect all CPI categories.
Taxes, exchange rates and domestic pricing can delay or reduce the impact.Overall, oil prices influence inflation, but the impact is not immediate or one-to-one.</t>
  </si>
  <si>
    <t>Missing values are not automatically replaced. They remain blank/NA unless a specific requires an imputation method (for example, a moving average). This prevents fabricated CPI values.</t>
  </si>
  <si>
    <t xml:space="preserve"> CPI case study covering category contribution, inflation trends, COVID impact, food dynamics and imported-oil relationships.</t>
  </si>
  <si>
    <t>Missing values are retained unless a specific requires an estimation method. Any such estimation is documented directly in the relevant analysis sheet.</t>
  </si>
  <si>
    <t>Q1 Note</t>
  </si>
  <si>
    <t>Calculation</t>
  </si>
  <si>
    <t>Based on the latest month's data, identifing the contribution of different broader categories towards the CPI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</si>
</sst>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 pp&quot;"/>
    <numFmt numFmtId="165" formatCode="0.000"/>
  </numFmts>
  <fonts count="45" x14ac:knownFonts="1">
    <font>
      <sz val="10"/>
      <name val="Arial"/>
      <family val="2"/>
      <charset val="1"/>
    </font>
    <font>
      <sz val="12"/>
      <color theme="10"/>
      <name val="Calibri"/>
      <charset val="1"/>
    </font>
    <font>
      <b/>
      <sz val="22"/>
      <color rgb="FFFFFFFF"/>
      <name val="Cambria"/>
      <charset val="1"/>
    </font>
    <font>
      <i/>
      <sz val="11"/>
      <color rgb="FF666666"/>
      <name val="Cambria"/>
      <charset val="1"/>
    </font>
    <font>
      <b/>
      <sz val="9"/>
      <color rgb="FF17365D"/>
      <name val="Cambria"/>
      <charset val="1"/>
    </font>
    <font>
      <sz val="8"/>
      <color rgb="FF666666"/>
      <name val="Cambria"/>
      <charset val="1"/>
    </font>
    <font>
      <b/>
      <sz val="17"/>
      <color rgb="FF2F75B5"/>
      <name val="Cambria"/>
      <charset val="1"/>
    </font>
    <font>
      <b/>
      <sz val="11"/>
      <color rgb="FF2F75B5"/>
      <name val="Cambria"/>
      <charset val="1"/>
    </font>
    <font>
      <b/>
      <sz val="12"/>
      <color rgb="FFFFFFFF"/>
      <name val="Cambria"/>
      <charset val="1"/>
    </font>
    <font>
      <b/>
      <sz val="13"/>
      <color rgb="FFFFFFFF"/>
      <name val="Cambria"/>
      <charset val="1"/>
    </font>
    <font>
      <b/>
      <sz val="20"/>
      <color rgb="FFFFFFFF"/>
      <name val="Cambria"/>
      <charset val="1"/>
    </font>
    <font>
      <b/>
      <sz val="13"/>
      <color rgb="FF17365D"/>
      <name val="Cambria"/>
      <charset val="1"/>
    </font>
    <font>
      <b/>
      <sz val="11"/>
      <color rgb="FFFFFFFF"/>
      <name val="Cambria"/>
      <charset val="1"/>
    </font>
    <font>
      <b/>
      <sz val="11"/>
      <color rgb="FF17365D"/>
      <name val="Cambria"/>
      <charset val="1"/>
    </font>
    <font>
      <b/>
      <sz val="15"/>
      <color rgb="FF17365D"/>
      <name val="Cambria"/>
      <charset val="1"/>
    </font>
    <font>
      <sz val="11"/>
      <color theme="1"/>
      <name val="Calibri"/>
      <charset val="1"/>
    </font>
    <font>
      <b/>
      <sz val="12"/>
      <name val="Cambria"/>
      <charset val="1"/>
    </font>
    <font>
      <b/>
      <sz val="11"/>
      <name val="Cambria"/>
      <charset val="1"/>
    </font>
    <font>
      <b/>
      <sz val="16"/>
      <color rgb="FFFFFFFF"/>
      <name val="Calibri"/>
      <charset val="1"/>
    </font>
    <font>
      <b/>
      <sz val="11"/>
      <color rgb="FF1F1F1F"/>
      <name val="Calibri"/>
      <charset val="1"/>
    </font>
    <font>
      <b/>
      <sz val="11"/>
      <color rgb="FFFFFFFF"/>
      <name val="Calibri"/>
      <charset val="1"/>
    </font>
    <font>
      <b/>
      <sz val="11"/>
      <color theme="1"/>
      <name val="Calibri"/>
      <charset val="1"/>
    </font>
    <font>
      <b/>
      <sz val="12"/>
      <color theme="1"/>
      <name val="Calibri"/>
      <charset val="1"/>
    </font>
    <font>
      <b/>
      <sz val="14"/>
      <name val="Cambria"/>
      <charset val="1"/>
    </font>
    <font>
      <b/>
      <sz val="10"/>
      <name val="Arial"/>
    </font>
    <font>
      <b/>
      <sz val="10"/>
      <color rgb="FFFFFFFF"/>
      <name val="Arial"/>
    </font>
    <font>
      <b/>
      <sz val="12"/>
      <color rgb="FFFFFFFF"/>
      <name val="Arial"/>
    </font>
    <font>
      <sz val="11"/>
      <color rgb="FF1F1F1F"/>
      <name val="Arial"/>
    </font>
    <font>
      <sz val="10"/>
      <color rgb="FF1F1F1F"/>
      <name val="Arial"/>
    </font>
    <font>
      <sz val="10"/>
      <color rgb="FF1F1F1F"/>
      <name val="Arial"/>
    </font>
    <font>
      <b/>
      <sz val="10"/>
      <color rgb="FF1F1F1F"/>
      <name val="Arial"/>
    </font>
    <font>
      <b/>
      <sz val="11"/>
      <color theme="0"/>
      <name val="Cambria"/>
      <family val="1"/>
    </font>
    <font>
      <b/>
      <sz val="15"/>
      <color theme="0"/>
      <name val="Cambria"/>
      <family val="1"/>
    </font>
    <font>
      <sz val="10"/>
      <color theme="0"/>
      <name val="Arial"/>
      <family val="2"/>
      <charset val="1"/>
    </font>
    <font>
      <sz val="11"/>
      <color theme="1"/>
      <name val="Calibri"/>
      <family val="2"/>
    </font>
    <font>
      <sz val="10"/>
      <color theme="8" tint="-0.499984740745262"/>
      <name val="Arial"/>
      <family val="2"/>
      <charset val="1"/>
    </font>
    <font>
      <sz val="10"/>
      <color rgb="FF1F1F1F"/>
      <name val="Arial"/>
      <family val="2"/>
    </font>
    <font>
      <sz val="11"/>
      <color rgb="FF1F1F1F"/>
      <name val="Arial"/>
      <family val="2"/>
    </font>
    <font>
      <sz val="11"/>
      <name val="Arial"/>
      <family val="2"/>
      <charset val="1"/>
    </font>
    <font>
      <b/>
      <sz val="11"/>
      <color rgb="FFFFFFFF"/>
      <name val="Cambria"/>
      <family val="1"/>
    </font>
    <font>
      <sz val="8"/>
      <name val="Arial"/>
      <family val="2"/>
      <charset val="1"/>
    </font>
    <font>
      <b/>
      <sz val="12"/>
      <name val="Cambria"/>
      <family val="1"/>
    </font>
    <font>
      <b/>
      <sz val="11"/>
      <color rgb="FF1F1F1F"/>
      <name val="Calibri"/>
      <family val="2"/>
    </font>
    <font>
      <b/>
      <sz val="14"/>
      <color theme="0"/>
      <name val="Arial"/>
      <family val="2"/>
    </font>
    <font>
      <sz val="10"/>
      <color theme="0"/>
      <name val="Arial"/>
      <family val="2"/>
    </font>
  </fonts>
  <fills count="19">
    <fill>
      <patternFill patternType="none"/>
    </fill>
    <fill>
      <patternFill patternType="gray125"/>
    </fill>
    <fill>
      <patternFill patternType="solid">
        <fgColor rgb="FF17365D"/>
        <bgColor rgb="FF1F4E78"/>
      </patternFill>
    </fill>
    <fill>
      <patternFill patternType="solid">
        <fgColor rgb="FFF4F7FB"/>
        <bgColor rgb="FFF9F9F9"/>
      </patternFill>
    </fill>
    <fill>
      <patternFill patternType="solid">
        <fgColor rgb="FF0F6B78"/>
        <bgColor rgb="FF1F4E78"/>
      </patternFill>
    </fill>
    <fill>
      <patternFill patternType="solid">
        <fgColor rgb="FF2F75B5"/>
        <bgColor rgb="FF4A7EBB"/>
      </patternFill>
    </fill>
    <fill>
      <patternFill patternType="solid">
        <fgColor rgb="FF1F4E78"/>
        <bgColor rgb="FF17365D"/>
      </patternFill>
    </fill>
    <fill>
      <patternFill patternType="solid">
        <fgColor rgb="FF5B9BD5"/>
        <bgColor rgb="FF4F81BD"/>
      </patternFill>
    </fill>
    <fill>
      <patternFill patternType="solid">
        <fgColor rgb="FFD9EAF7"/>
        <bgColor rgb="FFD9E2F3"/>
      </patternFill>
    </fill>
    <fill>
      <patternFill patternType="solid">
        <fgColor rgb="FFE2F0D9"/>
        <bgColor rgb="FFD9EAF7"/>
      </patternFill>
    </fill>
    <fill>
      <patternFill patternType="solid">
        <fgColor rgb="FFFFF2CC"/>
      </patternFill>
    </fill>
    <fill>
      <patternFill patternType="solid">
        <fgColor rgb="FF17365D"/>
      </patternFill>
    </fill>
    <fill>
      <patternFill patternType="solid">
        <fgColor rgb="FF2F75B5"/>
      </patternFill>
    </fill>
    <fill>
      <patternFill patternType="solid">
        <fgColor rgb="FFEAF2F8"/>
      </patternFill>
    </fill>
    <fill>
      <patternFill patternType="solid">
        <fgColor rgb="FFF3F6F8"/>
      </patternFill>
    </fill>
    <fill>
      <patternFill patternType="solid">
        <fgColor theme="8" tint="-0.499984740745262"/>
        <bgColor indexed="64"/>
      </patternFill>
    </fill>
    <fill>
      <patternFill patternType="solid">
        <fgColor theme="8" tint="-0.499984740745262"/>
        <bgColor rgb="FF1F4E78"/>
      </patternFill>
    </fill>
    <fill>
      <patternFill patternType="solid">
        <fgColor theme="0"/>
        <bgColor indexed="64"/>
      </patternFill>
    </fill>
    <fill>
      <patternFill patternType="solid">
        <fgColor theme="0"/>
        <bgColor rgb="FF1F4E78"/>
      </patternFill>
    </fill>
  </fills>
  <borders count="17">
    <border>
      <left/>
      <right/>
      <top/>
      <bottom/>
      <diagonal/>
    </border>
    <border>
      <left style="thin">
        <color rgb="FFD9E2F3"/>
      </left>
      <right style="thin">
        <color rgb="FFD9E2F3"/>
      </right>
      <top style="thin">
        <color rgb="FFD9E2F3"/>
      </top>
      <bottom style="thin">
        <color rgb="FFD9E2F3"/>
      </bottom>
      <diagonal/>
    </border>
    <border>
      <left/>
      <right/>
      <top/>
      <bottom style="thin">
        <color rgb="FFD9E1F2"/>
      </bottom>
      <diagonal/>
    </border>
    <border>
      <left/>
      <right/>
      <top style="thin">
        <color rgb="FFD9E2F3"/>
      </top>
      <bottom/>
      <diagonal/>
    </border>
    <border>
      <left/>
      <right style="thin">
        <color rgb="FFD9E2F3"/>
      </right>
      <top style="thin">
        <color rgb="FFD9E2F3"/>
      </top>
      <bottom/>
      <diagonal/>
    </border>
    <border>
      <left/>
      <right style="thin">
        <color rgb="FFD9E2F3"/>
      </right>
      <top style="thin">
        <color rgb="FFD9E2F3"/>
      </top>
      <bottom style="thin">
        <color rgb="FFD9E2F3"/>
      </bottom>
      <diagonal/>
    </border>
    <border>
      <left/>
      <right/>
      <top style="thin">
        <color rgb="FFD9E2F3"/>
      </top>
      <bottom style="thin">
        <color rgb="FFD9E2F3"/>
      </bottom>
      <diagonal/>
    </border>
    <border>
      <left style="thin">
        <color rgb="FFD9E2F3"/>
      </left>
      <right/>
      <top/>
      <bottom style="thin">
        <color rgb="FFD9E2F3"/>
      </bottom>
      <diagonal/>
    </border>
    <border>
      <left/>
      <right style="thin">
        <color rgb="FFD9E2F3"/>
      </right>
      <top/>
      <bottom style="thin">
        <color rgb="FFD9E2F3"/>
      </bottom>
      <diagonal/>
    </border>
    <border>
      <left/>
      <right/>
      <top/>
      <bottom style="thin">
        <color rgb="FFD9E2F3"/>
      </bottom>
      <diagonal/>
    </border>
    <border>
      <left style="thin">
        <color rgb="FFD9E2F3"/>
      </left>
      <right style="thin">
        <color rgb="FFD9E2F3"/>
      </right>
      <top style="thin">
        <color rgb="FFD9E2F3"/>
      </top>
      <bottom style="thin">
        <color rgb="FFD9E2F3"/>
      </bottom>
      <diagonal/>
    </border>
    <border>
      <left/>
      <right/>
      <top/>
      <bottom/>
      <diagonal/>
    </border>
    <border>
      <left style="thin">
        <color rgb="FFD9E2F3"/>
      </left>
      <right style="thin">
        <color rgb="FFD9E2F3"/>
      </right>
      <top style="thin">
        <color rgb="FFD9E2F3"/>
      </top>
      <bottom/>
      <diagonal/>
    </border>
    <border>
      <left style="thin">
        <color rgb="FFD9E2F3"/>
      </left>
      <right/>
      <top/>
      <bottom/>
      <diagonal/>
    </border>
    <border>
      <left style="thin">
        <color indexed="64"/>
      </left>
      <right style="thin">
        <color indexed="64"/>
      </right>
      <top style="thin">
        <color indexed="64"/>
      </top>
      <bottom style="thin">
        <color indexed="64"/>
      </bottom>
      <diagonal/>
    </border>
    <border>
      <left style="thin">
        <color rgb="FFD9E2F3"/>
      </left>
      <right/>
      <top style="thin">
        <color rgb="FFD9E2F3"/>
      </top>
      <bottom/>
      <diagonal/>
    </border>
    <border>
      <left/>
      <right style="thin">
        <color rgb="FFD9E2F3"/>
      </right>
      <top/>
      <bottom/>
      <diagonal/>
    </border>
  </borders>
  <cellStyleXfs count="2">
    <xf numFmtId="0" fontId="0" fillId="0" borderId="0"/>
    <xf numFmtId="0" fontId="1" fillId="0" borderId="0"/>
  </cellStyleXfs>
  <cellXfs count="166">
    <xf numFmtId="0" fontId="0" fillId="0" borderId="0" xfId="0"/>
    <xf numFmtId="0" fontId="3" fillId="0" borderId="0" xfId="0" applyFont="1" applyAlignment="1">
      <alignment vertical="top" wrapText="1"/>
    </xf>
    <xf numFmtId="0" fontId="7" fillId="0" borderId="0" xfId="0" applyFont="1" applyAlignment="1">
      <alignment vertical="top"/>
    </xf>
    <xf numFmtId="0" fontId="0" fillId="0" borderId="0" xfId="0" applyAlignment="1">
      <alignment vertical="top"/>
    </xf>
    <xf numFmtId="0" fontId="0" fillId="0" borderId="0" xfId="0" applyAlignment="1">
      <alignment vertical="top" wrapText="1"/>
    </xf>
    <xf numFmtId="0" fontId="11" fillId="0" borderId="0" xfId="0" applyFont="1" applyAlignment="1">
      <alignment vertical="top"/>
    </xf>
    <xf numFmtId="0" fontId="12" fillId="5" borderId="0" xfId="0" applyFont="1" applyFill="1" applyAlignment="1">
      <alignment vertical="top"/>
    </xf>
    <xf numFmtId="0" fontId="13" fillId="0" borderId="0" xfId="0" applyFont="1" applyAlignment="1">
      <alignment vertical="top"/>
    </xf>
    <xf numFmtId="0" fontId="14" fillId="6" borderId="2" xfId="0" applyFont="1" applyFill="1" applyBorder="1" applyAlignment="1">
      <alignment vertical="top"/>
    </xf>
    <xf numFmtId="0" fontId="12" fillId="6" borderId="2" xfId="0" applyFont="1" applyFill="1" applyBorder="1" applyAlignment="1">
      <alignment vertical="top"/>
    </xf>
    <xf numFmtId="0" fontId="7" fillId="0" borderId="0" xfId="0" applyFont="1"/>
    <xf numFmtId="0" fontId="12" fillId="6" borderId="0" xfId="0" applyFont="1" applyFill="1" applyAlignment="1">
      <alignment vertical="top"/>
    </xf>
    <xf numFmtId="2" fontId="15" fillId="0" borderId="0" xfId="0" applyNumberFormat="1" applyFont="1" applyAlignment="1">
      <alignment vertical="top"/>
    </xf>
    <xf numFmtId="2" fontId="15" fillId="0" borderId="0" xfId="0" applyNumberFormat="1" applyFont="1"/>
    <xf numFmtId="0" fontId="14" fillId="0" borderId="0" xfId="0" applyFont="1" applyAlignment="1">
      <alignment vertical="top"/>
    </xf>
    <xf numFmtId="0" fontId="15" fillId="0" borderId="2" xfId="0" applyFont="1" applyBorder="1" applyAlignment="1">
      <alignment vertical="top"/>
    </xf>
    <xf numFmtId="0" fontId="16" fillId="0" borderId="0" xfId="0" applyFont="1" applyAlignment="1">
      <alignment vertical="top"/>
    </xf>
    <xf numFmtId="0" fontId="15" fillId="0" borderId="0" xfId="0" applyFont="1" applyAlignment="1">
      <alignment vertical="top" wrapText="1"/>
    </xf>
    <xf numFmtId="0" fontId="17" fillId="0" borderId="0" xfId="0" applyFont="1" applyAlignment="1">
      <alignment vertical="top"/>
    </xf>
    <xf numFmtId="2" fontId="15" fillId="0" borderId="2" xfId="0" applyNumberFormat="1" applyFont="1" applyBorder="1" applyAlignment="1">
      <alignment vertical="top"/>
    </xf>
    <xf numFmtId="10" fontId="15" fillId="0" borderId="2" xfId="0" applyNumberFormat="1" applyFont="1" applyBorder="1" applyAlignment="1">
      <alignment vertical="top"/>
    </xf>
    <xf numFmtId="0" fontId="17" fillId="0" borderId="2" xfId="0" applyFont="1" applyBorder="1" applyAlignment="1">
      <alignment vertical="top"/>
    </xf>
    <xf numFmtId="0" fontId="17" fillId="0" borderId="2" xfId="0" applyFont="1" applyBorder="1" applyAlignment="1">
      <alignment vertical="center"/>
    </xf>
    <xf numFmtId="2" fontId="17" fillId="0" borderId="2" xfId="0" applyNumberFormat="1" applyFont="1" applyBorder="1" applyAlignment="1">
      <alignment vertical="top"/>
    </xf>
    <xf numFmtId="10" fontId="17" fillId="0" borderId="2" xfId="0" applyNumberFormat="1" applyFont="1" applyBorder="1" applyAlignment="1">
      <alignment vertical="top"/>
    </xf>
    <xf numFmtId="10" fontId="15" fillId="0" borderId="0" xfId="0" applyNumberFormat="1" applyFont="1" applyAlignment="1">
      <alignment vertical="top"/>
    </xf>
    <xf numFmtId="0" fontId="12" fillId="7" borderId="0" xfId="0" applyFont="1" applyFill="1" applyAlignment="1">
      <alignment vertical="top"/>
    </xf>
    <xf numFmtId="0" fontId="15" fillId="0" borderId="2" xfId="0" applyFont="1" applyBorder="1" applyAlignment="1">
      <alignment vertical="top" wrapText="1"/>
    </xf>
    <xf numFmtId="2" fontId="15" fillId="0" borderId="2" xfId="0" applyNumberFormat="1" applyFont="1" applyBorder="1" applyAlignment="1">
      <alignment vertical="top" wrapText="1"/>
    </xf>
    <xf numFmtId="0" fontId="17" fillId="0" borderId="2" xfId="0" applyFont="1" applyBorder="1" applyAlignment="1">
      <alignment vertical="top" wrapText="1"/>
    </xf>
    <xf numFmtId="0" fontId="15" fillId="0" borderId="0" xfId="0" applyFont="1" applyAlignment="1">
      <alignment vertical="top"/>
    </xf>
    <xf numFmtId="2" fontId="15" fillId="0" borderId="0" xfId="0" applyNumberFormat="1" applyFont="1" applyAlignment="1">
      <alignment vertical="top" wrapText="1"/>
    </xf>
    <xf numFmtId="10" fontId="15" fillId="0" borderId="0" xfId="0" applyNumberFormat="1" applyFont="1" applyAlignment="1">
      <alignment vertical="top" wrapText="1"/>
    </xf>
    <xf numFmtId="2" fontId="17" fillId="0" borderId="0" xfId="0" applyNumberFormat="1" applyFont="1" applyAlignment="1">
      <alignment vertical="top" wrapText="1"/>
    </xf>
    <xf numFmtId="2" fontId="17" fillId="0" borderId="0" xfId="0" applyNumberFormat="1" applyFont="1" applyAlignment="1">
      <alignment vertical="top"/>
    </xf>
    <xf numFmtId="10" fontId="17" fillId="0" borderId="0" xfId="0" applyNumberFormat="1" applyFont="1" applyAlignment="1">
      <alignment vertical="top"/>
    </xf>
    <xf numFmtId="10" fontId="12" fillId="6" borderId="2" xfId="0" applyNumberFormat="1" applyFont="1" applyFill="1" applyBorder="1" applyAlignment="1">
      <alignment vertical="top"/>
    </xf>
    <xf numFmtId="0" fontId="14" fillId="0" borderId="0" xfId="0" applyFont="1" applyAlignment="1">
      <alignment vertical="top" wrapText="1"/>
    </xf>
    <xf numFmtId="0" fontId="1" fillId="0" borderId="0" xfId="0" applyFont="1" applyAlignment="1">
      <alignment vertical="top" wrapText="1"/>
    </xf>
    <xf numFmtId="10" fontId="15" fillId="0" borderId="2" xfId="0" applyNumberFormat="1" applyFont="1" applyBorder="1" applyAlignment="1">
      <alignment vertical="top" wrapText="1"/>
    </xf>
    <xf numFmtId="0" fontId="15" fillId="0" borderId="0" xfId="0" applyFont="1" applyAlignment="1">
      <alignment wrapText="1"/>
    </xf>
    <xf numFmtId="0" fontId="19" fillId="8" borderId="0" xfId="0" applyFont="1" applyFill="1" applyAlignment="1">
      <alignment vertical="top"/>
    </xf>
    <xf numFmtId="0" fontId="20" fillId="6" borderId="0" xfId="0" applyFont="1" applyFill="1" applyAlignment="1">
      <alignment horizontal="center" vertical="center" wrapText="1"/>
    </xf>
    <xf numFmtId="10" fontId="15" fillId="0" borderId="0" xfId="0" applyNumberFormat="1" applyFont="1" applyAlignment="1">
      <alignment wrapText="1"/>
    </xf>
    <xf numFmtId="17" fontId="15" fillId="0" borderId="0" xfId="0" applyNumberFormat="1" applyFont="1" applyAlignment="1">
      <alignment vertical="top"/>
    </xf>
    <xf numFmtId="0" fontId="21" fillId="9" borderId="0" xfId="0" applyFont="1" applyFill="1" applyAlignment="1">
      <alignment vertical="top"/>
    </xf>
    <xf numFmtId="0" fontId="21" fillId="9" borderId="0" xfId="0" applyFont="1" applyFill="1"/>
    <xf numFmtId="0" fontId="21" fillId="9" borderId="0" xfId="0" applyFont="1" applyFill="1" applyAlignment="1">
      <alignment wrapText="1"/>
    </xf>
    <xf numFmtId="0" fontId="18" fillId="6" borderId="0" xfId="0" applyFont="1" applyFill="1" applyAlignment="1">
      <alignment horizontal="center" vertical="center" wrapText="1"/>
    </xf>
    <xf numFmtId="0" fontId="23" fillId="0" borderId="0" xfId="0" applyFont="1" applyAlignment="1">
      <alignment vertical="top" wrapText="1"/>
    </xf>
    <xf numFmtId="0" fontId="17" fillId="8" borderId="0" xfId="0" applyFont="1" applyFill="1" applyAlignment="1">
      <alignment vertical="top"/>
    </xf>
    <xf numFmtId="17" fontId="15" fillId="0" borderId="0" xfId="0" applyNumberFormat="1" applyFont="1" applyAlignment="1">
      <alignment vertical="top" wrapText="1"/>
    </xf>
    <xf numFmtId="165" fontId="15" fillId="0" borderId="0" xfId="0" applyNumberFormat="1" applyFont="1" applyAlignment="1">
      <alignment vertical="top"/>
    </xf>
    <xf numFmtId="2" fontId="17" fillId="8" borderId="0" xfId="0" applyNumberFormat="1" applyFont="1" applyFill="1" applyAlignment="1">
      <alignment vertical="top" wrapText="1"/>
    </xf>
    <xf numFmtId="10" fontId="17" fillId="8" borderId="0" xfId="0" applyNumberFormat="1" applyFont="1" applyFill="1" applyAlignment="1">
      <alignment vertical="top" wrapText="1"/>
    </xf>
    <xf numFmtId="165" fontId="15" fillId="0" borderId="0" xfId="0" applyNumberFormat="1" applyFont="1" applyAlignment="1">
      <alignment vertical="top" wrapText="1"/>
    </xf>
    <xf numFmtId="17" fontId="17" fillId="8" borderId="0" xfId="0" applyNumberFormat="1" applyFont="1" applyFill="1" applyAlignment="1">
      <alignment vertical="top"/>
    </xf>
    <xf numFmtId="2" fontId="17" fillId="8" borderId="0" xfId="0" applyNumberFormat="1" applyFont="1" applyFill="1" applyAlignment="1">
      <alignment vertical="top"/>
    </xf>
    <xf numFmtId="10" fontId="17" fillId="8" borderId="0" xfId="0" applyNumberFormat="1" applyFont="1" applyFill="1" applyAlignment="1">
      <alignment vertical="top"/>
    </xf>
    <xf numFmtId="165" fontId="17" fillId="8" borderId="0" xfId="0" applyNumberFormat="1" applyFont="1" applyFill="1" applyAlignment="1">
      <alignment vertical="top"/>
    </xf>
    <xf numFmtId="0" fontId="17" fillId="8" borderId="0" xfId="0" applyFont="1" applyFill="1" applyAlignment="1">
      <alignment vertical="top" wrapText="1"/>
    </xf>
    <xf numFmtId="0" fontId="24" fillId="0" borderId="0" xfId="0" applyFont="1"/>
    <xf numFmtId="0" fontId="0" fillId="10" borderId="0" xfId="0" applyFill="1" applyAlignment="1">
      <alignment vertical="top"/>
    </xf>
    <xf numFmtId="2" fontId="15" fillId="10" borderId="0" xfId="0" applyNumberFormat="1" applyFont="1" applyFill="1"/>
    <xf numFmtId="2" fontId="15" fillId="10" borderId="0" xfId="0" applyNumberFormat="1" applyFont="1" applyFill="1" applyAlignment="1">
      <alignment vertical="top"/>
    </xf>
    <xf numFmtId="0" fontId="28" fillId="0" borderId="11" xfId="0" applyFont="1" applyBorder="1"/>
    <xf numFmtId="0" fontId="25" fillId="11" borderId="2" xfId="0" applyFont="1" applyFill="1" applyBorder="1" applyAlignment="1">
      <alignment horizontal="center" vertical="center" wrapText="1"/>
    </xf>
    <xf numFmtId="0" fontId="25" fillId="11" borderId="0" xfId="0" applyFont="1" applyFill="1" applyAlignment="1">
      <alignment horizontal="center" vertical="center" wrapText="1"/>
    </xf>
    <xf numFmtId="0" fontId="31" fillId="6" borderId="0" xfId="0" applyFont="1" applyFill="1" applyAlignment="1">
      <alignment vertical="top"/>
    </xf>
    <xf numFmtId="0" fontId="34" fillId="0" borderId="0" xfId="0" applyFont="1" applyAlignment="1">
      <alignment vertical="top" wrapText="1"/>
    </xf>
    <xf numFmtId="0" fontId="35" fillId="15" borderId="0" xfId="0" applyFont="1" applyFill="1"/>
    <xf numFmtId="0" fontId="0" fillId="15" borderId="0" xfId="0" applyFill="1"/>
    <xf numFmtId="0" fontId="8" fillId="16" borderId="0" xfId="0" applyFont="1" applyFill="1" applyAlignment="1">
      <alignment vertical="top"/>
    </xf>
    <xf numFmtId="0" fontId="0" fillId="0" borderId="11" xfId="0" applyBorder="1"/>
    <xf numFmtId="0" fontId="9" fillId="18" borderId="0" xfId="0" applyFont="1" applyFill="1" applyAlignment="1">
      <alignment vertical="top"/>
    </xf>
    <xf numFmtId="0" fontId="0" fillId="17" borderId="0" xfId="0" applyFill="1"/>
    <xf numFmtId="0" fontId="0" fillId="17" borderId="0" xfId="0" applyFill="1" applyAlignment="1">
      <alignment wrapText="1"/>
    </xf>
    <xf numFmtId="0" fontId="32" fillId="6" borderId="2" xfId="0" applyFont="1" applyFill="1" applyBorder="1" applyAlignment="1">
      <alignment vertical="top"/>
    </xf>
    <xf numFmtId="0" fontId="32" fillId="6" borderId="0" xfId="0" applyFont="1" applyFill="1" applyAlignment="1">
      <alignment vertical="top"/>
    </xf>
    <xf numFmtId="0" fontId="39" fillId="6" borderId="2" xfId="0" applyFont="1" applyFill="1" applyBorder="1" applyAlignment="1">
      <alignment vertical="top"/>
    </xf>
    <xf numFmtId="0" fontId="41" fillId="0" borderId="0" xfId="0" applyFont="1" applyAlignment="1">
      <alignment vertical="top" wrapText="1"/>
    </xf>
    <xf numFmtId="0" fontId="42" fillId="8" borderId="0" xfId="0" applyFont="1" applyFill="1" applyAlignment="1">
      <alignment vertical="top"/>
    </xf>
    <xf numFmtId="0" fontId="20" fillId="6" borderId="14" xfId="0" applyFont="1" applyFill="1" applyBorder="1" applyAlignment="1">
      <alignment horizontal="center" vertical="center" wrapText="1"/>
    </xf>
    <xf numFmtId="0" fontId="0" fillId="0" borderId="14" xfId="0" applyBorder="1"/>
    <xf numFmtId="0" fontId="0" fillId="0" borderId="14" xfId="0" applyBorder="1" applyAlignment="1">
      <alignment vertical="top"/>
    </xf>
    <xf numFmtId="10" fontId="15" fillId="0" borderId="14" xfId="0" applyNumberFormat="1" applyFont="1" applyBorder="1" applyAlignment="1">
      <alignment vertical="top"/>
    </xf>
    <xf numFmtId="0" fontId="0" fillId="0" borderId="14" xfId="0" applyBorder="1" applyAlignment="1">
      <alignment vertical="top" wrapText="1"/>
    </xf>
    <xf numFmtId="0" fontId="15" fillId="0" borderId="14" xfId="0" applyFont="1" applyBorder="1" applyAlignment="1">
      <alignment wrapText="1"/>
    </xf>
    <xf numFmtId="10" fontId="15" fillId="0" borderId="14" xfId="0" applyNumberFormat="1" applyFont="1" applyBorder="1" applyAlignment="1">
      <alignment wrapText="1"/>
    </xf>
    <xf numFmtId="0" fontId="19" fillId="8" borderId="14" xfId="0" applyFont="1" applyFill="1" applyBorder="1" applyAlignment="1">
      <alignment vertical="top"/>
    </xf>
    <xf numFmtId="10" fontId="19" fillId="8" borderId="14" xfId="0" applyNumberFormat="1" applyFont="1" applyFill="1" applyBorder="1" applyAlignment="1">
      <alignment vertical="top"/>
    </xf>
    <xf numFmtId="17" fontId="15" fillId="0" borderId="14" xfId="0" applyNumberFormat="1" applyFont="1" applyBorder="1" applyAlignment="1">
      <alignment vertical="top"/>
    </xf>
    <xf numFmtId="0" fontId="15" fillId="0" borderId="14" xfId="0" applyFont="1" applyBorder="1" applyAlignment="1">
      <alignment vertical="top"/>
    </xf>
    <xf numFmtId="0" fontId="19" fillId="8" borderId="14" xfId="0" applyFont="1" applyFill="1" applyBorder="1" applyAlignment="1">
      <alignment horizontal="center" vertical="center" wrapText="1"/>
    </xf>
    <xf numFmtId="0" fontId="21" fillId="9" borderId="14" xfId="0" applyFont="1" applyFill="1" applyBorder="1" applyAlignment="1">
      <alignment vertical="top"/>
    </xf>
    <xf numFmtId="0" fontId="21" fillId="9" borderId="14" xfId="0" applyFont="1" applyFill="1" applyBorder="1"/>
    <xf numFmtId="17" fontId="22" fillId="8" borderId="14" xfId="0" applyNumberFormat="1" applyFont="1" applyFill="1" applyBorder="1" applyAlignment="1">
      <alignment vertical="top"/>
    </xf>
    <xf numFmtId="17" fontId="20" fillId="6" borderId="14" xfId="0" applyNumberFormat="1" applyFont="1" applyFill="1" applyBorder="1" applyAlignment="1">
      <alignment vertical="top"/>
    </xf>
    <xf numFmtId="0" fontId="20" fillId="6" borderId="14" xfId="0" applyFont="1" applyFill="1" applyBorder="1" applyAlignment="1">
      <alignment vertical="top"/>
    </xf>
    <xf numFmtId="0" fontId="37" fillId="13" borderId="3" xfId="0" applyFont="1" applyFill="1" applyBorder="1" applyAlignment="1">
      <alignment horizontal="left" vertical="top" wrapText="1"/>
    </xf>
    <xf numFmtId="0" fontId="37" fillId="13" borderId="11" xfId="0" applyFont="1" applyFill="1" applyBorder="1" applyAlignment="1">
      <alignment horizontal="left" vertical="top" wrapText="1"/>
    </xf>
    <xf numFmtId="0" fontId="37" fillId="13" borderId="4" xfId="0" applyFont="1" applyFill="1" applyBorder="1" applyAlignment="1">
      <alignment horizontal="left" vertical="top" wrapText="1"/>
    </xf>
    <xf numFmtId="0" fontId="37" fillId="13" borderId="16" xfId="0" applyFont="1" applyFill="1" applyBorder="1" applyAlignment="1">
      <alignment horizontal="left" vertical="top" wrapText="1"/>
    </xf>
    <xf numFmtId="0" fontId="37" fillId="13" borderId="9" xfId="0" applyFont="1" applyFill="1" applyBorder="1" applyAlignment="1">
      <alignment horizontal="left" vertical="top" wrapText="1"/>
    </xf>
    <xf numFmtId="0" fontId="37" fillId="13" borderId="8" xfId="0" applyFont="1" applyFill="1" applyBorder="1" applyAlignment="1">
      <alignment horizontal="left" vertical="top" wrapText="1"/>
    </xf>
    <xf numFmtId="0" fontId="26" fillId="12" borderId="10" xfId="0" applyFont="1" applyFill="1" applyBorder="1" applyAlignment="1">
      <alignment horizontal="left" vertical="center"/>
    </xf>
    <xf numFmtId="0" fontId="0" fillId="0" borderId="10" xfId="0" applyBorder="1"/>
    <xf numFmtId="0" fontId="37" fillId="13" borderId="15" xfId="0" applyFont="1" applyFill="1" applyBorder="1" applyAlignment="1">
      <alignment horizontal="left" vertical="top" wrapText="1"/>
    </xf>
    <xf numFmtId="0" fontId="37" fillId="13" borderId="3" xfId="0" applyFont="1" applyFill="1" applyBorder="1" applyAlignment="1">
      <alignment horizontal="left" vertical="top" wrapText="1"/>
    </xf>
    <xf numFmtId="0" fontId="37" fillId="13" borderId="13" xfId="0" applyFont="1" applyFill="1" applyBorder="1" applyAlignment="1">
      <alignment horizontal="left" vertical="top" wrapText="1"/>
    </xf>
    <xf numFmtId="0" fontId="37" fillId="13" borderId="11" xfId="0" applyFont="1" applyFill="1" applyBorder="1" applyAlignment="1">
      <alignment horizontal="left" vertical="top" wrapText="1"/>
    </xf>
    <xf numFmtId="0" fontId="25" fillId="12" borderId="10" xfId="0" applyFont="1" applyFill="1" applyBorder="1" applyAlignment="1">
      <alignment vertical="center" wrapText="1"/>
    </xf>
    <xf numFmtId="0" fontId="38" fillId="0" borderId="13" xfId="0" applyFont="1" applyBorder="1" applyAlignment="1">
      <alignment horizontal="left" vertical="top" wrapText="1"/>
    </xf>
    <xf numFmtId="0" fontId="38" fillId="0" borderId="11" xfId="0" applyFont="1" applyBorder="1" applyAlignment="1">
      <alignment horizontal="left" vertical="top" wrapText="1"/>
    </xf>
    <xf numFmtId="0" fontId="36" fillId="10" borderId="11" xfId="0" applyFont="1" applyFill="1" applyBorder="1" applyAlignment="1">
      <alignment vertical="center" wrapText="1"/>
    </xf>
    <xf numFmtId="0" fontId="0" fillId="0" borderId="0" xfId="0"/>
    <xf numFmtId="0" fontId="4" fillId="3" borderId="1" xfId="0" applyFont="1" applyFill="1" applyBorder="1" applyAlignment="1">
      <alignment vertical="top"/>
    </xf>
    <xf numFmtId="0" fontId="0" fillId="0" borderId="5" xfId="0" applyBorder="1"/>
    <xf numFmtId="0" fontId="0" fillId="0" borderId="6" xfId="0" applyBorder="1"/>
    <xf numFmtId="165" fontId="6" fillId="3" borderId="1" xfId="0" applyNumberFormat="1" applyFont="1" applyFill="1" applyBorder="1" applyAlignment="1">
      <alignment vertical="top"/>
    </xf>
    <xf numFmtId="0" fontId="0" fillId="0" borderId="3" xfId="0" applyBorder="1"/>
    <xf numFmtId="0" fontId="0" fillId="0" borderId="4" xfId="0" applyBorder="1"/>
    <xf numFmtId="0" fontId="0" fillId="0" borderId="7" xfId="0" applyBorder="1"/>
    <xf numFmtId="0" fontId="0" fillId="0" borderId="9" xfId="0" applyBorder="1"/>
    <xf numFmtId="0" fontId="0" fillId="0" borderId="8" xfId="0" applyBorder="1"/>
    <xf numFmtId="10" fontId="6" fillId="3" borderId="1" xfId="0" applyNumberFormat="1" applyFont="1" applyFill="1" applyBorder="1" applyAlignment="1">
      <alignment vertical="top"/>
    </xf>
    <xf numFmtId="0" fontId="5" fillId="3" borderId="1" xfId="0" applyFont="1" applyFill="1" applyBorder="1" applyAlignment="1">
      <alignment vertical="top"/>
    </xf>
    <xf numFmtId="164" fontId="6" fillId="3" borderId="1" xfId="0" applyNumberFormat="1" applyFont="1" applyFill="1" applyBorder="1" applyAlignment="1">
      <alignment vertical="top"/>
    </xf>
    <xf numFmtId="0" fontId="30" fillId="10" borderId="11" xfId="0" applyFont="1" applyFill="1" applyBorder="1"/>
    <xf numFmtId="0" fontId="29" fillId="14" borderId="10" xfId="0" applyFont="1" applyFill="1" applyBorder="1" applyAlignment="1">
      <alignment vertical="center" wrapText="1"/>
    </xf>
    <xf numFmtId="0" fontId="8" fillId="4" borderId="0" xfId="0" applyFont="1" applyFill="1" applyAlignment="1">
      <alignment vertical="top"/>
    </xf>
    <xf numFmtId="0" fontId="2" fillId="2" borderId="0" xfId="0" applyFont="1" applyFill="1" applyAlignment="1">
      <alignment vertical="top"/>
    </xf>
    <xf numFmtId="0" fontId="3" fillId="0" borderId="0" xfId="0" applyFont="1" applyAlignment="1">
      <alignment vertical="top" wrapText="1"/>
    </xf>
    <xf numFmtId="0" fontId="5" fillId="3" borderId="1" xfId="0" applyFont="1" applyFill="1" applyBorder="1" applyAlignment="1">
      <alignment vertical="top" wrapText="1"/>
    </xf>
    <xf numFmtId="0" fontId="25" fillId="12" borderId="12" xfId="0" applyFont="1" applyFill="1" applyBorder="1" applyAlignment="1">
      <alignment vertical="center" wrapText="1"/>
    </xf>
    <xf numFmtId="0" fontId="0" fillId="0" borderId="12" xfId="0" applyBorder="1"/>
    <xf numFmtId="0" fontId="36" fillId="17" borderId="11" xfId="0" applyFont="1" applyFill="1" applyBorder="1" applyAlignment="1">
      <alignment vertical="center" wrapText="1"/>
    </xf>
    <xf numFmtId="0" fontId="0" fillId="17" borderId="11" xfId="0" applyFill="1" applyBorder="1" applyAlignment="1">
      <alignment wrapText="1"/>
    </xf>
    <xf numFmtId="0" fontId="0" fillId="3" borderId="0" xfId="0" applyFill="1" applyAlignment="1">
      <alignment vertical="top" wrapText="1"/>
    </xf>
    <xf numFmtId="0" fontId="10" fillId="2" borderId="0" xfId="0" applyFont="1" applyFill="1" applyAlignment="1">
      <alignment vertical="top" wrapText="1"/>
    </xf>
    <xf numFmtId="0" fontId="14" fillId="0" borderId="0" xfId="0" applyFont="1" applyAlignment="1">
      <alignment vertical="top"/>
    </xf>
    <xf numFmtId="0" fontId="15" fillId="0" borderId="0" xfId="0" applyFont="1" applyAlignment="1">
      <alignment vertical="top" wrapText="1"/>
    </xf>
    <xf numFmtId="0" fontId="27" fillId="13" borderId="10" xfId="0" applyFont="1" applyFill="1" applyBorder="1" applyAlignment="1">
      <alignment horizontal="left" vertical="top" wrapText="1"/>
    </xf>
    <xf numFmtId="0" fontId="17" fillId="0" borderId="0" xfId="0" applyFont="1" applyAlignment="1">
      <alignment vertical="top" wrapText="1"/>
    </xf>
    <xf numFmtId="0" fontId="12" fillId="6" borderId="0" xfId="0" applyFont="1" applyFill="1" applyAlignment="1">
      <alignment vertical="top" wrapText="1"/>
    </xf>
    <xf numFmtId="0" fontId="12" fillId="6" borderId="2" xfId="0" applyFont="1" applyFill="1" applyBorder="1" applyAlignment="1">
      <alignment vertical="top"/>
    </xf>
    <xf numFmtId="0" fontId="0" fillId="0" borderId="2" xfId="0" applyBorder="1"/>
    <xf numFmtId="0" fontId="14" fillId="0" borderId="0" xfId="0" applyFont="1" applyAlignment="1">
      <alignment vertical="top" wrapText="1"/>
    </xf>
    <xf numFmtId="0" fontId="34" fillId="0" borderId="0" xfId="0" applyFont="1" applyAlignment="1">
      <alignment vertical="top" wrapText="1"/>
    </xf>
    <xf numFmtId="0" fontId="0" fillId="0" borderId="0" xfId="0" applyAlignment="1">
      <alignment horizontal="left" vertical="top"/>
    </xf>
    <xf numFmtId="0" fontId="15" fillId="0" borderId="0" xfId="0" applyFont="1" applyAlignment="1">
      <alignment vertical="top"/>
    </xf>
    <xf numFmtId="0" fontId="14" fillId="6" borderId="0" xfId="0" applyFont="1" applyFill="1" applyAlignment="1">
      <alignment vertical="top" wrapText="1"/>
    </xf>
    <xf numFmtId="0" fontId="15" fillId="0" borderId="0" xfId="0" applyFont="1" applyAlignment="1">
      <alignment wrapText="1"/>
    </xf>
    <xf numFmtId="0" fontId="18" fillId="6" borderId="0" xfId="0" applyFont="1" applyFill="1" applyAlignment="1">
      <alignment vertical="top"/>
    </xf>
    <xf numFmtId="0" fontId="14" fillId="6" borderId="0" xfId="0" applyFont="1" applyFill="1" applyAlignment="1">
      <alignment vertical="top"/>
    </xf>
    <xf numFmtId="0" fontId="19" fillId="8" borderId="0" xfId="0" applyFont="1" applyFill="1" applyAlignment="1">
      <alignment vertical="top"/>
    </xf>
    <xf numFmtId="0" fontId="22" fillId="8" borderId="0" xfId="0" applyFont="1" applyFill="1" applyAlignment="1">
      <alignment wrapText="1"/>
    </xf>
    <xf numFmtId="17" fontId="37" fillId="13" borderId="10" xfId="0" applyNumberFormat="1" applyFont="1" applyFill="1" applyBorder="1" applyAlignment="1">
      <alignment horizontal="left" vertical="top" wrapText="1"/>
    </xf>
    <xf numFmtId="17" fontId="26" fillId="12" borderId="10" xfId="0" applyNumberFormat="1" applyFont="1" applyFill="1" applyBorder="1" applyAlignment="1">
      <alignment horizontal="left" vertical="center"/>
    </xf>
    <xf numFmtId="0" fontId="32" fillId="6" borderId="0" xfId="0" applyFont="1" applyFill="1" applyAlignment="1">
      <alignment vertical="top"/>
    </xf>
    <xf numFmtId="0" fontId="33" fillId="0" borderId="0" xfId="0" applyFont="1"/>
    <xf numFmtId="0" fontId="21" fillId="9" borderId="0" xfId="0" applyFont="1" applyFill="1" applyAlignment="1">
      <alignment vertical="top"/>
    </xf>
    <xf numFmtId="0" fontId="32" fillId="6" borderId="0" xfId="0" applyFont="1" applyFill="1" applyAlignment="1">
      <alignment vertical="top" wrapText="1"/>
    </xf>
    <xf numFmtId="0" fontId="43" fillId="11" borderId="11" xfId="0" applyFont="1" applyFill="1" applyBorder="1" applyAlignment="1">
      <alignment horizontal="left" vertical="center"/>
    </xf>
    <xf numFmtId="0" fontId="44" fillId="0" borderId="0" xfId="0" applyFont="1"/>
    <xf numFmtId="0" fontId="41" fillId="0" borderId="0" xfId="0" applyFont="1" applyAlignment="1">
      <alignment vertical="top"/>
    </xf>
  </cellXfs>
  <cellStyles count="2">
    <cellStyle name="Hyperlink 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6B78"/>
      <rgbColor rgb="FFCCCCCC"/>
      <rgbColor rgb="FF878787"/>
      <rgbColor rgb="FF5B9BD5"/>
      <rgbColor rgb="FFBE4B48"/>
      <rgbColor rgb="FFF9F9F9"/>
      <rgbColor rgb="FFD9EAF7"/>
      <rgbColor rgb="FF660066"/>
      <rgbColor rgb="FFFF8080"/>
      <rgbColor rgb="FF0066CC"/>
      <rgbColor rgb="FFD9D9D9"/>
      <rgbColor rgb="FF000080"/>
      <rgbColor rgb="FFFF00FF"/>
      <rgbColor rgb="FFFFFF00"/>
      <rgbColor rgb="FF00FFFF"/>
      <rgbColor rgb="FF800080"/>
      <rgbColor rgb="FF800000"/>
      <rgbColor rgb="FF4F81BD"/>
      <rgbColor rgb="FF0000FF"/>
      <rgbColor rgb="FF00CCFF"/>
      <rgbColor rgb="FFF4F7FB"/>
      <rgbColor rgb="FFE2F0D9"/>
      <rgbColor rgb="FFD9E2F3"/>
      <rgbColor rgb="FF99CCFF"/>
      <rgbColor rgb="FFFF99CC"/>
      <rgbColor rgb="FF8064A2"/>
      <rgbColor rgb="FFD9E1F2"/>
      <rgbColor rgb="FF2F75B5"/>
      <rgbColor rgb="FF33CCCC"/>
      <rgbColor rgb="FF98B855"/>
      <rgbColor rgb="FFFFCC00"/>
      <rgbColor rgb="FFC69214"/>
      <rgbColor rgb="FFFF6600"/>
      <rgbColor rgb="FF7D5FA0"/>
      <rgbColor rgb="FFB3B3B3"/>
      <rgbColor rgb="FF17365D"/>
      <rgbColor rgb="FF4A7EBB"/>
      <rgbColor rgb="FF003300"/>
      <rgbColor rgb="FF666666"/>
      <rgbColor rgb="FF993300"/>
      <rgbColor rgb="FFC0504D"/>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Broader Category Contribution —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 Contribution'!$D$5</c:f>
              <c:strCache>
                <c:ptCount val="1"/>
                <c:pt idx="0">
                  <c:v>Contribution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'Q1 Contribution'!$B$6:$B$16</c:f>
              <c:strCache>
                <c:ptCount val="11"/>
                <c:pt idx="0">
                  <c:v>Food</c:v>
                </c:pt>
                <c:pt idx="1">
                  <c:v>Pan, Tobacco &amp; Intoxicants</c:v>
                </c:pt>
                <c:pt idx="2">
                  <c:v>Clothing &amp; Footwear</c:v>
                </c:pt>
                <c:pt idx="3">
                  <c:v>Housing</c:v>
                </c:pt>
                <c:pt idx="4">
                  <c:v>Fuel &amp; Light</c:v>
                </c:pt>
                <c:pt idx="5">
                  <c:v>Household Goods &amp; Services</c:v>
                </c:pt>
                <c:pt idx="6">
                  <c:v>Health</c:v>
                </c:pt>
                <c:pt idx="7">
                  <c:v>Transport &amp; Communication</c:v>
                </c:pt>
                <c:pt idx="8">
                  <c:v>Recreation &amp; Amusement</c:v>
                </c:pt>
                <c:pt idx="9">
                  <c:v>Education</c:v>
                </c:pt>
                <c:pt idx="10">
                  <c:v>Personal Care &amp; Effects</c:v>
                </c:pt>
              </c:strCache>
            </c:strRef>
          </c:cat>
          <c:val>
            <c:numRef>
              <c:f>'Q1 Contribution'!$D$6:$D$16</c:f>
              <c:numCache>
                <c:formatCode>0.00%</c:formatCode>
                <c:ptCount val="11"/>
                <c:pt idx="0">
                  <c:v>8.8873772217293978E-2</c:v>
                </c:pt>
                <c:pt idx="1">
                  <c:v>0.10162386759021358</c:v>
                </c:pt>
                <c:pt idx="2">
                  <c:v>9.277601842191141E-2</c:v>
                </c:pt>
                <c:pt idx="3">
                  <c:v>8.8781846511649276E-2</c:v>
                </c:pt>
                <c:pt idx="4">
                  <c:v>9.242210445517933E-2</c:v>
                </c:pt>
                <c:pt idx="5">
                  <c:v>8.8579609959230934E-2</c:v>
                </c:pt>
                <c:pt idx="6">
                  <c:v>9.3888319460212241E-2</c:v>
                </c:pt>
                <c:pt idx="7">
                  <c:v>8.332145959635423E-2</c:v>
                </c:pt>
                <c:pt idx="8">
                  <c:v>8.6557244435047587E-2</c:v>
                </c:pt>
                <c:pt idx="9">
                  <c:v>8.954023358321804E-2</c:v>
                </c:pt>
                <c:pt idx="10">
                  <c:v>9.3635523769689324E-2</c:v>
                </c:pt>
              </c:numCache>
            </c:numRef>
          </c:val>
          <c:extLst>
            <c:ext xmlns:c16="http://schemas.microsoft.com/office/drawing/2014/chart" uri="{C3380CC4-5D6E-409C-BE32-E72D297353CC}">
              <c16:uniqueId val="{00000000-5FF6-491E-8AFF-B384BFD82DDB}"/>
            </c:ext>
          </c:extLst>
        </c:ser>
        <c:dLbls>
          <c:showLegendKey val="0"/>
          <c:showVal val="0"/>
          <c:showCatName val="0"/>
          <c:showSerName val="0"/>
          <c:showPercent val="0"/>
          <c:showBubbleSize val="0"/>
        </c:dLbls>
        <c:gapWidth val="182"/>
        <c:axId val="15612529"/>
        <c:axId val="90471096"/>
      </c:barChart>
      <c:catAx>
        <c:axId val="1561252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471096"/>
        <c:crosses val="autoZero"/>
        <c:auto val="1"/>
        <c:lblAlgn val="ctr"/>
        <c:lblOffset val="100"/>
        <c:noMultiLvlLbl val="0"/>
      </c:catAx>
      <c:valAx>
        <c:axId val="904710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529"/>
        <c:crosses val="autoZero"/>
        <c:crossBetween val="between"/>
      </c:valAx>
      <c:spPr>
        <a:noFill/>
        <a:ln>
          <a:noFill/>
        </a:ln>
        <a:effectLst/>
      </c:spPr>
    </c:plotArea>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Annual Rural+Urban CPI YoY — 2017–2022</a:t>
            </a:r>
          </a:p>
        </c:rich>
      </c:tx>
      <c:overlay val="0"/>
      <c:spPr>
        <a:noFill/>
        <a:ln w="0">
          <a:noFill/>
          <a:prstDash val="solid"/>
        </a:ln>
      </c:spPr>
    </c:title>
    <c:autoTitleDeleted val="0"/>
    <c:plotArea>
      <c:layout/>
      <c:lineChart>
        <c:grouping val="standard"/>
        <c:varyColors val="0"/>
        <c:ser>
          <c:idx val="0"/>
          <c:order val="0"/>
          <c:tx>
            <c:strRef>
              <c:f>'Q2 Calculation'!$F$12</c:f>
              <c:strCache>
                <c:ptCount val="1"/>
                <c:pt idx="0">
                  <c:v>YoY Inflation</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'Q2 Calculation'!$A$13:$A$18</c:f>
              <c:numCache>
                <c:formatCode>General</c:formatCode>
                <c:ptCount val="6"/>
                <c:pt idx="0">
                  <c:v>2016</c:v>
                </c:pt>
                <c:pt idx="1">
                  <c:v>2017</c:v>
                </c:pt>
                <c:pt idx="2">
                  <c:v>2018</c:v>
                </c:pt>
                <c:pt idx="3">
                  <c:v>2019</c:v>
                </c:pt>
                <c:pt idx="4">
                  <c:v>2020</c:v>
                </c:pt>
                <c:pt idx="5">
                  <c:v>2021</c:v>
                </c:pt>
              </c:numCache>
            </c:numRef>
          </c:cat>
          <c:val>
            <c:numRef>
              <c:f>'Q2 Calculation'!$F$13:$F$18</c:f>
              <c:numCache>
                <c:formatCode>0.00%</c:formatCode>
                <c:ptCount val="6"/>
                <c:pt idx="1">
                  <c:v>3.3281733746129971E-2</c:v>
                </c:pt>
                <c:pt idx="2">
                  <c:v>3.9513108614232184E-2</c:v>
                </c:pt>
                <c:pt idx="3">
                  <c:v>3.7170479793430466E-2</c:v>
                </c:pt>
                <c:pt idx="4">
                  <c:v>6.1949976841130461E-2</c:v>
                </c:pt>
                <c:pt idx="5">
                  <c:v>5.6318831098026267E-2</c:v>
                </c:pt>
              </c:numCache>
            </c:numRef>
          </c:val>
          <c:smooth val="1"/>
          <c:extLst>
            <c:ext xmlns:c16="http://schemas.microsoft.com/office/drawing/2014/chart" uri="{C3380CC4-5D6E-409C-BE32-E72D297353CC}">
              <c16:uniqueId val="{00000000-7CAE-4C32-9E56-21DD5F7B2107}"/>
            </c:ext>
          </c:extLst>
        </c:ser>
        <c:dLbls>
          <c:showLegendKey val="0"/>
          <c:showVal val="0"/>
          <c:showCatName val="0"/>
          <c:showSerName val="0"/>
          <c:showPercent val="0"/>
          <c:showBubbleSize val="0"/>
        </c:dLbls>
        <c:hiLowLines>
          <c:spPr>
            <a:ln w="0">
              <a:noFill/>
              <a:prstDash val="solid"/>
            </a:ln>
          </c:spPr>
        </c:hiLowLines>
        <c:smooth val="0"/>
        <c:axId val="62684212"/>
        <c:axId val="97702342"/>
      </c:lineChart>
      <c:catAx>
        <c:axId val="62684212"/>
        <c:scaling>
          <c:orientation val="minMax"/>
        </c:scaling>
        <c:delete val="0"/>
        <c:axPos val="b"/>
        <c:numFmt formatCode="General"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97702342"/>
        <c:crosses val="autoZero"/>
        <c:auto val="1"/>
        <c:lblAlgn val="ctr"/>
        <c:lblOffset val="100"/>
        <c:noMultiLvlLbl val="0"/>
      </c:catAx>
      <c:valAx>
        <c:axId val="97702342"/>
        <c:scaling>
          <c:orientation val="minMax"/>
        </c:scaling>
        <c:delete val="0"/>
        <c:axPos val="l"/>
        <c:majorGridlines>
          <c:spPr>
            <a:ln w="0">
              <a:solidFill>
                <a:srgbClr val="B3B3B3"/>
              </a:solidFill>
              <a:prstDash val="solid"/>
            </a:ln>
          </c:spPr>
        </c:majorGridlines>
        <c:numFmt formatCode="0.0%"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62684212"/>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Food MoM Inflation — Jun 2022 to May 2023</a:t>
            </a:r>
          </a:p>
        </c:rich>
      </c:tx>
      <c:layout>
        <c:manualLayout>
          <c:xMode val="edge"/>
          <c:yMode val="edge"/>
          <c:x val="0.12410243499855415"/>
          <c:y val="1.3635695028554435E-2"/>
        </c:manualLayout>
      </c:layout>
      <c:overlay val="0"/>
      <c:spPr>
        <a:noFill/>
        <a:ln w="0">
          <a:noFill/>
          <a:prstDash val="solid"/>
        </a:ln>
      </c:spPr>
    </c:title>
    <c:autoTitleDeleted val="0"/>
    <c:plotArea>
      <c:layout/>
      <c:lineChart>
        <c:grouping val="standard"/>
        <c:varyColors val="0"/>
        <c:ser>
          <c:idx val="0"/>
          <c:order val="0"/>
          <c:tx>
            <c:strRef>
              <c:f>'Q3 Calculation'!$Q$11</c:f>
              <c:strCache>
                <c:ptCount val="1"/>
                <c:pt idx="0">
                  <c:v>MoM Food Inflation %</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'Q3 Calculation'!$B$13:$B$24</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 Calculation'!$Q$13:$Q$24</c:f>
              <c:numCache>
                <c:formatCode>0.00%</c:formatCode>
                <c:ptCount val="12"/>
                <c:pt idx="0">
                  <c:v>1.0360185902400953E-2</c:v>
                </c:pt>
                <c:pt idx="1">
                  <c:v>2.0603737422137947E-3</c:v>
                </c:pt>
                <c:pt idx="2">
                  <c:v>7.6507435566397497E-4</c:v>
                </c:pt>
                <c:pt idx="3">
                  <c:v>4.873620335419826E-3</c:v>
                </c:pt>
                <c:pt idx="4">
                  <c:v>6.9421330417005489E-3</c:v>
                </c:pt>
                <c:pt idx="5">
                  <c:v>3.7776833356928385E-4</c:v>
                </c:pt>
                <c:pt idx="6">
                  <c:v>-5.1923530800094264E-3</c:v>
                </c:pt>
                <c:pt idx="7">
                  <c:v>4.0332147093713466E-3</c:v>
                </c:pt>
                <c:pt idx="8">
                  <c:v>-6.5689981096409555E-3</c:v>
                </c:pt>
                <c:pt idx="9">
                  <c:v>4.7571476142760361E-5</c:v>
                </c:pt>
                <c:pt idx="10">
                  <c:v>4.5190752544954638E-3</c:v>
                </c:pt>
                <c:pt idx="11">
                  <c:v>7.6241890420041258E-3</c:v>
                </c:pt>
              </c:numCache>
            </c:numRef>
          </c:val>
          <c:smooth val="1"/>
          <c:extLst>
            <c:ext xmlns:c16="http://schemas.microsoft.com/office/drawing/2014/chart" uri="{C3380CC4-5D6E-409C-BE32-E72D297353CC}">
              <c16:uniqueId val="{00000000-6D14-4621-A1D4-12863C2FE680}"/>
            </c:ext>
          </c:extLst>
        </c:ser>
        <c:dLbls>
          <c:showLegendKey val="0"/>
          <c:showVal val="0"/>
          <c:showCatName val="0"/>
          <c:showSerName val="0"/>
          <c:showPercent val="0"/>
          <c:showBubbleSize val="0"/>
        </c:dLbls>
        <c:hiLowLines>
          <c:spPr>
            <a:ln w="0">
              <a:noFill/>
              <a:prstDash val="solid"/>
            </a:ln>
          </c:spPr>
        </c:hiLowLines>
        <c:smooth val="0"/>
        <c:axId val="98754154"/>
        <c:axId val="15495075"/>
      </c:lineChart>
      <c:catAx>
        <c:axId val="98754154"/>
        <c:scaling>
          <c:orientation val="minMax"/>
        </c:scaling>
        <c:delete val="0"/>
        <c:axPos val="b"/>
        <c:numFmt formatCode="General"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15495075"/>
        <c:crosses val="autoZero"/>
        <c:auto val="1"/>
        <c:lblAlgn val="ctr"/>
        <c:lblOffset val="100"/>
        <c:noMultiLvlLbl val="0"/>
      </c:catAx>
      <c:valAx>
        <c:axId val="15495075"/>
        <c:scaling>
          <c:orientation val="minMax"/>
        </c:scaling>
        <c:delete val="0"/>
        <c:axPos val="l"/>
        <c:majorGridlines>
          <c:spPr>
            <a:ln w="0">
              <a:solidFill>
                <a:srgbClr val="B3B3B3"/>
              </a:solidFill>
              <a:prstDash val="solid"/>
            </a:ln>
          </c:spPr>
        </c:majorGridlines>
        <c:numFmt formatCode="0.0%"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98754154"/>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COVID-19: Monthly Inflation Around Mar-20</a:t>
            </a:r>
          </a:p>
        </c:rich>
      </c:tx>
      <c:layout>
        <c:manualLayout>
          <c:xMode val="edge"/>
          <c:yMode val="edge"/>
          <c:x val="0.10764636249912816"/>
          <c:y val="2.0453542542831649E-2"/>
        </c:manualLayout>
      </c:layout>
      <c:overlay val="0"/>
      <c:spPr>
        <a:noFill/>
        <a:ln w="0">
          <a:noFill/>
          <a:prstDash val="solid"/>
        </a:ln>
      </c:spPr>
    </c:title>
    <c:autoTitleDeleted val="0"/>
    <c:plotArea>
      <c:layout/>
      <c:lineChart>
        <c:grouping val="standard"/>
        <c:varyColors val="0"/>
        <c:ser>
          <c:idx val="0"/>
          <c:order val="0"/>
          <c:tx>
            <c:strRef>
              <c:f>'Q4 Calculation'!$J$20</c:f>
              <c:strCache>
                <c:ptCount val="1"/>
                <c:pt idx="0">
                  <c:v>2.86%</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'Q4 Calculation'!$A$21:$A$44</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'Q4 Calculation'!$J$21:$J$44</c:f>
              <c:numCache>
                <c:formatCode>0.00%</c:formatCode>
                <c:ptCount val="24"/>
                <c:pt idx="0">
                  <c:v>2.9905178701677526E-2</c:v>
                </c:pt>
                <c:pt idx="1">
                  <c:v>3.0478955007256836E-2</c:v>
                </c:pt>
                <c:pt idx="2">
                  <c:v>3.1768953068592065E-2</c:v>
                </c:pt>
                <c:pt idx="3">
                  <c:v>3.1473533619456262E-2</c:v>
                </c:pt>
                <c:pt idx="4">
                  <c:v>3.2763532763532721E-2</c:v>
                </c:pt>
                <c:pt idx="5">
                  <c:v>3.9942938659058624E-2</c:v>
                </c:pt>
                <c:pt idx="6">
                  <c:v>4.5454545454545192E-2</c:v>
                </c:pt>
                <c:pt idx="7">
                  <c:v>5.5397727272727071E-2</c:v>
                </c:pt>
                <c:pt idx="8">
                  <c:v>7.3518915060670986E-2</c:v>
                </c:pt>
                <c:pt idx="9">
                  <c:v>7.5931232091690504E-2</c:v>
                </c:pt>
                <c:pt idx="10">
                  <c:v>6.5761258041458159E-2</c:v>
                </c:pt>
                <c:pt idx="11">
                  <c:v>5.8404558404558271E-2</c:v>
                </c:pt>
                <c:pt idx="12">
                  <c:v>5.996222851746924E-2</c:v>
                </c:pt>
                <c:pt idx="13">
                  <c:v>6.1502347417840442E-2</c:v>
                </c:pt>
                <c:pt idx="14">
                  <c:v>6.2281315605318355E-2</c:v>
                </c:pt>
                <c:pt idx="15">
                  <c:v>5.2704576976421835E-2</c:v>
                </c:pt>
                <c:pt idx="16">
                  <c:v>6.1379310344827687E-2</c:v>
                </c:pt>
                <c:pt idx="17">
                  <c:v>6.104252400548682E-2</c:v>
                </c:pt>
                <c:pt idx="18">
                  <c:v>6.2500000000000222E-2</c:v>
                </c:pt>
                <c:pt idx="19">
                  <c:v>6.5948855989232946E-2</c:v>
                </c:pt>
                <c:pt idx="20">
                  <c:v>5.6515957446808596E-2</c:v>
                </c:pt>
                <c:pt idx="21">
                  <c:v>4.7270306258322403E-2</c:v>
                </c:pt>
                <c:pt idx="22">
                  <c:v>5.0301810865191143E-2</c:v>
                </c:pt>
                <c:pt idx="23">
                  <c:v>5.5181695827725585E-2</c:v>
                </c:pt>
              </c:numCache>
            </c:numRef>
          </c:val>
          <c:smooth val="1"/>
          <c:extLst>
            <c:ext xmlns:c16="http://schemas.microsoft.com/office/drawing/2014/chart" uri="{C3380CC4-5D6E-409C-BE32-E72D297353CC}">
              <c16:uniqueId val="{00000000-7CA7-4059-9F0C-C04F53CBBF08}"/>
            </c:ext>
          </c:extLst>
        </c:ser>
        <c:ser>
          <c:idx val="1"/>
          <c:order val="1"/>
          <c:tx>
            <c:strRef>
              <c:f>'Q4 Calculation'!$K$20</c:f>
              <c:strCache>
                <c:ptCount val="1"/>
                <c:pt idx="0">
                  <c:v>0.66%</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'Q4 Calculation'!$A$21:$A$44</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'Q4 Calculation'!$K$21:$K$44</c:f>
              <c:numCache>
                <c:formatCode>0.00%</c:formatCode>
                <c:ptCount val="24"/>
                <c:pt idx="0">
                  <c:v>1.4545454545454639E-2</c:v>
                </c:pt>
                <c:pt idx="1">
                  <c:v>2.0275162925416534E-2</c:v>
                </c:pt>
                <c:pt idx="2">
                  <c:v>2.3672883787661192E-2</c:v>
                </c:pt>
                <c:pt idx="3">
                  <c:v>2.33380480905232E-2</c:v>
                </c:pt>
                <c:pt idx="4">
                  <c:v>2.9640084685956358E-2</c:v>
                </c:pt>
                <c:pt idx="5">
                  <c:v>4.7008547008547064E-2</c:v>
                </c:pt>
                <c:pt idx="6">
                  <c:v>7.0866141732283561E-2</c:v>
                </c:pt>
                <c:pt idx="7">
                  <c:v>8.7329992841804094E-2</c:v>
                </c:pt>
                <c:pt idx="8">
                  <c:v>0.12156295224312608</c:v>
                </c:pt>
                <c:pt idx="9">
                  <c:v>0.11717612809315869</c:v>
                </c:pt>
                <c:pt idx="10">
                  <c:v>9.4545454545454488E-2</c:v>
                </c:pt>
                <c:pt idx="11">
                  <c:v>7.8204199855177459E-2</c:v>
                </c:pt>
                <c:pt idx="12">
                  <c:v>7.9569892473118298E-2</c:v>
                </c:pt>
                <c:pt idx="13">
                  <c:v>8.0908445706174614E-2</c:v>
                </c:pt>
                <c:pt idx="14">
                  <c:v>7.9187105816398207E-2</c:v>
                </c:pt>
                <c:pt idx="15">
                  <c:v>6.4270905321354599E-2</c:v>
                </c:pt>
                <c:pt idx="16">
                  <c:v>7.6079506511309125E-2</c:v>
                </c:pt>
                <c:pt idx="17">
                  <c:v>7.4829931972789199E-2</c:v>
                </c:pt>
                <c:pt idx="18">
                  <c:v>7.8877005347593565E-2</c:v>
                </c:pt>
                <c:pt idx="19">
                  <c:v>8.4265964450296105E-2</c:v>
                </c:pt>
                <c:pt idx="20">
                  <c:v>6.7096774193548425E-2</c:v>
                </c:pt>
                <c:pt idx="21">
                  <c:v>4.8859934853420217E-2</c:v>
                </c:pt>
                <c:pt idx="22">
                  <c:v>4.2524916943521562E-2</c:v>
                </c:pt>
                <c:pt idx="23">
                  <c:v>5.2384150436534549E-2</c:v>
                </c:pt>
              </c:numCache>
            </c:numRef>
          </c:val>
          <c:smooth val="1"/>
          <c:extLst>
            <c:ext xmlns:c16="http://schemas.microsoft.com/office/drawing/2014/chart" uri="{C3380CC4-5D6E-409C-BE32-E72D297353CC}">
              <c16:uniqueId val="{00000001-7CA7-4059-9F0C-C04F53CBBF08}"/>
            </c:ext>
          </c:extLst>
        </c:ser>
        <c:ser>
          <c:idx val="2"/>
          <c:order val="2"/>
          <c:tx>
            <c:strRef>
              <c:f>'Q4 Calculation'!$L$20</c:f>
              <c:strCache>
                <c:ptCount val="1"/>
                <c:pt idx="0">
                  <c:v>8.86%</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'Q4 Calculation'!$A$21:$A$44</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'Q4 Calculation'!$L$21:$L$44</c:f>
              <c:numCache>
                <c:formatCode>0.00%</c:formatCode>
                <c:ptCount val="24"/>
                <c:pt idx="0">
                  <c:v>8.3949704142012083E-2</c:v>
                </c:pt>
                <c:pt idx="1">
                  <c:v>8.0147058823529349E-2</c:v>
                </c:pt>
                <c:pt idx="2">
                  <c:v>8.2232011747430445E-2</c:v>
                </c:pt>
                <c:pt idx="3">
                  <c:v>7.9562043795620374E-2</c:v>
                </c:pt>
                <c:pt idx="4">
                  <c:v>7.8431372549019773E-2</c:v>
                </c:pt>
                <c:pt idx="5">
                  <c:v>7.6589595375722519E-2</c:v>
                </c:pt>
                <c:pt idx="6">
                  <c:v>5.1372273047149974E-2</c:v>
                </c:pt>
                <c:pt idx="7">
                  <c:v>5.4890921885995869E-2</c:v>
                </c:pt>
                <c:pt idx="8">
                  <c:v>3.7957211870255358E-2</c:v>
                </c:pt>
                <c:pt idx="9">
                  <c:v>4.2039972432804884E-2</c:v>
                </c:pt>
                <c:pt idx="10">
                  <c:v>4.1895604395604469E-2</c:v>
                </c:pt>
                <c:pt idx="11">
                  <c:v>4.1723666210670363E-2</c:v>
                </c:pt>
                <c:pt idx="12">
                  <c:v>4.4012282497441158E-2</c:v>
                </c:pt>
                <c:pt idx="13">
                  <c:v>4.6289993192648149E-2</c:v>
                </c:pt>
                <c:pt idx="14">
                  <c:v>4.7489823609226489E-2</c:v>
                </c:pt>
                <c:pt idx="15">
                  <c:v>4.3948613928330049E-2</c:v>
                </c:pt>
                <c:pt idx="16">
                  <c:v>4.3771043771043683E-2</c:v>
                </c:pt>
                <c:pt idx="17">
                  <c:v>4.4295302013422688E-2</c:v>
                </c:pt>
                <c:pt idx="18">
                  <c:v>4.6184738955823423E-2</c:v>
                </c:pt>
                <c:pt idx="19">
                  <c:v>4.8699132755170016E-2</c:v>
                </c:pt>
                <c:pt idx="20">
                  <c:v>5.2526595744680993E-2</c:v>
                </c:pt>
                <c:pt idx="21">
                  <c:v>5.3571428571428825E-2</c:v>
                </c:pt>
                <c:pt idx="22">
                  <c:v>6.3282794990112246E-2</c:v>
                </c:pt>
                <c:pt idx="23">
                  <c:v>6.1720288903479803E-2</c:v>
                </c:pt>
              </c:numCache>
            </c:numRef>
          </c:val>
          <c:smooth val="1"/>
          <c:extLst>
            <c:ext xmlns:c16="http://schemas.microsoft.com/office/drawing/2014/chart" uri="{C3380CC4-5D6E-409C-BE32-E72D297353CC}">
              <c16:uniqueId val="{00000002-7CA7-4059-9F0C-C04F53CBBF08}"/>
            </c:ext>
          </c:extLst>
        </c:ser>
        <c:ser>
          <c:idx val="3"/>
          <c:order val="3"/>
          <c:tx>
            <c:strRef>
              <c:f>'Q4 Calculation'!$M$20</c:f>
              <c:strCache>
                <c:ptCount val="1"/>
                <c:pt idx="0">
                  <c:v>3.82%</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'Q4 Calculation'!$A$21:$A$44</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'Q4 Calculation'!$M$21:$M$44</c:f>
              <c:numCache>
                <c:formatCode>0.00%</c:formatCode>
                <c:ptCount val="24"/>
                <c:pt idx="0">
                  <c:v>3.4177215189873378E-2</c:v>
                </c:pt>
                <c:pt idx="1">
                  <c:v>2.9456193353474047E-2</c:v>
                </c:pt>
                <c:pt idx="2">
                  <c:v>2.4768576432324441E-2</c:v>
                </c:pt>
                <c:pt idx="3">
                  <c:v>1.7914904205026172E-2</c:v>
                </c:pt>
                <c:pt idx="4">
                  <c:v>1.0380622837370179E-2</c:v>
                </c:pt>
                <c:pt idx="5">
                  <c:v>4.6568627450980227E-3</c:v>
                </c:pt>
                <c:pt idx="6">
                  <c:v>-2.6634382566584902E-3</c:v>
                </c:pt>
                <c:pt idx="7">
                  <c:v>3.3914728682171713E-3</c:v>
                </c:pt>
                <c:pt idx="8">
                  <c:v>2.3931623931624069E-2</c:v>
                </c:pt>
                <c:pt idx="9">
                  <c:v>3.7647637795275246E-2</c:v>
                </c:pt>
                <c:pt idx="10">
                  <c:v>4.4088669950739012E-2</c:v>
                </c:pt>
                <c:pt idx="11">
                  <c:v>4.1901494731683586E-2</c:v>
                </c:pt>
                <c:pt idx="12">
                  <c:v>3.9330885352917289E-2</c:v>
                </c:pt>
                <c:pt idx="13">
                  <c:v>3.6765305290617167E-2</c:v>
                </c:pt>
                <c:pt idx="14">
                  <c:v>3.3447265625E-2</c:v>
                </c:pt>
                <c:pt idx="15">
                  <c:v>3.4710339770227305E-2</c:v>
                </c:pt>
                <c:pt idx="16">
                  <c:v>5.1614481409001822E-2</c:v>
                </c:pt>
                <c:pt idx="17">
                  <c:v>5.1963893632593461E-2</c:v>
                </c:pt>
                <c:pt idx="18">
                  <c:v>4.9769361495508369E-2</c:v>
                </c:pt>
                <c:pt idx="19">
                  <c:v>4.5871559633027248E-2</c:v>
                </c:pt>
                <c:pt idx="20">
                  <c:v>3.7443357977581471E-2</c:v>
                </c:pt>
                <c:pt idx="21">
                  <c:v>4.2921508181171575E-2</c:v>
                </c:pt>
                <c:pt idx="22">
                  <c:v>5.7796650153338014E-2</c:v>
                </c:pt>
                <c:pt idx="23">
                  <c:v>6.5145813734712954E-2</c:v>
                </c:pt>
              </c:numCache>
            </c:numRef>
          </c:val>
          <c:smooth val="1"/>
          <c:extLst>
            <c:ext xmlns:c16="http://schemas.microsoft.com/office/drawing/2014/chart" uri="{C3380CC4-5D6E-409C-BE32-E72D297353CC}">
              <c16:uniqueId val="{00000003-7CA7-4059-9F0C-C04F53CBBF08}"/>
            </c:ext>
          </c:extLst>
        </c:ser>
        <c:dLbls>
          <c:showLegendKey val="0"/>
          <c:showVal val="0"/>
          <c:showCatName val="0"/>
          <c:showSerName val="0"/>
          <c:showPercent val="0"/>
          <c:showBubbleSize val="0"/>
        </c:dLbls>
        <c:hiLowLines>
          <c:spPr>
            <a:ln w="0">
              <a:noFill/>
              <a:prstDash val="solid"/>
            </a:ln>
          </c:spPr>
        </c:hiLowLines>
        <c:smooth val="0"/>
        <c:axId val="94002891"/>
        <c:axId val="94799470"/>
      </c:lineChart>
      <c:dateAx>
        <c:axId val="94002891"/>
        <c:scaling>
          <c:orientation val="minMax"/>
        </c:scaling>
        <c:delete val="0"/>
        <c:axPos val="b"/>
        <c:numFmt formatCode="General"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94799470"/>
        <c:crosses val="autoZero"/>
        <c:auto val="1"/>
        <c:lblOffset val="100"/>
        <c:baseTimeUnit val="months"/>
      </c:dateAx>
      <c:valAx>
        <c:axId val="94799470"/>
        <c:scaling>
          <c:orientation val="minMax"/>
        </c:scaling>
        <c:delete val="0"/>
        <c:axPos val="l"/>
        <c:majorGridlines>
          <c:spPr>
            <a:ln w="0">
              <a:solidFill>
                <a:srgbClr val="B3B3B3"/>
              </a:solidFill>
              <a:prstDash val="solid"/>
            </a:ln>
          </c:spPr>
        </c:majorGridlines>
        <c:numFmt formatCode="0.0%"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94002891"/>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Imported Oil MoM vs Selected CPI Categories</a:t>
            </a:r>
          </a:p>
        </c:rich>
      </c:tx>
      <c:overlay val="0"/>
      <c:spPr>
        <a:noFill/>
        <a:ln w="0">
          <a:noFill/>
          <a:prstDash val="solid"/>
        </a:ln>
      </c:spPr>
    </c:title>
    <c:autoTitleDeleted val="0"/>
    <c:plotArea>
      <c:layout/>
      <c:lineChart>
        <c:grouping val="standard"/>
        <c:varyColors val="0"/>
        <c:ser>
          <c:idx val="0"/>
          <c:order val="0"/>
          <c:tx>
            <c:strRef>
              <c:f>'Q5 Visualization'!$C$4</c:f>
              <c:strCache>
                <c:ptCount val="1"/>
                <c:pt idx="0">
                  <c:v>Oil MoM %</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Visualization'!$C$5:$C$33</c:f>
              <c:numCache>
                <c:formatCode>0.00%</c:formatCode>
                <c:ptCount val="29"/>
                <c:pt idx="0">
                  <c:v>9.9317817014446197E-2</c:v>
                </c:pt>
                <c:pt idx="1">
                  <c:v>0.11735718196751233</c:v>
                </c:pt>
                <c:pt idx="2">
                  <c:v>5.7334204508330711E-2</c:v>
                </c:pt>
                <c:pt idx="3">
                  <c:v>-2.0546887069365138E-2</c:v>
                </c:pt>
                <c:pt idx="4">
                  <c:v>5.5993690851735112E-2</c:v>
                </c:pt>
                <c:pt idx="5">
                  <c:v>7.5130694548170229E-2</c:v>
                </c:pt>
                <c:pt idx="6">
                  <c:v>2.1672686857460377E-2</c:v>
                </c:pt>
                <c:pt idx="7">
                  <c:v>-5.0856676638564191E-2</c:v>
                </c:pt>
                <c:pt idx="8">
                  <c:v>4.770773638968473E-2</c:v>
                </c:pt>
                <c:pt idx="9">
                  <c:v>0.12279502256255981</c:v>
                </c:pt>
                <c:pt idx="10">
                  <c:v>-1.7902813299232712E-2</c:v>
                </c:pt>
                <c:pt idx="11">
                  <c:v>-9.1021825396825462E-2</c:v>
                </c:pt>
                <c:pt idx="12">
                  <c:v>0.15511596180081866</c:v>
                </c:pt>
                <c:pt idx="13">
                  <c:v>0.11101925121058209</c:v>
                </c:pt>
                <c:pt idx="14">
                  <c:v>0.19985117465717028</c:v>
                </c:pt>
                <c:pt idx="15">
                  <c:v>-8.7711526534951734E-2</c:v>
                </c:pt>
                <c:pt idx="16">
                  <c:v>6.3513644750898379E-2</c:v>
                </c:pt>
                <c:pt idx="17">
                  <c:v>5.935531001735006E-2</c:v>
                </c:pt>
                <c:pt idx="18">
                  <c:v>-9.0681837772605856E-2</c:v>
                </c:pt>
                <c:pt idx="19">
                  <c:v>-7.668973362404008E-2</c:v>
                </c:pt>
                <c:pt idx="20">
                  <c:v>-6.8685831622176674E-2</c:v>
                </c:pt>
                <c:pt idx="21">
                  <c:v>1.0913901444162821E-2</c:v>
                </c:pt>
                <c:pt idx="22">
                  <c:v>-4.5256270447110225E-2</c:v>
                </c:pt>
                <c:pt idx="23">
                  <c:v>-0.10793832095945177</c:v>
                </c:pt>
                <c:pt idx="24">
                  <c:v>3.6107554417413645E-2</c:v>
                </c:pt>
                <c:pt idx="25">
                  <c:v>1.6806722689075571E-2</c:v>
                </c:pt>
                <c:pt idx="26">
                  <c:v>-4.5454545454545414E-2</c:v>
                </c:pt>
                <c:pt idx="27">
                  <c:v>6.6462948815889877E-2</c:v>
                </c:pt>
                <c:pt idx="28">
                  <c:v>-0.1048233046800382</c:v>
                </c:pt>
              </c:numCache>
            </c:numRef>
          </c:val>
          <c:smooth val="1"/>
          <c:extLst>
            <c:ext xmlns:c16="http://schemas.microsoft.com/office/drawing/2014/chart" uri="{C3380CC4-5D6E-409C-BE32-E72D297353CC}">
              <c16:uniqueId val="{00000000-E54A-4A83-A767-D26295E4C4CD}"/>
            </c:ext>
          </c:extLst>
        </c:ser>
        <c:ser>
          <c:idx val="1"/>
          <c:order val="1"/>
          <c:tx>
            <c:strRef>
              <c:f>'Q5 Visualization'!$D$4</c:f>
              <c:strCache>
                <c:ptCount val="1"/>
                <c:pt idx="0">
                  <c:v>Food &amp; Beverages MoM %</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Visualization'!$D$5:$D$33</c:f>
              <c:numCache>
                <c:formatCode>0.00%</c:formatCode>
                <c:ptCount val="29"/>
                <c:pt idx="0">
                  <c:v>-2.6602176541717037E-2</c:v>
                </c:pt>
                <c:pt idx="1">
                  <c:v>-2.5465838509316718E-2</c:v>
                </c:pt>
                <c:pt idx="2">
                  <c:v>-1.274697259400992E-3</c:v>
                </c:pt>
                <c:pt idx="3">
                  <c:v>8.2961072112317513E-3</c:v>
                </c:pt>
                <c:pt idx="4">
                  <c:v>1.7088607594936578E-2</c:v>
                </c:pt>
                <c:pt idx="5">
                  <c:v>1.1823273179838223E-2</c:v>
                </c:pt>
                <c:pt idx="6">
                  <c:v>8.610086100861114E-3</c:v>
                </c:pt>
                <c:pt idx="7">
                  <c:v>0</c:v>
                </c:pt>
                <c:pt idx="8">
                  <c:v>0</c:v>
                </c:pt>
                <c:pt idx="9">
                  <c:v>2.2560975609756007E-2</c:v>
                </c:pt>
                <c:pt idx="10">
                  <c:v>1.1926058437686349E-2</c:v>
                </c:pt>
                <c:pt idx="11">
                  <c:v>-8.8391278727165679E-3</c:v>
                </c:pt>
                <c:pt idx="12">
                  <c:v>-1.0701545778834642E-2</c:v>
                </c:pt>
                <c:pt idx="13">
                  <c:v>-1.2019230769231282E-3</c:v>
                </c:pt>
                <c:pt idx="14">
                  <c:v>1.3237063778580138E-2</c:v>
                </c:pt>
                <c:pt idx="15">
                  <c:v>1.4251781472684133E-2</c:v>
                </c:pt>
                <c:pt idx="16">
                  <c:v>1.4637002341920446E-2</c:v>
                </c:pt>
                <c:pt idx="17">
                  <c:v>9.2325447201384581E-3</c:v>
                </c:pt>
                <c:pt idx="18">
                  <c:v>5.7175528873631976E-4</c:v>
                </c:pt>
                <c:pt idx="19">
                  <c:v>7.4285714285715621E-3</c:v>
                </c:pt>
                <c:pt idx="20">
                  <c:v>8.5082246171299669E-3</c:v>
                </c:pt>
                <c:pt idx="21">
                  <c:v>1.0123734533183271E-2</c:v>
                </c:pt>
                <c:pt idx="22">
                  <c:v>-7.2383073496657957E-3</c:v>
                </c:pt>
                <c:pt idx="23">
                  <c:v>-1.346045989904654E-2</c:v>
                </c:pt>
                <c:pt idx="24">
                  <c:v>4.5480386583285348E-3</c:v>
                </c:pt>
                <c:pt idx="25">
                  <c:v>1.6977928692700761E-3</c:v>
                </c:pt>
                <c:pt idx="26">
                  <c:v>0</c:v>
                </c:pt>
                <c:pt idx="27">
                  <c:v>5.0847457627118953E-3</c:v>
                </c:pt>
                <c:pt idx="28">
                  <c:v>6.7453625632376557E-3</c:v>
                </c:pt>
              </c:numCache>
            </c:numRef>
          </c:val>
          <c:smooth val="1"/>
          <c:extLst>
            <c:ext xmlns:c16="http://schemas.microsoft.com/office/drawing/2014/chart" uri="{C3380CC4-5D6E-409C-BE32-E72D297353CC}">
              <c16:uniqueId val="{00000001-E54A-4A83-A767-D26295E4C4CD}"/>
            </c:ext>
          </c:extLst>
        </c:ser>
        <c:ser>
          <c:idx val="2"/>
          <c:order val="2"/>
          <c:tx>
            <c:strRef>
              <c:f>'Q5 Visualization'!$E$4</c:f>
              <c:strCache>
                <c:ptCount val="1"/>
                <c:pt idx="0">
                  <c:v>Fuel &amp; Light MoM %</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Visualization'!$E$5:$E$33</c:f>
              <c:numCache>
                <c:formatCode>0.00%</c:formatCode>
                <c:ptCount val="29"/>
                <c:pt idx="0">
                  <c:v>2.2821576763485618E-2</c:v>
                </c:pt>
                <c:pt idx="1">
                  <c:v>3.0425963488843744E-2</c:v>
                </c:pt>
                <c:pt idx="2">
                  <c:v>2.0341207349081403E-2</c:v>
                </c:pt>
                <c:pt idx="3">
                  <c:v>6.430868167202064E-4</c:v>
                </c:pt>
                <c:pt idx="4">
                  <c:v>2.4421593830334265E-2</c:v>
                </c:pt>
                <c:pt idx="5">
                  <c:v>2.5094102885823144E-3</c:v>
                </c:pt>
                <c:pt idx="6">
                  <c:v>5.632040050062459E-3</c:v>
                </c:pt>
                <c:pt idx="7">
                  <c:v>1.1823273179838223E-2</c:v>
                </c:pt>
                <c:pt idx="8">
                  <c:v>0</c:v>
                </c:pt>
                <c:pt idx="9">
                  <c:v>9.8400984009838766E-3</c:v>
                </c:pt>
                <c:pt idx="10">
                  <c:v>-1.8270401948842219E-3</c:v>
                </c:pt>
                <c:pt idx="11">
                  <c:v>1.2202562538132788E-3</c:v>
                </c:pt>
                <c:pt idx="12">
                  <c:v>6.0938452163306067E-4</c:v>
                </c:pt>
                <c:pt idx="13">
                  <c:v>9.1352009744214424E-3</c:v>
                </c:pt>
                <c:pt idx="14">
                  <c:v>9.0525045262521697E-3</c:v>
                </c:pt>
                <c:pt idx="15">
                  <c:v>2.9904306220095656E-2</c:v>
                </c:pt>
                <c:pt idx="16">
                  <c:v>1.3937282229965264E-2</c:v>
                </c:pt>
                <c:pt idx="17">
                  <c:v>8.0183276059564434E-3</c:v>
                </c:pt>
                <c:pt idx="18">
                  <c:v>2.0454545454545503E-2</c:v>
                </c:pt>
                <c:pt idx="19">
                  <c:v>-4.4543429844097204E-3</c:v>
                </c:pt>
                <c:pt idx="20">
                  <c:v>3.9149888143175104E-3</c:v>
                </c:pt>
                <c:pt idx="21">
                  <c:v>5.5710306406684396E-3</c:v>
                </c:pt>
                <c:pt idx="22">
                  <c:v>4.4321329639889218E-3</c:v>
                </c:pt>
                <c:pt idx="23">
                  <c:v>3.8610038610038533E-3</c:v>
                </c:pt>
                <c:pt idx="24">
                  <c:v>0</c:v>
                </c:pt>
                <c:pt idx="25">
                  <c:v>5.494505494505475E-4</c:v>
                </c:pt>
                <c:pt idx="26">
                  <c:v>-1.0982976386599841E-3</c:v>
                </c:pt>
                <c:pt idx="27">
                  <c:v>-1.0995052226498991E-3</c:v>
                </c:pt>
                <c:pt idx="28">
                  <c:v>6.0539350577877293E-3</c:v>
                </c:pt>
              </c:numCache>
            </c:numRef>
          </c:val>
          <c:smooth val="1"/>
          <c:extLst>
            <c:ext xmlns:c16="http://schemas.microsoft.com/office/drawing/2014/chart" uri="{C3380CC4-5D6E-409C-BE32-E72D297353CC}">
              <c16:uniqueId val="{00000002-E54A-4A83-A767-D26295E4C4CD}"/>
            </c:ext>
          </c:extLst>
        </c:ser>
        <c:ser>
          <c:idx val="3"/>
          <c:order val="3"/>
          <c:tx>
            <c:strRef>
              <c:f>'Q5 Visualization'!$F$4</c:f>
              <c:strCache>
                <c:ptCount val="1"/>
                <c:pt idx="0">
                  <c:v>Transport &amp; Communication MoM %</c:v>
                </c:pt>
              </c:strCache>
            </c:strRef>
          </c:tx>
          <c:spPr>
            <a:ln w="0">
              <a:solidFill>
                <a:srgbClr val="99CCFF"/>
              </a:solidFill>
              <a:prstDash val="soli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Visualization'!$F$5:$F$33</c:f>
              <c:numCache>
                <c:formatCode>0.00%</c:formatCode>
                <c:ptCount val="29"/>
                <c:pt idx="0">
                  <c:v>8.5287846481878482E-3</c:v>
                </c:pt>
                <c:pt idx="1">
                  <c:v>2.2551092318534138E-2</c:v>
                </c:pt>
                <c:pt idx="2">
                  <c:v>7.5809786354237296E-3</c:v>
                </c:pt>
                <c:pt idx="3">
                  <c:v>2.7359781121751858E-3</c:v>
                </c:pt>
                <c:pt idx="4">
                  <c:v>1.568894952251032E-2</c:v>
                </c:pt>
                <c:pt idx="5">
                  <c:v>1.2088650100738674E-2</c:v>
                </c:pt>
                <c:pt idx="6">
                  <c:v>1.5925680159256883E-2</c:v>
                </c:pt>
                <c:pt idx="7">
                  <c:v>5.878510777269863E-3</c:v>
                </c:pt>
                <c:pt idx="8">
                  <c:v>0</c:v>
                </c:pt>
                <c:pt idx="9">
                  <c:v>1.1038961038960959E-2</c:v>
                </c:pt>
                <c:pt idx="10">
                  <c:v>-5.7803468208090791E-3</c:v>
                </c:pt>
                <c:pt idx="11">
                  <c:v>5.8139534883718813E-3</c:v>
                </c:pt>
                <c:pt idx="12">
                  <c:v>5.138086062941527E-3</c:v>
                </c:pt>
                <c:pt idx="13">
                  <c:v>2.5559105431309792E-3</c:v>
                </c:pt>
                <c:pt idx="14">
                  <c:v>6.3734862970044048E-3</c:v>
                </c:pt>
                <c:pt idx="15">
                  <c:v>2.9765674477517434E-2</c:v>
                </c:pt>
                <c:pt idx="16">
                  <c:v>2.4600246002459691E-3</c:v>
                </c:pt>
                <c:pt idx="17">
                  <c:v>-1.1656441717791455E-2</c:v>
                </c:pt>
                <c:pt idx="18">
                  <c:v>3.1036623215394687E-3</c:v>
                </c:pt>
                <c:pt idx="19">
                  <c:v>1.8564356435644136E-3</c:v>
                </c:pt>
                <c:pt idx="20">
                  <c:v>2.4706609017912662E-3</c:v>
                </c:pt>
                <c:pt idx="21">
                  <c:v>3.6968576709797141E-3</c:v>
                </c:pt>
                <c:pt idx="22">
                  <c:v>6.1387354205022504E-4</c:v>
                </c:pt>
                <c:pt idx="23">
                  <c:v>2.4539877300613355E-3</c:v>
                </c:pt>
                <c:pt idx="24">
                  <c:v>1.2239902080781739E-3</c:v>
                </c:pt>
                <c:pt idx="25">
                  <c:v>3.6674816625916762E-3</c:v>
                </c:pt>
                <c:pt idx="26">
                  <c:v>0</c:v>
                </c:pt>
                <c:pt idx="27">
                  <c:v>1.8270401948843329E-3</c:v>
                </c:pt>
                <c:pt idx="28">
                  <c:v>1.8237082066869803E-3</c:v>
                </c:pt>
              </c:numCache>
            </c:numRef>
          </c:val>
          <c:smooth val="1"/>
          <c:extLst>
            <c:ext xmlns:c16="http://schemas.microsoft.com/office/drawing/2014/chart" uri="{C3380CC4-5D6E-409C-BE32-E72D297353CC}">
              <c16:uniqueId val="{00000003-E54A-4A83-A767-D26295E4C4CD}"/>
            </c:ext>
          </c:extLst>
        </c:ser>
        <c:dLbls>
          <c:showLegendKey val="0"/>
          <c:showVal val="0"/>
          <c:showCatName val="0"/>
          <c:showSerName val="0"/>
          <c:showPercent val="0"/>
          <c:showBubbleSize val="0"/>
        </c:dLbls>
        <c:hiLowLines>
          <c:spPr>
            <a:ln w="0">
              <a:noFill/>
              <a:prstDash val="solid"/>
            </a:ln>
          </c:spPr>
        </c:hiLowLines>
        <c:smooth val="0"/>
        <c:axId val="15675788"/>
        <c:axId val="36504398"/>
      </c:lineChart>
      <c:dateAx>
        <c:axId val="15675788"/>
        <c:scaling>
          <c:orientation val="minMax"/>
        </c:scaling>
        <c:delete val="0"/>
        <c:axPos val="b"/>
        <c:numFmt formatCode="General"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36504398"/>
        <c:crosses val="autoZero"/>
        <c:auto val="1"/>
        <c:lblOffset val="100"/>
        <c:baseTimeUnit val="months"/>
      </c:dateAx>
      <c:valAx>
        <c:axId val="36504398"/>
        <c:scaling>
          <c:orientation val="minMax"/>
        </c:scaling>
        <c:delete val="0"/>
        <c:axPos val="l"/>
        <c:majorGridlines>
          <c:spPr>
            <a:ln w="0">
              <a:solidFill>
                <a:srgbClr val="B3B3B3"/>
              </a:solidFill>
              <a:prstDash val="solid"/>
            </a:ln>
          </c:spPr>
        </c:majorGridlines>
        <c:numFmt formatCode="0.0%" sourceLinked="0"/>
        <c:majorTickMark val="cross"/>
        <c:minorTickMark val="cross"/>
        <c:tickLblPos val="nextTo"/>
        <c:spPr>
          <a:ln w="0">
            <a:solidFill>
              <a:srgbClr val="B3B3B3"/>
            </a:solidFill>
            <a:prstDash val="solid"/>
          </a:ln>
        </c:spPr>
        <c:txPr>
          <a:bodyPr/>
          <a:lstStyle/>
          <a:p>
            <a:pPr>
              <a:defRPr sz="1000" b="0" strike="noStrike">
                <a:solidFill>
                  <a:srgbClr val="000000"/>
                </a:solidFill>
                <a:uFillTx/>
                <a:latin typeface="Calibri"/>
                <a:ea typeface="Calibri"/>
              </a:defRPr>
            </a:pPr>
            <a:endParaRPr lang="en-US"/>
          </a:p>
        </c:txPr>
        <c:crossAx val="15675788"/>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CPI Categories by |Correlation| with Oil 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'Q5 Pivot'!$D$11</c:f>
              <c:strCache>
                <c:ptCount val="1"/>
                <c:pt idx="0">
                  <c:v>Absolute Correlation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'Q5 Pivot'!$B$12:$B$21</c:f>
              <c:strCache>
                <c:ptCount val="10"/>
                <c:pt idx="0">
                  <c:v>Oils and fats</c:v>
                </c:pt>
                <c:pt idx="1">
                  <c:v>Meat and fish</c:v>
                </c:pt>
                <c:pt idx="2">
                  <c:v>Milk and products</c:v>
                </c:pt>
                <c:pt idx="3">
                  <c:v>Cereals and products</c:v>
                </c:pt>
                <c:pt idx="4">
                  <c:v>Non-alcoholic beverages</c:v>
                </c:pt>
                <c:pt idx="5">
                  <c:v>Egg</c:v>
                </c:pt>
                <c:pt idx="6">
                  <c:v>Pulses and products</c:v>
                </c:pt>
                <c:pt idx="7">
                  <c:v>Sugar and Confectionery</c:v>
                </c:pt>
                <c:pt idx="8">
                  <c:v>Spices</c:v>
                </c:pt>
                <c:pt idx="9">
                  <c:v>Pan, tobacco and intoxicants</c:v>
                </c:pt>
              </c:strCache>
            </c:strRef>
          </c:cat>
          <c:val>
            <c:numRef>
              <c:f>'Q5 Pivot'!$D$12:$D$21</c:f>
              <c:numCache>
                <c:formatCode>0.000</c:formatCode>
                <c:ptCount val="10"/>
                <c:pt idx="0">
                  <c:v>0.40446502986259125</c:v>
                </c:pt>
                <c:pt idx="1">
                  <c:v>0.37444142596588592</c:v>
                </c:pt>
                <c:pt idx="2">
                  <c:v>0.28947312835268108</c:v>
                </c:pt>
                <c:pt idx="3">
                  <c:v>0.27564447109580803</c:v>
                </c:pt>
                <c:pt idx="4">
                  <c:v>0.23659931931689476</c:v>
                </c:pt>
                <c:pt idx="5">
                  <c:v>0.23600106159932455</c:v>
                </c:pt>
                <c:pt idx="6">
                  <c:v>0.21348975947516916</c:v>
                </c:pt>
                <c:pt idx="7">
                  <c:v>0.21333214242606643</c:v>
                </c:pt>
                <c:pt idx="8">
                  <c:v>0.18669717007768752</c:v>
                </c:pt>
                <c:pt idx="9">
                  <c:v>0.18023981123903154</c:v>
                </c:pt>
              </c:numCache>
            </c:numRef>
          </c:val>
          <c:extLst>
            <c:ext xmlns:c16="http://schemas.microsoft.com/office/drawing/2014/chart" uri="{C3380CC4-5D6E-409C-BE32-E72D297353CC}">
              <c16:uniqueId val="{00000000-9387-48D1-AFE4-C2ABC0A6BC52}"/>
            </c:ext>
          </c:extLst>
        </c:ser>
        <c:dLbls>
          <c:showLegendKey val="0"/>
          <c:showVal val="0"/>
          <c:showCatName val="0"/>
          <c:showSerName val="0"/>
          <c:showPercent val="0"/>
          <c:showBubbleSize val="0"/>
        </c:dLbls>
        <c:gapWidth val="182"/>
        <c:axId val="25757679"/>
        <c:axId val="92503045"/>
      </c:barChart>
      <c:catAx>
        <c:axId val="2575767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503045"/>
        <c:crosses val="autoZero"/>
        <c:auto val="1"/>
        <c:lblAlgn val="ctr"/>
        <c:lblOffset val="100"/>
        <c:noMultiLvlLbl val="0"/>
      </c:catAx>
      <c:valAx>
        <c:axId val="9250304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7679"/>
        <c:crosses val="autoZero"/>
        <c:crossBetween val="between"/>
      </c:valAx>
      <c:spPr>
        <a:noFill/>
        <a:ln>
          <a:noFill/>
        </a:ln>
        <a:effectLst/>
      </c:spPr>
    </c:plotArea>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strike="noStrike">
                <a:uFillTx/>
                <a:latin typeface="Arial"/>
              </a:defRPr>
            </a:pPr>
            <a:r>
              <a:rPr lang="en-US" sz="1800" b="1" strike="noStrike">
                <a:solidFill>
                  <a:srgbClr val="000000"/>
                </a:solidFill>
                <a:uFillTx/>
                <a:latin typeface="Calibri"/>
                <a:ea typeface="Calibri"/>
              </a:rPr>
              <a:t>Oil Price Trend — Indian Basket</a:t>
            </a:r>
          </a:p>
        </c:rich>
      </c:tx>
      <c:overlay val="0"/>
      <c:spPr>
        <a:noFill/>
        <a:ln w="0">
          <a:noFill/>
          <a:prstDash val="solid"/>
        </a:ln>
      </c:spPr>
    </c:title>
    <c:autoTitleDeleted val="0"/>
    <c:plotArea>
      <c:layout/>
      <c:lineChart>
        <c:grouping val="standard"/>
        <c:varyColors val="0"/>
        <c:ser>
          <c:idx val="0"/>
          <c:order val="0"/>
          <c:tx>
            <c:strRef>
              <c:f>'Q5 Visualization'!$B$4</c:f>
              <c:strCache>
                <c:ptCount val="1"/>
                <c:pt idx="0">
                  <c:v>Oil Price ($/bbl)</c:v>
                </c:pt>
              </c:strCache>
            </c:strRef>
          </c:tx>
          <c:spPr>
            <a:ln w="28440">
              <a:solidFill>
                <a:srgbClr val="4A7EBB"/>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Visualization'!$B$5:$B$33</c:f>
              <c:numCache>
                <c:formatCode>0.00</c:formatCode>
                <c:ptCount val="29"/>
                <c:pt idx="0">
                  <c:v>54.79</c:v>
                </c:pt>
                <c:pt idx="1">
                  <c:v>61.22</c:v>
                </c:pt>
                <c:pt idx="2">
                  <c:v>64.73</c:v>
                </c:pt>
                <c:pt idx="3">
                  <c:v>63.4</c:v>
                </c:pt>
                <c:pt idx="4">
                  <c:v>66.95</c:v>
                </c:pt>
                <c:pt idx="5">
                  <c:v>71.98</c:v>
                </c:pt>
                <c:pt idx="6">
                  <c:v>73.540000000000006</c:v>
                </c:pt>
                <c:pt idx="7">
                  <c:v>69.8</c:v>
                </c:pt>
                <c:pt idx="8">
                  <c:v>73.13</c:v>
                </c:pt>
                <c:pt idx="9">
                  <c:v>82.11</c:v>
                </c:pt>
                <c:pt idx="10">
                  <c:v>80.64</c:v>
                </c:pt>
                <c:pt idx="11">
                  <c:v>73.3</c:v>
                </c:pt>
                <c:pt idx="12">
                  <c:v>84.67</c:v>
                </c:pt>
                <c:pt idx="13">
                  <c:v>94.07</c:v>
                </c:pt>
                <c:pt idx="14">
                  <c:v>112.87</c:v>
                </c:pt>
                <c:pt idx="15">
                  <c:v>102.97</c:v>
                </c:pt>
                <c:pt idx="16">
                  <c:v>109.51</c:v>
                </c:pt>
                <c:pt idx="17">
                  <c:v>116.01</c:v>
                </c:pt>
                <c:pt idx="18">
                  <c:v>105.49</c:v>
                </c:pt>
                <c:pt idx="19">
                  <c:v>97.4</c:v>
                </c:pt>
                <c:pt idx="20">
                  <c:v>90.71</c:v>
                </c:pt>
                <c:pt idx="21">
                  <c:v>91.7</c:v>
                </c:pt>
                <c:pt idx="22">
                  <c:v>87.55</c:v>
                </c:pt>
                <c:pt idx="23">
                  <c:v>78.099999999999994</c:v>
                </c:pt>
                <c:pt idx="24">
                  <c:v>80.92</c:v>
                </c:pt>
                <c:pt idx="25">
                  <c:v>82.28</c:v>
                </c:pt>
                <c:pt idx="26">
                  <c:v>78.540000000000006</c:v>
                </c:pt>
                <c:pt idx="27">
                  <c:v>83.76</c:v>
                </c:pt>
                <c:pt idx="28">
                  <c:v>74.98</c:v>
                </c:pt>
              </c:numCache>
            </c:numRef>
          </c:val>
          <c:smooth val="1"/>
          <c:extLst>
            <c:ext xmlns:c16="http://schemas.microsoft.com/office/drawing/2014/chart" uri="{C3380CC4-5D6E-409C-BE32-E72D297353CC}">
              <c16:uniqueId val="{00000000-B30E-42EE-BC82-644BC3AA5BAC}"/>
            </c:ext>
          </c:extLst>
        </c:ser>
        <c:dLbls>
          <c:showLegendKey val="0"/>
          <c:showVal val="0"/>
          <c:showCatName val="0"/>
          <c:showSerName val="0"/>
          <c:showPercent val="0"/>
          <c:showBubbleSize val="0"/>
        </c:dLbls>
        <c:hiLowLines>
          <c:spPr>
            <a:ln w="0">
              <a:noFill/>
              <a:prstDash val="solid"/>
            </a:ln>
          </c:spPr>
        </c:hiLowLines>
        <c:smooth val="0"/>
        <c:axId val="58153878"/>
        <c:axId val="59865772"/>
      </c:lineChart>
      <c:dateAx>
        <c:axId val="58153878"/>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Month</a:t>
                </a:r>
              </a:p>
            </c:rich>
          </c:tx>
          <c:overlay val="0"/>
          <c:spPr>
            <a:noFill/>
            <a:ln w="0">
              <a:noFill/>
              <a:prstDash val="solid"/>
            </a:ln>
          </c:spPr>
        </c:title>
        <c:numFmt formatCode="mmm\-yy"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59865772"/>
        <c:crosses val="autoZero"/>
        <c:auto val="1"/>
        <c:lblOffset val="100"/>
        <c:baseTimeUnit val="months"/>
      </c:dateAx>
      <c:valAx>
        <c:axId val="59865772"/>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US" sz="1000" b="1" strike="noStrike">
                    <a:solidFill>
                      <a:srgbClr val="000000"/>
                    </a:solidFill>
                    <a:uFillTx/>
                    <a:latin typeface="Calibri"/>
                    <a:ea typeface="Calibri"/>
                  </a:rPr>
                  <a:t>USD / barrel</a:t>
                </a:r>
              </a:p>
            </c:rich>
          </c:tx>
          <c:overlay val="0"/>
          <c:spPr>
            <a:noFill/>
            <a:ln w="0">
              <a:noFill/>
              <a:prstDash val="solid"/>
            </a:ln>
          </c:spPr>
        </c:title>
        <c:numFmt formatCode="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58153878"/>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CPI Contribution by Broader Category — May 2023</a:t>
            </a:r>
          </a:p>
        </c:rich>
      </c:tx>
      <c:layout>
        <c:manualLayout>
          <c:xMode val="edge"/>
          <c:yMode val="edge"/>
          <c:x val="0.12228964821621888"/>
          <c:y val="2.1843443283442184E-2"/>
        </c:manualLayout>
      </c:layout>
      <c:overlay val="0"/>
      <c:spPr>
        <a:noFill/>
        <a:ln w="0">
          <a:noFill/>
          <a:prstDash val="solid"/>
        </a:ln>
      </c:spPr>
    </c:title>
    <c:autoTitleDeleted val="0"/>
    <c:plotArea>
      <c:layout/>
      <c:barChart>
        <c:barDir val="bar"/>
        <c:grouping val="clustered"/>
        <c:varyColors val="0"/>
        <c:ser>
          <c:idx val="0"/>
          <c:order val="0"/>
          <c:tx>
            <c:strRef>
              <c:f>'Q1 Analysis'!$D$14</c:f>
              <c:strCache>
                <c:ptCount val="1"/>
                <c:pt idx="0">
                  <c:v>Contribution %</c:v>
                </c:pt>
              </c:strCache>
            </c:strRef>
          </c:tx>
          <c:spPr>
            <a:solidFill>
              <a:srgbClr val="4F81BD"/>
            </a:solidFill>
            <a:ln w="0">
              <a:noFill/>
              <a:prstDash val="solid"/>
            </a:ln>
          </c:spPr>
          <c:invertIfNegative val="0"/>
          <c:cat>
            <c:strRef>
              <c:f>'Q1 Analysis'!$A$15:$A$25</c:f>
              <c:strCache>
                <c:ptCount val="11"/>
                <c:pt idx="0">
                  <c:v>Food</c:v>
                </c:pt>
                <c:pt idx="1">
                  <c:v>Pan, Tobacco &amp; Intoxicants</c:v>
                </c:pt>
                <c:pt idx="2">
                  <c:v>Clothing &amp; Footwear</c:v>
                </c:pt>
                <c:pt idx="3">
                  <c:v>Housing</c:v>
                </c:pt>
                <c:pt idx="4">
                  <c:v>Fuel &amp; Light</c:v>
                </c:pt>
                <c:pt idx="5">
                  <c:v>Household Goods &amp; Services</c:v>
                </c:pt>
                <c:pt idx="6">
                  <c:v>Health</c:v>
                </c:pt>
                <c:pt idx="7">
                  <c:v>Transport &amp; Communication</c:v>
                </c:pt>
                <c:pt idx="8">
                  <c:v>Recreation &amp; Amusement</c:v>
                </c:pt>
                <c:pt idx="9">
                  <c:v>Education</c:v>
                </c:pt>
                <c:pt idx="10">
                  <c:v>Personal Care &amp; Effects</c:v>
                </c:pt>
              </c:strCache>
            </c:strRef>
          </c:cat>
          <c:val>
            <c:numRef>
              <c:f>'Q1 Analysis'!$D$15:$D$25</c:f>
              <c:numCache>
                <c:formatCode>0.00%</c:formatCode>
                <c:ptCount val="11"/>
                <c:pt idx="0">
                  <c:v>8.8873772217293978E-2</c:v>
                </c:pt>
                <c:pt idx="1">
                  <c:v>0.10162386759021358</c:v>
                </c:pt>
                <c:pt idx="2">
                  <c:v>9.277601842191141E-2</c:v>
                </c:pt>
                <c:pt idx="3">
                  <c:v>8.8781846511649276E-2</c:v>
                </c:pt>
                <c:pt idx="4">
                  <c:v>9.242210445517933E-2</c:v>
                </c:pt>
                <c:pt idx="5">
                  <c:v>8.8579609959230934E-2</c:v>
                </c:pt>
                <c:pt idx="6">
                  <c:v>9.3888319460212241E-2</c:v>
                </c:pt>
                <c:pt idx="7">
                  <c:v>8.332145959635423E-2</c:v>
                </c:pt>
                <c:pt idx="8">
                  <c:v>8.6557244435047587E-2</c:v>
                </c:pt>
                <c:pt idx="9">
                  <c:v>8.954023358321804E-2</c:v>
                </c:pt>
                <c:pt idx="10">
                  <c:v>9.3635523769689324E-2</c:v>
                </c:pt>
              </c:numCache>
            </c:numRef>
          </c:val>
          <c:extLst>
            <c:ext xmlns:c16="http://schemas.microsoft.com/office/drawing/2014/chart" uri="{C3380CC4-5D6E-409C-BE32-E72D297353CC}">
              <c16:uniqueId val="{00000000-6412-4FDB-8286-D54806385A18}"/>
            </c:ext>
          </c:extLst>
        </c:ser>
        <c:dLbls>
          <c:showLegendKey val="0"/>
          <c:showVal val="0"/>
          <c:showCatName val="0"/>
          <c:showSerName val="0"/>
          <c:showPercent val="0"/>
          <c:showBubbleSize val="0"/>
        </c:dLbls>
        <c:gapWidth val="150"/>
        <c:axId val="6716842"/>
        <c:axId val="53985371"/>
      </c:barChart>
      <c:catAx>
        <c:axId val="6716842"/>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Contribution (%)</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53985371"/>
        <c:crosses val="autoZero"/>
        <c:auto val="1"/>
        <c:lblAlgn val="ctr"/>
        <c:lblOffset val="100"/>
        <c:noMultiLvlLbl val="0"/>
      </c:catAx>
      <c:valAx>
        <c:axId val="53985371"/>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Broader Category</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671684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Broader Category Contribution</a:t>
            </a:r>
          </a:p>
        </c:rich>
      </c:tx>
      <c:overlay val="0"/>
      <c:spPr>
        <a:noFill/>
        <a:ln w="0">
          <a:noFill/>
          <a:prstDash val="solid"/>
        </a:ln>
      </c:spPr>
    </c:title>
    <c:autoTitleDeleted val="0"/>
    <c:plotArea>
      <c:layout/>
      <c:barChart>
        <c:barDir val="bar"/>
        <c:grouping val="clustered"/>
        <c:varyColors val="0"/>
        <c:ser>
          <c:idx val="0"/>
          <c:order val="0"/>
          <c:tx>
            <c:strRef>
              <c:f>'Q1 Contribution'!$D$5</c:f>
              <c:strCache>
                <c:ptCount val="1"/>
                <c:pt idx="0">
                  <c:v>Contribution %</c:v>
                </c:pt>
              </c:strCache>
            </c:strRef>
          </c:tx>
          <c:spPr>
            <a:solidFill>
              <a:srgbClr val="4F81BD"/>
            </a:solidFill>
            <a:ln w="0">
              <a:noFill/>
              <a:prstDash val="solid"/>
            </a:ln>
          </c:spPr>
          <c:invertIfNegative val="0"/>
          <c:dLbls>
            <c:spPr>
              <a:noFill/>
              <a:ln>
                <a:noFill/>
              </a:ln>
              <a:effectLst/>
            </c:spPr>
            <c:txPr>
              <a:bodyPr wrap="square"/>
              <a:lstStyle/>
              <a:p>
                <a:pPr>
                  <a:defRPr sz="1000" b="0" strike="noStrike">
                    <a:solidFill>
                      <a:srgbClr val="000000"/>
                    </a:solidFill>
                    <a:uFillTx/>
                    <a:latin typeface="Calibri"/>
                    <a:ea typeface="Calibri"/>
                  </a:defRPr>
                </a:pPr>
                <a:endParaRPr lang="en-U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'Q1 Contribution'!$B$6:$B$16</c:f>
              <c:strCache>
                <c:ptCount val="11"/>
                <c:pt idx="0">
                  <c:v>Food</c:v>
                </c:pt>
                <c:pt idx="1">
                  <c:v>Pan, Tobacco &amp; Intoxicants</c:v>
                </c:pt>
                <c:pt idx="2">
                  <c:v>Clothing &amp; Footwear</c:v>
                </c:pt>
                <c:pt idx="3">
                  <c:v>Housing</c:v>
                </c:pt>
                <c:pt idx="4">
                  <c:v>Fuel &amp; Light</c:v>
                </c:pt>
                <c:pt idx="5">
                  <c:v>Household Goods &amp; Services</c:v>
                </c:pt>
                <c:pt idx="6">
                  <c:v>Health</c:v>
                </c:pt>
                <c:pt idx="7">
                  <c:v>Transport &amp; Communication</c:v>
                </c:pt>
                <c:pt idx="8">
                  <c:v>Recreation &amp; Amusement</c:v>
                </c:pt>
                <c:pt idx="9">
                  <c:v>Education</c:v>
                </c:pt>
                <c:pt idx="10">
                  <c:v>Personal Care &amp; Effects</c:v>
                </c:pt>
              </c:strCache>
            </c:strRef>
          </c:cat>
          <c:val>
            <c:numRef>
              <c:f>'Q1 Contribution'!$D$6:$D$16</c:f>
              <c:numCache>
                <c:formatCode>0.00%</c:formatCode>
                <c:ptCount val="11"/>
                <c:pt idx="0">
                  <c:v>8.8873772217293978E-2</c:v>
                </c:pt>
                <c:pt idx="1">
                  <c:v>0.10162386759021358</c:v>
                </c:pt>
                <c:pt idx="2">
                  <c:v>9.277601842191141E-2</c:v>
                </c:pt>
                <c:pt idx="3">
                  <c:v>8.8781846511649276E-2</c:v>
                </c:pt>
                <c:pt idx="4">
                  <c:v>9.242210445517933E-2</c:v>
                </c:pt>
                <c:pt idx="5">
                  <c:v>8.8579609959230934E-2</c:v>
                </c:pt>
                <c:pt idx="6">
                  <c:v>9.3888319460212241E-2</c:v>
                </c:pt>
                <c:pt idx="7">
                  <c:v>8.332145959635423E-2</c:v>
                </c:pt>
                <c:pt idx="8">
                  <c:v>8.6557244435047587E-2</c:v>
                </c:pt>
                <c:pt idx="9">
                  <c:v>8.954023358321804E-2</c:v>
                </c:pt>
                <c:pt idx="10">
                  <c:v>9.3635523769689324E-2</c:v>
                </c:pt>
              </c:numCache>
            </c:numRef>
          </c:val>
          <c:extLst>
            <c:ext xmlns:c16="http://schemas.microsoft.com/office/drawing/2014/chart" uri="{C3380CC4-5D6E-409C-BE32-E72D297353CC}">
              <c16:uniqueId val="{00000000-BAD2-4C04-8966-694647939DAB}"/>
            </c:ext>
          </c:extLst>
        </c:ser>
        <c:dLbls>
          <c:showLegendKey val="0"/>
          <c:showVal val="0"/>
          <c:showCatName val="0"/>
          <c:showSerName val="0"/>
          <c:showPercent val="0"/>
          <c:showBubbleSize val="0"/>
        </c:dLbls>
        <c:gapWidth val="150"/>
        <c:axId val="38308762"/>
        <c:axId val="70665036"/>
      </c:barChart>
      <c:catAx>
        <c:axId val="38308762"/>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Contribution (%)</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70665036"/>
        <c:crosses val="autoZero"/>
        <c:auto val="1"/>
        <c:lblAlgn val="ctr"/>
        <c:lblOffset val="100"/>
        <c:noMultiLvlLbl val="0"/>
      </c:catAx>
      <c:valAx>
        <c:axId val="70665036"/>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Broader Category</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3830876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CPI Contribution by Broader Category — May 2023</a:t>
            </a:r>
          </a:p>
        </c:rich>
      </c:tx>
      <c:layout>
        <c:manualLayout>
          <c:xMode val="edge"/>
          <c:yMode val="edge"/>
          <c:x val="0.1326466145798873"/>
          <c:y val="1.8606622785640962E-2"/>
        </c:manualLayout>
      </c:layout>
      <c:overlay val="0"/>
      <c:spPr>
        <a:noFill/>
        <a:ln w="0">
          <a:noFill/>
          <a:prstDash val="solid"/>
        </a:ln>
      </c:spPr>
    </c:title>
    <c:autoTitleDeleted val="0"/>
    <c:plotArea>
      <c:layout/>
      <c:barChart>
        <c:barDir val="bar"/>
        <c:grouping val="clustered"/>
        <c:varyColors val="0"/>
        <c:ser>
          <c:idx val="0"/>
          <c:order val="0"/>
          <c:tx>
            <c:strRef>
              <c:f>'Q1 Visualization'!$B$5</c:f>
              <c:strCache>
                <c:ptCount val="1"/>
                <c:pt idx="0">
                  <c:v>Contribution %</c:v>
                </c:pt>
              </c:strCache>
            </c:strRef>
          </c:tx>
          <c:spPr>
            <a:solidFill>
              <a:srgbClr val="4F81BD"/>
            </a:solidFill>
            <a:ln w="0">
              <a:noFill/>
              <a:prstDash val="solid"/>
            </a:ln>
          </c:spPr>
          <c:invertIfNegative val="0"/>
          <c:dLbls>
            <c:spPr>
              <a:noFill/>
              <a:ln>
                <a:noFill/>
              </a:ln>
              <a:effectLst/>
            </c:spPr>
            <c:txPr>
              <a:bodyPr wrap="square"/>
              <a:lstStyle/>
              <a:p>
                <a:pPr>
                  <a:defRPr sz="1000" b="0" strike="noStrike">
                    <a:solidFill>
                      <a:srgbClr val="000000"/>
                    </a:solidFill>
                    <a:uFillTx/>
                    <a:latin typeface="Calibri"/>
                    <a:ea typeface="Calibri"/>
                  </a:defRPr>
                </a:pPr>
                <a:endParaRPr lang="en-U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'Q1 Visualization'!$A$6:$A$16</c:f>
              <c:strCache>
                <c:ptCount val="11"/>
                <c:pt idx="0">
                  <c:v>Food</c:v>
                </c:pt>
                <c:pt idx="1">
                  <c:v>Pan, Tobacco &amp; Intoxicants</c:v>
                </c:pt>
                <c:pt idx="2">
                  <c:v>Clothing &amp; Footwear</c:v>
                </c:pt>
                <c:pt idx="3">
                  <c:v>Housing</c:v>
                </c:pt>
                <c:pt idx="4">
                  <c:v>Fuel &amp; Light</c:v>
                </c:pt>
                <c:pt idx="5">
                  <c:v>Household Goods &amp; Services</c:v>
                </c:pt>
                <c:pt idx="6">
                  <c:v>Health</c:v>
                </c:pt>
                <c:pt idx="7">
                  <c:v>Transport &amp; Communication</c:v>
                </c:pt>
                <c:pt idx="8">
                  <c:v>Recreation &amp; Amusement</c:v>
                </c:pt>
                <c:pt idx="9">
                  <c:v>Education</c:v>
                </c:pt>
                <c:pt idx="10">
                  <c:v>Personal Care &amp; Effects</c:v>
                </c:pt>
              </c:strCache>
            </c:strRef>
          </c:cat>
          <c:val>
            <c:numRef>
              <c:f>'Q1 Visualization'!$B$6:$B$16</c:f>
              <c:numCache>
                <c:formatCode>0.00%</c:formatCode>
                <c:ptCount val="11"/>
                <c:pt idx="0">
                  <c:v>8.8873772217293978E-2</c:v>
                </c:pt>
                <c:pt idx="1">
                  <c:v>0.10162386759021358</c:v>
                </c:pt>
                <c:pt idx="2">
                  <c:v>9.277601842191141E-2</c:v>
                </c:pt>
                <c:pt idx="3">
                  <c:v>8.8781846511649276E-2</c:v>
                </c:pt>
                <c:pt idx="4">
                  <c:v>9.242210445517933E-2</c:v>
                </c:pt>
                <c:pt idx="5">
                  <c:v>8.8579609959230934E-2</c:v>
                </c:pt>
                <c:pt idx="6">
                  <c:v>9.3888319460212241E-2</c:v>
                </c:pt>
                <c:pt idx="7">
                  <c:v>8.332145959635423E-2</c:v>
                </c:pt>
                <c:pt idx="8">
                  <c:v>8.6557244435047587E-2</c:v>
                </c:pt>
                <c:pt idx="9">
                  <c:v>8.954023358321804E-2</c:v>
                </c:pt>
                <c:pt idx="10">
                  <c:v>9.3635523769689324E-2</c:v>
                </c:pt>
              </c:numCache>
            </c:numRef>
          </c:val>
          <c:extLst>
            <c:ext xmlns:c16="http://schemas.microsoft.com/office/drawing/2014/chart" uri="{C3380CC4-5D6E-409C-BE32-E72D297353CC}">
              <c16:uniqueId val="{00000000-3028-473B-8E76-ED00FCCDD86F}"/>
            </c:ext>
          </c:extLst>
        </c:ser>
        <c:dLbls>
          <c:showLegendKey val="0"/>
          <c:showVal val="0"/>
          <c:showCatName val="0"/>
          <c:showSerName val="0"/>
          <c:showPercent val="0"/>
          <c:showBubbleSize val="0"/>
        </c:dLbls>
        <c:gapWidth val="150"/>
        <c:axId val="2373628"/>
        <c:axId val="96453500"/>
      </c:barChart>
      <c:catAx>
        <c:axId val="2373628"/>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Contribution (%)</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96453500"/>
        <c:crosses val="autoZero"/>
        <c:auto val="1"/>
        <c:lblAlgn val="ctr"/>
        <c:lblOffset val="100"/>
        <c:noMultiLvlLbl val="0"/>
      </c:catAx>
      <c:valAx>
        <c:axId val="96453500"/>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Broader Category</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237362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Rural + Urban CPI YoY Inflation — Full-Year Trend</a:t>
            </a:r>
          </a:p>
        </c:rich>
      </c:tx>
      <c:layout>
        <c:manualLayout>
          <c:xMode val="edge"/>
          <c:yMode val="edge"/>
          <c:x val="9.9506159169550176E-2"/>
          <c:y val="1.791782967960099E-2"/>
        </c:manualLayout>
      </c:layout>
      <c:overlay val="0"/>
      <c:spPr>
        <a:noFill/>
        <a:ln w="0">
          <a:noFill/>
          <a:prstDash val="solid"/>
        </a:ln>
      </c:spPr>
    </c:title>
    <c:autoTitleDeleted val="0"/>
    <c:plotArea>
      <c:layout/>
      <c:lineChart>
        <c:grouping val="standard"/>
        <c:varyColors val="0"/>
        <c:ser>
          <c:idx val="0"/>
          <c:order val="0"/>
          <c:tx>
            <c:strRef>
              <c:f>'Q2 Visualization'!$B$5</c:f>
              <c:strCache>
                <c:ptCount val="1"/>
                <c:pt idx="0">
                  <c:v>YoY Inflation %</c:v>
                </c:pt>
              </c:strCache>
            </c:strRef>
          </c:tx>
          <c:spPr>
            <a:ln w="28440">
              <a:solidFill>
                <a:srgbClr val="4A7EBB"/>
              </a:solidFill>
              <a:prstDash val="solid"/>
              <a:round/>
            </a:ln>
          </c:spPr>
          <c:marker>
            <c:symbol val="none"/>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numRef>
              <c:f>'Q2 Visualization'!$A$6:$A$11</c:f>
              <c:numCache>
                <c:formatCode>General</c:formatCode>
                <c:ptCount val="6"/>
                <c:pt idx="0">
                  <c:v>2016</c:v>
                </c:pt>
                <c:pt idx="1">
                  <c:v>2017</c:v>
                </c:pt>
                <c:pt idx="2">
                  <c:v>2018</c:v>
                </c:pt>
                <c:pt idx="3">
                  <c:v>2019</c:v>
                </c:pt>
                <c:pt idx="4">
                  <c:v>2020</c:v>
                </c:pt>
                <c:pt idx="5">
                  <c:v>2021</c:v>
                </c:pt>
              </c:numCache>
            </c:numRef>
          </c:cat>
          <c:val>
            <c:numRef>
              <c:f>'Q2 Visualization'!$B$6:$B$11</c:f>
              <c:numCache>
                <c:formatCode>0.00%</c:formatCode>
                <c:ptCount val="6"/>
                <c:pt idx="0">
                  <c:v>0</c:v>
                </c:pt>
                <c:pt idx="1">
                  <c:v>3.3281733746129971E-2</c:v>
                </c:pt>
                <c:pt idx="2">
                  <c:v>3.9513108614232184E-2</c:v>
                </c:pt>
                <c:pt idx="3">
                  <c:v>3.7170479793430466E-2</c:v>
                </c:pt>
                <c:pt idx="4">
                  <c:v>6.1949976841130461E-2</c:v>
                </c:pt>
                <c:pt idx="5">
                  <c:v>5.6318831098026267E-2</c:v>
                </c:pt>
              </c:numCache>
            </c:numRef>
          </c:val>
          <c:smooth val="1"/>
          <c:extLst>
            <c:ext xmlns:c16="http://schemas.microsoft.com/office/drawing/2014/chart" uri="{C3380CC4-5D6E-409C-BE32-E72D297353CC}">
              <c16:uniqueId val="{00000000-B3F0-4367-A0A0-CAA4EBF0FFA0}"/>
            </c:ext>
          </c:extLst>
        </c:ser>
        <c:dLbls>
          <c:showLegendKey val="0"/>
          <c:showVal val="0"/>
          <c:showCatName val="0"/>
          <c:showSerName val="0"/>
          <c:showPercent val="0"/>
          <c:showBubbleSize val="0"/>
        </c:dLbls>
        <c:hiLowLines>
          <c:spPr>
            <a:ln w="0">
              <a:noFill/>
              <a:prstDash val="solid"/>
            </a:ln>
          </c:spPr>
        </c:hiLowLines>
        <c:smooth val="0"/>
        <c:axId val="98481466"/>
        <c:axId val="82212422"/>
      </c:lineChart>
      <c:catAx>
        <c:axId val="98481466"/>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Year</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82212422"/>
        <c:crosses val="autoZero"/>
        <c:auto val="1"/>
        <c:lblAlgn val="ctr"/>
        <c:lblOffset val="100"/>
        <c:noMultiLvlLbl val="0"/>
      </c:catAx>
      <c:valAx>
        <c:axId val="82212422"/>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YoY Inflation (%)</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9848146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Monthly Food Inflation (MoM) — Jun 2022 to May 2023</a:t>
            </a:r>
          </a:p>
        </c:rich>
      </c:tx>
      <c:layout>
        <c:manualLayout>
          <c:xMode val="edge"/>
          <c:yMode val="edge"/>
          <c:x val="9.5768842482304439E-2"/>
          <c:y val="2.3693293118995058E-2"/>
        </c:manualLayout>
      </c:layout>
      <c:overlay val="0"/>
      <c:spPr>
        <a:noFill/>
        <a:ln w="0">
          <a:noFill/>
          <a:prstDash val="solid"/>
        </a:ln>
      </c:spPr>
    </c:title>
    <c:autoTitleDeleted val="0"/>
    <c:plotArea>
      <c:layout/>
      <c:lineChart>
        <c:grouping val="standard"/>
        <c:varyColors val="0"/>
        <c:ser>
          <c:idx val="0"/>
          <c:order val="0"/>
          <c:tx>
            <c:strRef>
              <c:f>'Q3 Visualization'!$C$5</c:f>
              <c:strCache>
                <c:ptCount val="1"/>
                <c:pt idx="0">
                  <c:v>MoM Food Inflation %</c:v>
                </c:pt>
              </c:strCache>
            </c:strRef>
          </c:tx>
          <c:spPr>
            <a:ln w="28440">
              <a:solidFill>
                <a:srgbClr val="4A7EBB"/>
              </a:solidFill>
              <a:prstDash val="solid"/>
              <a:round/>
            </a:ln>
          </c:spPr>
          <c:marker>
            <c:symbol val="none"/>
          </c:marker>
          <c:cat>
            <c:strRef>
              <c:f>'Q3 Visualization'!$A$6:$A$17</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 Visualization'!$C$6:$C$17</c:f>
              <c:numCache>
                <c:formatCode>0.00%</c:formatCode>
                <c:ptCount val="12"/>
                <c:pt idx="0">
                  <c:v>1.0360185902400953E-2</c:v>
                </c:pt>
                <c:pt idx="1">
                  <c:v>2.0603737422137947E-3</c:v>
                </c:pt>
                <c:pt idx="2">
                  <c:v>7.6507435566397497E-4</c:v>
                </c:pt>
                <c:pt idx="3">
                  <c:v>4.873620335419826E-3</c:v>
                </c:pt>
                <c:pt idx="4">
                  <c:v>6.9421330417005489E-3</c:v>
                </c:pt>
                <c:pt idx="5">
                  <c:v>3.7776833356928385E-4</c:v>
                </c:pt>
                <c:pt idx="6">
                  <c:v>-5.1923530800094264E-3</c:v>
                </c:pt>
                <c:pt idx="7">
                  <c:v>4.0332147093713466E-3</c:v>
                </c:pt>
                <c:pt idx="8">
                  <c:v>-6.5689981096409555E-3</c:v>
                </c:pt>
                <c:pt idx="9">
                  <c:v>4.7571476142760361E-5</c:v>
                </c:pt>
                <c:pt idx="10">
                  <c:v>4.5190752544954638E-3</c:v>
                </c:pt>
                <c:pt idx="11">
                  <c:v>7.6241890420041258E-3</c:v>
                </c:pt>
              </c:numCache>
            </c:numRef>
          </c:val>
          <c:smooth val="1"/>
          <c:extLst>
            <c:ext xmlns:c16="http://schemas.microsoft.com/office/drawing/2014/chart" uri="{C3380CC4-5D6E-409C-BE32-E72D297353CC}">
              <c16:uniqueId val="{00000000-64AE-4A43-8D0F-2485BBC0B317}"/>
            </c:ext>
          </c:extLst>
        </c:ser>
        <c:dLbls>
          <c:showLegendKey val="0"/>
          <c:showVal val="0"/>
          <c:showCatName val="0"/>
          <c:showSerName val="0"/>
          <c:showPercent val="0"/>
          <c:showBubbleSize val="0"/>
        </c:dLbls>
        <c:hiLowLines>
          <c:spPr>
            <a:ln w="0">
              <a:noFill/>
              <a:prstDash val="solid"/>
            </a:ln>
          </c:spPr>
        </c:hiLowLines>
        <c:smooth val="0"/>
        <c:axId val="10334899"/>
        <c:axId val="73380314"/>
      </c:lineChart>
      <c:catAx>
        <c:axId val="10334899"/>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Month</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73380314"/>
        <c:crosses val="autoZero"/>
        <c:auto val="1"/>
        <c:lblAlgn val="ctr"/>
        <c:lblOffset val="100"/>
        <c:noMultiLvlLbl val="0"/>
      </c:catAx>
      <c:valAx>
        <c:axId val="73380314"/>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MoM Food Inflation (%)</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1033489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Food Category Absolute Change — May 2022 to May 2023</a:t>
            </a:r>
          </a:p>
        </c:rich>
      </c:tx>
      <c:overlay val="0"/>
      <c:spPr>
        <a:noFill/>
        <a:ln w="0">
          <a:noFill/>
          <a:prstDash val="solid"/>
        </a:ln>
      </c:spPr>
    </c:title>
    <c:autoTitleDeleted val="0"/>
    <c:plotArea>
      <c:layout/>
      <c:barChart>
        <c:barDir val="bar"/>
        <c:grouping val="clustered"/>
        <c:varyColors val="0"/>
        <c:ser>
          <c:idx val="0"/>
          <c:order val="0"/>
          <c:tx>
            <c:strRef>
              <c:f>'Q3 Visualization'!$B$22</c:f>
              <c:strCache>
                <c:ptCount val="1"/>
                <c:pt idx="0">
                  <c:v>Absolute Change</c:v>
                </c:pt>
              </c:strCache>
            </c:strRef>
          </c:tx>
          <c:spPr>
            <a:solidFill>
              <a:srgbClr val="4F81BD"/>
            </a:solidFill>
            <a:ln w="0">
              <a:noFill/>
              <a:prstDash val="solid"/>
            </a:ln>
          </c:spPr>
          <c:invertIfNegative val="0"/>
          <c:cat>
            <c:strRef>
              <c:f>'Q3 Visualization'!$A$23:$A$34</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'Q3 Visualization'!$B$23:$B$34</c:f>
              <c:numCache>
                <c:formatCode>0.00</c:formatCode>
                <c:ptCount val="12"/>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numCache>
            </c:numRef>
          </c:val>
          <c:extLst>
            <c:ext xmlns:c16="http://schemas.microsoft.com/office/drawing/2014/chart" uri="{C3380CC4-5D6E-409C-BE32-E72D297353CC}">
              <c16:uniqueId val="{00000000-8CC7-42F0-8B52-6025A17F1C52}"/>
            </c:ext>
          </c:extLst>
        </c:ser>
        <c:dLbls>
          <c:showLegendKey val="0"/>
          <c:showVal val="0"/>
          <c:showCatName val="0"/>
          <c:showSerName val="0"/>
          <c:showPercent val="0"/>
          <c:showBubbleSize val="0"/>
        </c:dLbls>
        <c:gapWidth val="150"/>
        <c:axId val="8426187"/>
        <c:axId val="34148078"/>
      </c:barChart>
      <c:catAx>
        <c:axId val="8426187"/>
        <c:scaling>
          <c:orientation val="minMax"/>
        </c:scaling>
        <c:delete val="0"/>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Index-point Change</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34148078"/>
        <c:crosses val="autoZero"/>
        <c:auto val="1"/>
        <c:lblAlgn val="ctr"/>
        <c:lblOffset val="100"/>
        <c:noMultiLvlLbl val="0"/>
      </c:catAx>
      <c:valAx>
        <c:axId val="34148078"/>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Food Category</a:t>
                </a:r>
              </a:p>
            </c:rich>
          </c:tx>
          <c:overlay val="0"/>
          <c:spPr>
            <a:noFill/>
            <a:ln w="0">
              <a:noFill/>
              <a:prstDash val="solid"/>
            </a:ln>
          </c:spPr>
        </c:title>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8426187"/>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Monthly YoY CPI Inflation Around COVID-19</a:t>
            </a:r>
          </a:p>
        </c:rich>
      </c:tx>
      <c:overlay val="0"/>
      <c:spPr>
        <a:noFill/>
        <a:ln w="0">
          <a:noFill/>
          <a:prstDash val="solid"/>
        </a:ln>
      </c:spPr>
    </c:title>
    <c:autoTitleDeleted val="0"/>
    <c:plotArea>
      <c:layout/>
      <c:lineChart>
        <c:grouping val="standard"/>
        <c:varyColors val="0"/>
        <c:ser>
          <c:idx val="0"/>
          <c:order val="0"/>
          <c:tx>
            <c:v>Headline CPI YoY</c:v>
          </c:tx>
          <c:spPr>
            <a:ln w="28440">
              <a:solidFill>
                <a:srgbClr val="4A7EBB"/>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Visualization'!$A$4:$A$28</c:f>
              <c:strCache>
                <c:ptCount val="25"/>
                <c:pt idx="0">
                  <c:v>Mar-19</c:v>
                </c:pt>
                <c:pt idx="1">
                  <c:v>Apr-19</c:v>
                </c:pt>
                <c:pt idx="2">
                  <c:v>May-19</c:v>
                </c:pt>
                <c:pt idx="3">
                  <c:v>Jun-19</c:v>
                </c:pt>
                <c:pt idx="4">
                  <c:v>Jul-19</c:v>
                </c:pt>
                <c:pt idx="5">
                  <c:v>Aug-19</c:v>
                </c:pt>
                <c:pt idx="6">
                  <c:v>Q4 Key Insight</c:v>
                </c:pt>
                <c:pt idx="7">
                  <c:v>general index CPI inflation increased from about 4.76% before the COVID-19 onset to 5.80% after onset, a rise of about 1.05 percentage points. Food and essential services also increased, while health inflation was lower on average in the first post-onset y</c:v>
                </c:pt>
                <c:pt idx="10">
                  <c:v>Jan-20</c:v>
                </c:pt>
                <c:pt idx="11">
                  <c:v>Feb-20</c:v>
                </c:pt>
                <c:pt idx="12">
                  <c:v>Mar-20</c:v>
                </c:pt>
                <c:pt idx="13">
                  <c:v>Apr-20</c:v>
                </c:pt>
                <c:pt idx="14">
                  <c:v>May-20</c:v>
                </c:pt>
                <c:pt idx="15">
                  <c:v>Jun-20</c:v>
                </c:pt>
                <c:pt idx="16">
                  <c:v>Jul-20</c:v>
                </c:pt>
                <c:pt idx="17">
                  <c:v>Aug-20</c:v>
                </c:pt>
                <c:pt idx="18">
                  <c:v>Sep-20</c:v>
                </c:pt>
                <c:pt idx="19">
                  <c:v>Oct-20</c:v>
                </c:pt>
                <c:pt idx="20">
                  <c:v>Nov-20</c:v>
                </c:pt>
                <c:pt idx="21">
                  <c:v>Dec-20</c:v>
                </c:pt>
                <c:pt idx="22">
                  <c:v>Jan-21</c:v>
                </c:pt>
                <c:pt idx="23">
                  <c:v>Feb-21</c:v>
                </c:pt>
                <c:pt idx="24">
                  <c:v>Mar-21</c:v>
                </c:pt>
              </c:strCache>
            </c:strRef>
          </c:cat>
          <c:val>
            <c:numRef>
              <c:f>'Q4 Visualization'!$B$4:$B$28</c:f>
              <c:numCache>
                <c:formatCode>0.00%</c:formatCode>
                <c:ptCount val="25"/>
                <c:pt idx="0">
                  <c:v>2.8571428571428692E-2</c:v>
                </c:pt>
                <c:pt idx="1">
                  <c:v>2.9905178701677526E-2</c:v>
                </c:pt>
                <c:pt idx="2">
                  <c:v>3.0478955007256836E-2</c:v>
                </c:pt>
                <c:pt idx="3">
                  <c:v>3.1768953068592065E-2</c:v>
                </c:pt>
                <c:pt idx="4">
                  <c:v>3.1473533619456262E-2</c:v>
                </c:pt>
                <c:pt idx="5">
                  <c:v>3.2763532763532721E-2</c:v>
                </c:pt>
                <c:pt idx="10">
                  <c:v>7.5931232091690504E-2</c:v>
                </c:pt>
                <c:pt idx="11">
                  <c:v>6.5761258041458159E-2</c:v>
                </c:pt>
                <c:pt idx="12">
                  <c:v>5.8404558404558271E-2</c:v>
                </c:pt>
                <c:pt idx="13">
                  <c:v>5.996222851746924E-2</c:v>
                </c:pt>
                <c:pt idx="14">
                  <c:v>6.1502347417840442E-2</c:v>
                </c:pt>
                <c:pt idx="15">
                  <c:v>6.2281315605318355E-2</c:v>
                </c:pt>
                <c:pt idx="16">
                  <c:v>5.2704576976421835E-2</c:v>
                </c:pt>
                <c:pt idx="17">
                  <c:v>6.1379310344827687E-2</c:v>
                </c:pt>
                <c:pt idx="18">
                  <c:v>6.104252400548682E-2</c:v>
                </c:pt>
                <c:pt idx="19">
                  <c:v>6.2500000000000222E-2</c:v>
                </c:pt>
                <c:pt idx="20">
                  <c:v>6.5948855989232946E-2</c:v>
                </c:pt>
                <c:pt idx="21">
                  <c:v>5.6515957446808596E-2</c:v>
                </c:pt>
                <c:pt idx="22">
                  <c:v>4.7270306258322403E-2</c:v>
                </c:pt>
                <c:pt idx="23">
                  <c:v>5.0301810865191143E-2</c:v>
                </c:pt>
                <c:pt idx="24">
                  <c:v>5.5181695827725585E-2</c:v>
                </c:pt>
              </c:numCache>
            </c:numRef>
          </c:val>
          <c:smooth val="1"/>
          <c:extLst>
            <c:ext xmlns:c16="http://schemas.microsoft.com/office/drawing/2014/chart" uri="{C3380CC4-5D6E-409C-BE32-E72D297353CC}">
              <c16:uniqueId val="{00000000-9ABA-4CF9-9525-24995ADFDDC4}"/>
            </c:ext>
          </c:extLst>
        </c:ser>
        <c:ser>
          <c:idx val="1"/>
          <c:order val="1"/>
          <c:tx>
            <c:v>Food YoY</c:v>
          </c:tx>
          <c:spPr>
            <a:ln w="28440">
              <a:solidFill>
                <a:srgbClr val="BE4B48"/>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Visualization'!$A$4:$A$28</c:f>
              <c:strCache>
                <c:ptCount val="25"/>
                <c:pt idx="0">
                  <c:v>Mar-19</c:v>
                </c:pt>
                <c:pt idx="1">
                  <c:v>Apr-19</c:v>
                </c:pt>
                <c:pt idx="2">
                  <c:v>May-19</c:v>
                </c:pt>
                <c:pt idx="3">
                  <c:v>Jun-19</c:v>
                </c:pt>
                <c:pt idx="4">
                  <c:v>Jul-19</c:v>
                </c:pt>
                <c:pt idx="5">
                  <c:v>Aug-19</c:v>
                </c:pt>
                <c:pt idx="6">
                  <c:v>Q4 Key Insight</c:v>
                </c:pt>
                <c:pt idx="7">
                  <c:v>general index CPI inflation increased from about 4.76% before the COVID-19 onset to 5.80% after onset, a rise of about 1.05 percentage points. Food and essential services also increased, while health inflation was lower on average in the first post-onset y</c:v>
                </c:pt>
                <c:pt idx="10">
                  <c:v>Jan-20</c:v>
                </c:pt>
                <c:pt idx="11">
                  <c:v>Feb-20</c:v>
                </c:pt>
                <c:pt idx="12">
                  <c:v>Mar-20</c:v>
                </c:pt>
                <c:pt idx="13">
                  <c:v>Apr-20</c:v>
                </c:pt>
                <c:pt idx="14">
                  <c:v>May-20</c:v>
                </c:pt>
                <c:pt idx="15">
                  <c:v>Jun-20</c:v>
                </c:pt>
                <c:pt idx="16">
                  <c:v>Jul-20</c:v>
                </c:pt>
                <c:pt idx="17">
                  <c:v>Aug-20</c:v>
                </c:pt>
                <c:pt idx="18">
                  <c:v>Sep-20</c:v>
                </c:pt>
                <c:pt idx="19">
                  <c:v>Oct-20</c:v>
                </c:pt>
                <c:pt idx="20">
                  <c:v>Nov-20</c:v>
                </c:pt>
                <c:pt idx="21">
                  <c:v>Dec-20</c:v>
                </c:pt>
                <c:pt idx="22">
                  <c:v>Jan-21</c:v>
                </c:pt>
                <c:pt idx="23">
                  <c:v>Feb-21</c:v>
                </c:pt>
                <c:pt idx="24">
                  <c:v>Mar-21</c:v>
                </c:pt>
              </c:strCache>
            </c:strRef>
          </c:cat>
          <c:val>
            <c:numRef>
              <c:f>'Q4 Visualization'!$C$4:$C$28</c:f>
              <c:numCache>
                <c:formatCode>0.00%</c:formatCode>
                <c:ptCount val="25"/>
                <c:pt idx="0">
                  <c:v>6.5597667638483959E-3</c:v>
                </c:pt>
                <c:pt idx="1">
                  <c:v>1.4545454545454639E-2</c:v>
                </c:pt>
                <c:pt idx="2">
                  <c:v>2.0275162925416534E-2</c:v>
                </c:pt>
                <c:pt idx="3">
                  <c:v>2.3672883787661192E-2</c:v>
                </c:pt>
                <c:pt idx="4">
                  <c:v>2.33380480905232E-2</c:v>
                </c:pt>
                <c:pt idx="5">
                  <c:v>2.9640084685956358E-2</c:v>
                </c:pt>
                <c:pt idx="10">
                  <c:v>0.11717612809315869</c:v>
                </c:pt>
                <c:pt idx="11">
                  <c:v>9.4545454545454488E-2</c:v>
                </c:pt>
                <c:pt idx="12">
                  <c:v>7.8204199855177459E-2</c:v>
                </c:pt>
                <c:pt idx="13">
                  <c:v>7.9569892473118298E-2</c:v>
                </c:pt>
                <c:pt idx="14">
                  <c:v>8.0908445706174614E-2</c:v>
                </c:pt>
                <c:pt idx="15">
                  <c:v>7.9187105816398207E-2</c:v>
                </c:pt>
                <c:pt idx="16">
                  <c:v>6.4270905321354599E-2</c:v>
                </c:pt>
                <c:pt idx="17">
                  <c:v>7.6079506511309125E-2</c:v>
                </c:pt>
                <c:pt idx="18">
                  <c:v>7.4829931972789199E-2</c:v>
                </c:pt>
                <c:pt idx="19">
                  <c:v>7.8877005347593565E-2</c:v>
                </c:pt>
                <c:pt idx="20">
                  <c:v>8.4265964450296105E-2</c:v>
                </c:pt>
                <c:pt idx="21">
                  <c:v>6.7096774193548425E-2</c:v>
                </c:pt>
                <c:pt idx="22">
                  <c:v>4.8859934853420217E-2</c:v>
                </c:pt>
                <c:pt idx="23">
                  <c:v>4.2524916943521562E-2</c:v>
                </c:pt>
                <c:pt idx="24">
                  <c:v>5.2384150436534549E-2</c:v>
                </c:pt>
              </c:numCache>
            </c:numRef>
          </c:val>
          <c:smooth val="1"/>
          <c:extLst>
            <c:ext xmlns:c16="http://schemas.microsoft.com/office/drawing/2014/chart" uri="{C3380CC4-5D6E-409C-BE32-E72D297353CC}">
              <c16:uniqueId val="{00000001-9ABA-4CF9-9525-24995ADFDDC4}"/>
            </c:ext>
          </c:extLst>
        </c:ser>
        <c:ser>
          <c:idx val="2"/>
          <c:order val="2"/>
          <c:tx>
            <c:v>Health YoY</c:v>
          </c:tx>
          <c:spPr>
            <a:ln w="28440">
              <a:solidFill>
                <a:srgbClr val="98B855"/>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Visualization'!$A$4:$A$28</c:f>
              <c:strCache>
                <c:ptCount val="25"/>
                <c:pt idx="0">
                  <c:v>Mar-19</c:v>
                </c:pt>
                <c:pt idx="1">
                  <c:v>Apr-19</c:v>
                </c:pt>
                <c:pt idx="2">
                  <c:v>May-19</c:v>
                </c:pt>
                <c:pt idx="3">
                  <c:v>Jun-19</c:v>
                </c:pt>
                <c:pt idx="4">
                  <c:v>Jul-19</c:v>
                </c:pt>
                <c:pt idx="5">
                  <c:v>Aug-19</c:v>
                </c:pt>
                <c:pt idx="6">
                  <c:v>Q4 Key Insight</c:v>
                </c:pt>
                <c:pt idx="7">
                  <c:v>general index CPI inflation increased from about 4.76% before the COVID-19 onset to 5.80% after onset, a rise of about 1.05 percentage points. Food and essential services also increased, while health inflation was lower on average in the first post-onset y</c:v>
                </c:pt>
                <c:pt idx="10">
                  <c:v>Jan-20</c:v>
                </c:pt>
                <c:pt idx="11">
                  <c:v>Feb-20</c:v>
                </c:pt>
                <c:pt idx="12">
                  <c:v>Mar-20</c:v>
                </c:pt>
                <c:pt idx="13">
                  <c:v>Apr-20</c:v>
                </c:pt>
                <c:pt idx="14">
                  <c:v>May-20</c:v>
                </c:pt>
                <c:pt idx="15">
                  <c:v>Jun-20</c:v>
                </c:pt>
                <c:pt idx="16">
                  <c:v>Jul-20</c:v>
                </c:pt>
                <c:pt idx="17">
                  <c:v>Aug-20</c:v>
                </c:pt>
                <c:pt idx="18">
                  <c:v>Sep-20</c:v>
                </c:pt>
                <c:pt idx="19">
                  <c:v>Oct-20</c:v>
                </c:pt>
                <c:pt idx="20">
                  <c:v>Nov-20</c:v>
                </c:pt>
                <c:pt idx="21">
                  <c:v>Dec-20</c:v>
                </c:pt>
                <c:pt idx="22">
                  <c:v>Jan-21</c:v>
                </c:pt>
                <c:pt idx="23">
                  <c:v>Feb-21</c:v>
                </c:pt>
                <c:pt idx="24">
                  <c:v>Mar-21</c:v>
                </c:pt>
              </c:strCache>
            </c:strRef>
          </c:cat>
          <c:val>
            <c:numRef>
              <c:f>'Q4 Visualization'!$D$4:$D$28</c:f>
              <c:numCache>
                <c:formatCode>0.00%</c:formatCode>
                <c:ptCount val="25"/>
                <c:pt idx="0">
                  <c:v>8.8607594936708667E-2</c:v>
                </c:pt>
                <c:pt idx="1">
                  <c:v>8.3949704142012083E-2</c:v>
                </c:pt>
                <c:pt idx="2">
                  <c:v>8.0147058823529349E-2</c:v>
                </c:pt>
                <c:pt idx="3">
                  <c:v>8.2232011747430445E-2</c:v>
                </c:pt>
                <c:pt idx="4">
                  <c:v>7.9562043795620374E-2</c:v>
                </c:pt>
                <c:pt idx="5">
                  <c:v>7.8431372549019773E-2</c:v>
                </c:pt>
                <c:pt idx="10">
                  <c:v>4.2039972432804884E-2</c:v>
                </c:pt>
                <c:pt idx="11">
                  <c:v>4.1895604395604469E-2</c:v>
                </c:pt>
                <c:pt idx="12">
                  <c:v>4.1723666210670363E-2</c:v>
                </c:pt>
                <c:pt idx="13">
                  <c:v>4.4012282497441158E-2</c:v>
                </c:pt>
                <c:pt idx="14">
                  <c:v>4.6289993192648149E-2</c:v>
                </c:pt>
                <c:pt idx="15">
                  <c:v>4.7489823609226489E-2</c:v>
                </c:pt>
                <c:pt idx="16">
                  <c:v>4.3948613928330049E-2</c:v>
                </c:pt>
                <c:pt idx="17">
                  <c:v>4.3771043771043683E-2</c:v>
                </c:pt>
                <c:pt idx="18">
                  <c:v>4.4295302013422688E-2</c:v>
                </c:pt>
                <c:pt idx="19">
                  <c:v>4.6184738955823423E-2</c:v>
                </c:pt>
                <c:pt idx="20">
                  <c:v>4.8699132755170016E-2</c:v>
                </c:pt>
                <c:pt idx="21">
                  <c:v>5.2526595744680993E-2</c:v>
                </c:pt>
                <c:pt idx="22">
                  <c:v>5.3571428571428825E-2</c:v>
                </c:pt>
                <c:pt idx="23">
                  <c:v>6.3282794990112246E-2</c:v>
                </c:pt>
                <c:pt idx="24">
                  <c:v>6.1720288903479803E-2</c:v>
                </c:pt>
              </c:numCache>
            </c:numRef>
          </c:val>
          <c:smooth val="1"/>
          <c:extLst>
            <c:ext xmlns:c16="http://schemas.microsoft.com/office/drawing/2014/chart" uri="{C3380CC4-5D6E-409C-BE32-E72D297353CC}">
              <c16:uniqueId val="{00000002-9ABA-4CF9-9525-24995ADFDDC4}"/>
            </c:ext>
          </c:extLst>
        </c:ser>
        <c:ser>
          <c:idx val="3"/>
          <c:order val="3"/>
          <c:tx>
            <c:v>Essential Services YoY</c:v>
          </c:tx>
          <c:spPr>
            <a:ln w="28440">
              <a:solidFill>
                <a:srgbClr val="7D5FA0"/>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Visualization'!$A$4:$A$28</c:f>
              <c:strCache>
                <c:ptCount val="25"/>
                <c:pt idx="0">
                  <c:v>Mar-19</c:v>
                </c:pt>
                <c:pt idx="1">
                  <c:v>Apr-19</c:v>
                </c:pt>
                <c:pt idx="2">
                  <c:v>May-19</c:v>
                </c:pt>
                <c:pt idx="3">
                  <c:v>Jun-19</c:v>
                </c:pt>
                <c:pt idx="4">
                  <c:v>Jul-19</c:v>
                </c:pt>
                <c:pt idx="5">
                  <c:v>Aug-19</c:v>
                </c:pt>
                <c:pt idx="6">
                  <c:v>Q4 Key Insight</c:v>
                </c:pt>
                <c:pt idx="7">
                  <c:v>general index CPI inflation increased from about 4.76% before the COVID-19 onset to 5.80% after onset, a rise of about 1.05 percentage points. Food and essential services also increased, while health inflation was lower on average in the first post-onset y</c:v>
                </c:pt>
                <c:pt idx="10">
                  <c:v>Jan-20</c:v>
                </c:pt>
                <c:pt idx="11">
                  <c:v>Feb-20</c:v>
                </c:pt>
                <c:pt idx="12">
                  <c:v>Mar-20</c:v>
                </c:pt>
                <c:pt idx="13">
                  <c:v>Apr-20</c:v>
                </c:pt>
                <c:pt idx="14">
                  <c:v>May-20</c:v>
                </c:pt>
                <c:pt idx="15">
                  <c:v>Jun-20</c:v>
                </c:pt>
                <c:pt idx="16">
                  <c:v>Jul-20</c:v>
                </c:pt>
                <c:pt idx="17">
                  <c:v>Aug-20</c:v>
                </c:pt>
                <c:pt idx="18">
                  <c:v>Sep-20</c:v>
                </c:pt>
                <c:pt idx="19">
                  <c:v>Oct-20</c:v>
                </c:pt>
                <c:pt idx="20">
                  <c:v>Nov-20</c:v>
                </c:pt>
                <c:pt idx="21">
                  <c:v>Dec-20</c:v>
                </c:pt>
                <c:pt idx="22">
                  <c:v>Jan-21</c:v>
                </c:pt>
                <c:pt idx="23">
                  <c:v>Feb-21</c:v>
                </c:pt>
                <c:pt idx="24">
                  <c:v>Mar-21</c:v>
                </c:pt>
              </c:strCache>
            </c:strRef>
          </c:cat>
          <c:val>
            <c:numRef>
              <c:f>'Q4 Visualization'!$E$4:$E$28</c:f>
              <c:numCache>
                <c:formatCode>0.00%</c:formatCode>
                <c:ptCount val="25"/>
                <c:pt idx="0">
                  <c:v>3.8158229458153059E-2</c:v>
                </c:pt>
                <c:pt idx="1">
                  <c:v>3.4177215189873378E-2</c:v>
                </c:pt>
                <c:pt idx="2">
                  <c:v>2.9456193353474047E-2</c:v>
                </c:pt>
                <c:pt idx="3">
                  <c:v>2.4768576432324441E-2</c:v>
                </c:pt>
                <c:pt idx="4">
                  <c:v>1.7914904205026172E-2</c:v>
                </c:pt>
                <c:pt idx="5">
                  <c:v>1.0380622837370179E-2</c:v>
                </c:pt>
                <c:pt idx="10">
                  <c:v>3.7647637795275246E-2</c:v>
                </c:pt>
                <c:pt idx="11">
                  <c:v>4.4088669950739012E-2</c:v>
                </c:pt>
                <c:pt idx="12">
                  <c:v>4.1901494731683586E-2</c:v>
                </c:pt>
                <c:pt idx="13">
                  <c:v>3.9330885352917289E-2</c:v>
                </c:pt>
                <c:pt idx="14">
                  <c:v>3.6765305290617167E-2</c:v>
                </c:pt>
                <c:pt idx="15">
                  <c:v>3.3447265625E-2</c:v>
                </c:pt>
                <c:pt idx="16">
                  <c:v>3.4710339770227305E-2</c:v>
                </c:pt>
                <c:pt idx="17">
                  <c:v>5.1614481409001822E-2</c:v>
                </c:pt>
                <c:pt idx="18">
                  <c:v>5.1963893632593461E-2</c:v>
                </c:pt>
                <c:pt idx="19">
                  <c:v>4.9769361495508369E-2</c:v>
                </c:pt>
                <c:pt idx="20">
                  <c:v>4.5871559633027248E-2</c:v>
                </c:pt>
                <c:pt idx="21">
                  <c:v>3.7443357977581471E-2</c:v>
                </c:pt>
                <c:pt idx="22">
                  <c:v>4.2921508181171575E-2</c:v>
                </c:pt>
                <c:pt idx="23">
                  <c:v>5.7796650153338014E-2</c:v>
                </c:pt>
                <c:pt idx="24">
                  <c:v>6.5145813734712954E-2</c:v>
                </c:pt>
              </c:numCache>
            </c:numRef>
          </c:val>
          <c:smooth val="1"/>
          <c:extLst>
            <c:ext xmlns:c16="http://schemas.microsoft.com/office/drawing/2014/chart" uri="{C3380CC4-5D6E-409C-BE32-E72D297353CC}">
              <c16:uniqueId val="{00000003-9ABA-4CF9-9525-24995ADFDDC4}"/>
            </c:ext>
          </c:extLst>
        </c:ser>
        <c:dLbls>
          <c:showLegendKey val="0"/>
          <c:showVal val="0"/>
          <c:showCatName val="0"/>
          <c:showSerName val="0"/>
          <c:showPercent val="0"/>
          <c:showBubbleSize val="0"/>
        </c:dLbls>
        <c:hiLowLines>
          <c:spPr>
            <a:ln w="0">
              <a:noFill/>
              <a:prstDash val="solid"/>
            </a:ln>
          </c:spPr>
        </c:hiLowLines>
        <c:smooth val="0"/>
        <c:axId val="4904297"/>
        <c:axId val="67811300"/>
      </c:lineChart>
      <c:catAx>
        <c:axId val="490429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67811300"/>
        <c:crosses val="autoZero"/>
        <c:auto val="1"/>
        <c:lblAlgn val="ctr"/>
        <c:lblOffset val="100"/>
        <c:noMultiLvlLbl val="0"/>
      </c:catAx>
      <c:valAx>
        <c:axId val="6781130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4904297"/>
        <c:crosses val="autoZero"/>
        <c:crossBetween val="between"/>
      </c:valAx>
    </c:plotArea>
    <c:legend>
      <c:legendPos val="b"/>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Average Inflation: Pre-COVID vs Post-Onset</a:t>
            </a:r>
          </a:p>
        </c:rich>
      </c:tx>
      <c:overlay val="0"/>
      <c:spPr>
        <a:noFill/>
        <a:ln w="0">
          <a:noFill/>
          <a:prstDash val="solid"/>
        </a:ln>
      </c:spPr>
    </c:title>
    <c:autoTitleDeleted val="0"/>
    <c:plotArea>
      <c:layout/>
      <c:barChart>
        <c:barDir val="col"/>
        <c:grouping val="clustered"/>
        <c:varyColors val="0"/>
        <c:ser>
          <c:idx val="0"/>
          <c:order val="0"/>
          <c:tx>
            <c:v>Pre-COVID Avg</c:v>
          </c:tx>
          <c:spPr>
            <a:solidFill>
              <a:srgbClr val="4F81BD"/>
            </a:solidFill>
            <a:ln w="0">
              <a:noFill/>
              <a:prstDash val="soli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Visualization'!$G$4:$G$7</c:f>
              <c:strCache>
                <c:ptCount val="4"/>
                <c:pt idx="0">
                  <c:v>General CPI</c:v>
                </c:pt>
                <c:pt idx="1">
                  <c:v>Food</c:v>
                </c:pt>
                <c:pt idx="2">
                  <c:v>Health</c:v>
                </c:pt>
                <c:pt idx="3">
                  <c:v>Essential Services</c:v>
                </c:pt>
              </c:strCache>
            </c:strRef>
          </c:cat>
          <c:val>
            <c:numRef>
              <c:f>'Q4 Visualization'!$H$4:$H$7</c:f>
              <c:numCache>
                <c:formatCode>0.00%</c:formatCode>
                <c:ptCount val="4"/>
                <c:pt idx="0">
                  <c:v>4.7566777345435352E-2</c:v>
                </c:pt>
                <c:pt idx="1">
                  <c:v>6.068042086288028E-2</c:v>
                </c:pt>
                <c:pt idx="2">
                  <c:v>6.2565953022984622E-2</c:v>
                </c:pt>
                <c:pt idx="3">
                  <c:v>2.2470986315337237E-2</c:v>
                </c:pt>
              </c:numCache>
            </c:numRef>
          </c:val>
          <c:extLst>
            <c:ext xmlns:c16="http://schemas.microsoft.com/office/drawing/2014/chart" uri="{C3380CC4-5D6E-409C-BE32-E72D297353CC}">
              <c16:uniqueId val="{00000000-C12C-4F90-9508-B01DC37685AA}"/>
            </c:ext>
          </c:extLst>
        </c:ser>
        <c:ser>
          <c:idx val="1"/>
          <c:order val="1"/>
          <c:tx>
            <c:v>Post-onset Avg</c:v>
          </c:tx>
          <c:spPr>
            <a:solidFill>
              <a:srgbClr val="C0504D"/>
            </a:solidFill>
            <a:ln w="0">
              <a:noFill/>
              <a:prstDash val="soli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'Q4 Visualization'!$G$4:$G$7</c:f>
              <c:strCache>
                <c:ptCount val="4"/>
                <c:pt idx="0">
                  <c:v>General CPI</c:v>
                </c:pt>
                <c:pt idx="1">
                  <c:v>Food</c:v>
                </c:pt>
                <c:pt idx="2">
                  <c:v>Health</c:v>
                </c:pt>
                <c:pt idx="3">
                  <c:v>Essential Services</c:v>
                </c:pt>
              </c:strCache>
            </c:strRef>
          </c:cat>
          <c:val>
            <c:numRef>
              <c:f>'Q4 Visualization'!$I$4:$I$7</c:f>
              <c:numCache>
                <c:formatCode>0.00%</c:formatCode>
                <c:ptCount val="4"/>
                <c:pt idx="0">
                  <c:v>5.8049244104553775E-2</c:v>
                </c:pt>
                <c:pt idx="1">
                  <c:v>6.9071211168838201E-2</c:v>
                </c:pt>
                <c:pt idx="2">
                  <c:v>4.964933657773396E-2</c:v>
                </c:pt>
                <c:pt idx="3">
                  <c:v>4.5565035187974723E-2</c:v>
                </c:pt>
              </c:numCache>
            </c:numRef>
          </c:val>
          <c:extLst>
            <c:ext xmlns:c16="http://schemas.microsoft.com/office/drawing/2014/chart" uri="{C3380CC4-5D6E-409C-BE32-E72D297353CC}">
              <c16:uniqueId val="{00000001-C12C-4F90-9508-B01DC37685AA}"/>
            </c:ext>
          </c:extLst>
        </c:ser>
        <c:dLbls>
          <c:showLegendKey val="0"/>
          <c:showVal val="0"/>
          <c:showCatName val="0"/>
          <c:showSerName val="0"/>
          <c:showPercent val="0"/>
          <c:showBubbleSize val="0"/>
        </c:dLbls>
        <c:gapWidth val="150"/>
        <c:axId val="19246579"/>
        <c:axId val="3907249"/>
      </c:barChart>
      <c:catAx>
        <c:axId val="1924657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3907249"/>
        <c:crosses val="autoZero"/>
        <c:auto val="1"/>
        <c:lblAlgn val="ctr"/>
        <c:lblOffset val="100"/>
        <c:noMultiLvlLbl val="0"/>
      </c:catAx>
      <c:valAx>
        <c:axId val="390724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19246579"/>
        <c:crosses val="autoZero"/>
        <c:crossBetween val="between"/>
      </c:valAx>
    </c:plotArea>
    <c:legend>
      <c:legendPos val="b"/>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Oil Price Trend — Indian Basket</a:t>
            </a:r>
          </a:p>
        </c:rich>
      </c:tx>
      <c:overlay val="0"/>
      <c:spPr>
        <a:noFill/>
        <a:ln w="0">
          <a:noFill/>
          <a:prstDash val="solid"/>
        </a:ln>
      </c:spPr>
    </c:title>
    <c:autoTitleDeleted val="0"/>
    <c:plotArea>
      <c:layout/>
      <c:lineChart>
        <c:grouping val="standard"/>
        <c:varyColors val="0"/>
        <c:ser>
          <c:idx val="0"/>
          <c:order val="0"/>
          <c:tx>
            <c:strRef>
              <c:f>'Q5 Visualization'!$B$4</c:f>
              <c:strCache>
                <c:ptCount val="1"/>
                <c:pt idx="0">
                  <c:v>Oil Price ($/bbl)</c:v>
                </c:pt>
              </c:strCache>
            </c:strRef>
          </c:tx>
          <c:spPr>
            <a:ln w="28440">
              <a:solidFill>
                <a:srgbClr val="4A7EBB"/>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Visualization'!$B$5:$B$33</c:f>
              <c:numCache>
                <c:formatCode>0.00</c:formatCode>
                <c:ptCount val="29"/>
                <c:pt idx="0">
                  <c:v>54.79</c:v>
                </c:pt>
                <c:pt idx="1">
                  <c:v>61.22</c:v>
                </c:pt>
                <c:pt idx="2">
                  <c:v>64.73</c:v>
                </c:pt>
                <c:pt idx="3">
                  <c:v>63.4</c:v>
                </c:pt>
                <c:pt idx="4">
                  <c:v>66.95</c:v>
                </c:pt>
                <c:pt idx="5">
                  <c:v>71.98</c:v>
                </c:pt>
                <c:pt idx="6">
                  <c:v>73.540000000000006</c:v>
                </c:pt>
                <c:pt idx="7">
                  <c:v>69.8</c:v>
                </c:pt>
                <c:pt idx="8">
                  <c:v>73.13</c:v>
                </c:pt>
                <c:pt idx="9">
                  <c:v>82.11</c:v>
                </c:pt>
                <c:pt idx="10">
                  <c:v>80.64</c:v>
                </c:pt>
                <c:pt idx="11">
                  <c:v>73.3</c:v>
                </c:pt>
                <c:pt idx="12">
                  <c:v>84.67</c:v>
                </c:pt>
                <c:pt idx="13">
                  <c:v>94.07</c:v>
                </c:pt>
                <c:pt idx="14">
                  <c:v>112.87</c:v>
                </c:pt>
                <c:pt idx="15">
                  <c:v>102.97</c:v>
                </c:pt>
                <c:pt idx="16">
                  <c:v>109.51</c:v>
                </c:pt>
                <c:pt idx="17">
                  <c:v>116.01</c:v>
                </c:pt>
                <c:pt idx="18">
                  <c:v>105.49</c:v>
                </c:pt>
                <c:pt idx="19">
                  <c:v>97.4</c:v>
                </c:pt>
                <c:pt idx="20">
                  <c:v>90.71</c:v>
                </c:pt>
                <c:pt idx="21">
                  <c:v>91.7</c:v>
                </c:pt>
                <c:pt idx="22">
                  <c:v>87.55</c:v>
                </c:pt>
                <c:pt idx="23">
                  <c:v>78.099999999999994</c:v>
                </c:pt>
                <c:pt idx="24">
                  <c:v>80.92</c:v>
                </c:pt>
                <c:pt idx="25">
                  <c:v>82.28</c:v>
                </c:pt>
                <c:pt idx="26">
                  <c:v>78.540000000000006</c:v>
                </c:pt>
                <c:pt idx="27">
                  <c:v>83.76</c:v>
                </c:pt>
                <c:pt idx="28">
                  <c:v>74.98</c:v>
                </c:pt>
              </c:numCache>
            </c:numRef>
          </c:val>
          <c:smooth val="1"/>
          <c:extLst>
            <c:ext xmlns:c16="http://schemas.microsoft.com/office/drawing/2014/chart" uri="{C3380CC4-5D6E-409C-BE32-E72D297353CC}">
              <c16:uniqueId val="{00000000-BD5E-4968-A649-2DBE04448332}"/>
            </c:ext>
          </c:extLst>
        </c:ser>
        <c:dLbls>
          <c:showLegendKey val="0"/>
          <c:showVal val="0"/>
          <c:showCatName val="0"/>
          <c:showSerName val="0"/>
          <c:showPercent val="0"/>
          <c:showBubbleSize val="0"/>
        </c:dLbls>
        <c:hiLowLines>
          <c:spPr>
            <a:ln w="0">
              <a:noFill/>
              <a:prstDash val="solid"/>
            </a:ln>
          </c:spPr>
        </c:hiLowLines>
        <c:smooth val="0"/>
        <c:axId val="58153878"/>
        <c:axId val="59865772"/>
      </c:lineChart>
      <c:dateAx>
        <c:axId val="58153878"/>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Month</a:t>
                </a:r>
              </a:p>
            </c:rich>
          </c:tx>
          <c:overlay val="0"/>
          <c:spPr>
            <a:noFill/>
            <a:ln w="0">
              <a:noFill/>
              <a:prstDash val="solid"/>
            </a:ln>
          </c:spPr>
        </c:title>
        <c:numFmt formatCode="mmm\-yy"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59865772"/>
        <c:crosses val="autoZero"/>
        <c:auto val="1"/>
        <c:lblOffset val="100"/>
        <c:baseTimeUnit val="months"/>
      </c:dateAx>
      <c:valAx>
        <c:axId val="59865772"/>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US" sz="1000" b="1" strike="noStrike">
                    <a:solidFill>
                      <a:srgbClr val="000000"/>
                    </a:solidFill>
                    <a:uFillTx/>
                    <a:latin typeface="Calibri"/>
                    <a:ea typeface="Calibri"/>
                  </a:rPr>
                  <a:t>USD / barrel</a:t>
                </a:r>
              </a:p>
            </c:rich>
          </c:tx>
          <c:overlay val="0"/>
          <c:spPr>
            <a:noFill/>
            <a:ln w="0">
              <a:noFill/>
              <a:prstDash val="solid"/>
            </a:ln>
          </c:spPr>
        </c:title>
        <c:numFmt formatCode="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58153878"/>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Oil MoM vs Selected CPI Category MoM</a:t>
            </a:r>
          </a:p>
        </c:rich>
      </c:tx>
      <c:overlay val="0"/>
      <c:spPr>
        <a:noFill/>
        <a:ln w="0">
          <a:noFill/>
          <a:prstDash val="solid"/>
        </a:ln>
      </c:spPr>
    </c:title>
    <c:autoTitleDeleted val="0"/>
    <c:plotArea>
      <c:layout/>
      <c:lineChart>
        <c:grouping val="standard"/>
        <c:varyColors val="0"/>
        <c:ser>
          <c:idx val="0"/>
          <c:order val="0"/>
          <c:tx>
            <c:strRef>
              <c:f>'Q5 Visualization'!$C$4</c:f>
              <c:strCache>
                <c:ptCount val="1"/>
                <c:pt idx="0">
                  <c:v>Oil MoM %</c:v>
                </c:pt>
              </c:strCache>
            </c:strRef>
          </c:tx>
          <c:spPr>
            <a:ln w="28440">
              <a:solidFill>
                <a:srgbClr val="4A7EBB"/>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Visualization'!$C$5:$C$33</c:f>
              <c:numCache>
                <c:formatCode>0.00%</c:formatCode>
                <c:ptCount val="29"/>
                <c:pt idx="0">
                  <c:v>9.9317817014446197E-2</c:v>
                </c:pt>
                <c:pt idx="1">
                  <c:v>0.11735718196751233</c:v>
                </c:pt>
                <c:pt idx="2">
                  <c:v>5.7334204508330711E-2</c:v>
                </c:pt>
                <c:pt idx="3">
                  <c:v>-2.0546887069365138E-2</c:v>
                </c:pt>
                <c:pt idx="4">
                  <c:v>5.5993690851735112E-2</c:v>
                </c:pt>
                <c:pt idx="5">
                  <c:v>7.5130694548170229E-2</c:v>
                </c:pt>
                <c:pt idx="6">
                  <c:v>2.1672686857460377E-2</c:v>
                </c:pt>
                <c:pt idx="7">
                  <c:v>-5.0856676638564191E-2</c:v>
                </c:pt>
                <c:pt idx="8">
                  <c:v>4.770773638968473E-2</c:v>
                </c:pt>
                <c:pt idx="9">
                  <c:v>0.12279502256255981</c:v>
                </c:pt>
                <c:pt idx="10">
                  <c:v>-1.7902813299232712E-2</c:v>
                </c:pt>
                <c:pt idx="11">
                  <c:v>-9.1021825396825462E-2</c:v>
                </c:pt>
                <c:pt idx="12">
                  <c:v>0.15511596180081866</c:v>
                </c:pt>
                <c:pt idx="13">
                  <c:v>0.11101925121058209</c:v>
                </c:pt>
                <c:pt idx="14">
                  <c:v>0.19985117465717028</c:v>
                </c:pt>
                <c:pt idx="15">
                  <c:v>-8.7711526534951734E-2</c:v>
                </c:pt>
                <c:pt idx="16">
                  <c:v>6.3513644750898379E-2</c:v>
                </c:pt>
                <c:pt idx="17">
                  <c:v>5.935531001735006E-2</c:v>
                </c:pt>
                <c:pt idx="18">
                  <c:v>-9.0681837772605856E-2</c:v>
                </c:pt>
                <c:pt idx="19">
                  <c:v>-7.668973362404008E-2</c:v>
                </c:pt>
                <c:pt idx="20">
                  <c:v>-6.8685831622176674E-2</c:v>
                </c:pt>
                <c:pt idx="21">
                  <c:v>1.0913901444162821E-2</c:v>
                </c:pt>
                <c:pt idx="22">
                  <c:v>-4.5256270447110225E-2</c:v>
                </c:pt>
                <c:pt idx="23">
                  <c:v>-0.10793832095945177</c:v>
                </c:pt>
                <c:pt idx="24">
                  <c:v>3.6107554417413645E-2</c:v>
                </c:pt>
                <c:pt idx="25">
                  <c:v>1.6806722689075571E-2</c:v>
                </c:pt>
                <c:pt idx="26">
                  <c:v>-4.5454545454545414E-2</c:v>
                </c:pt>
                <c:pt idx="27">
                  <c:v>6.6462948815889877E-2</c:v>
                </c:pt>
                <c:pt idx="28">
                  <c:v>-0.1048233046800382</c:v>
                </c:pt>
              </c:numCache>
            </c:numRef>
          </c:val>
          <c:smooth val="1"/>
          <c:extLst>
            <c:ext xmlns:c16="http://schemas.microsoft.com/office/drawing/2014/chart" uri="{C3380CC4-5D6E-409C-BE32-E72D297353CC}">
              <c16:uniqueId val="{00000000-E7BE-4830-B0C8-D2D89E5CEF9B}"/>
            </c:ext>
          </c:extLst>
        </c:ser>
        <c:ser>
          <c:idx val="1"/>
          <c:order val="1"/>
          <c:tx>
            <c:strRef>
              <c:f>'Q5 Visualization'!$D$4</c:f>
              <c:strCache>
                <c:ptCount val="1"/>
                <c:pt idx="0">
                  <c:v>Food &amp; Beverages MoM %</c:v>
                </c:pt>
              </c:strCache>
            </c:strRef>
          </c:tx>
          <c:spPr>
            <a:ln w="28440">
              <a:solidFill>
                <a:srgbClr val="BE4B48"/>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Visualization'!$D$5:$D$33</c:f>
              <c:numCache>
                <c:formatCode>0.00%</c:formatCode>
                <c:ptCount val="29"/>
                <c:pt idx="0">
                  <c:v>-2.6602176541717037E-2</c:v>
                </c:pt>
                <c:pt idx="1">
                  <c:v>-2.5465838509316718E-2</c:v>
                </c:pt>
                <c:pt idx="2">
                  <c:v>-1.274697259400992E-3</c:v>
                </c:pt>
                <c:pt idx="3">
                  <c:v>8.2961072112317513E-3</c:v>
                </c:pt>
                <c:pt idx="4">
                  <c:v>1.7088607594936578E-2</c:v>
                </c:pt>
                <c:pt idx="5">
                  <c:v>1.1823273179838223E-2</c:v>
                </c:pt>
                <c:pt idx="6">
                  <c:v>8.610086100861114E-3</c:v>
                </c:pt>
                <c:pt idx="7">
                  <c:v>0</c:v>
                </c:pt>
                <c:pt idx="8">
                  <c:v>0</c:v>
                </c:pt>
                <c:pt idx="9">
                  <c:v>2.2560975609756007E-2</c:v>
                </c:pt>
                <c:pt idx="10">
                  <c:v>1.1926058437686349E-2</c:v>
                </c:pt>
                <c:pt idx="11">
                  <c:v>-8.8391278727165679E-3</c:v>
                </c:pt>
                <c:pt idx="12">
                  <c:v>-1.0701545778834642E-2</c:v>
                </c:pt>
                <c:pt idx="13">
                  <c:v>-1.2019230769231282E-3</c:v>
                </c:pt>
                <c:pt idx="14">
                  <c:v>1.3237063778580138E-2</c:v>
                </c:pt>
                <c:pt idx="15">
                  <c:v>1.4251781472684133E-2</c:v>
                </c:pt>
                <c:pt idx="16">
                  <c:v>1.4637002341920446E-2</c:v>
                </c:pt>
                <c:pt idx="17">
                  <c:v>9.2325447201384581E-3</c:v>
                </c:pt>
                <c:pt idx="18">
                  <c:v>5.7175528873631976E-4</c:v>
                </c:pt>
                <c:pt idx="19">
                  <c:v>7.4285714285715621E-3</c:v>
                </c:pt>
                <c:pt idx="20">
                  <c:v>8.5082246171299669E-3</c:v>
                </c:pt>
                <c:pt idx="21">
                  <c:v>1.0123734533183271E-2</c:v>
                </c:pt>
                <c:pt idx="22">
                  <c:v>-7.2383073496657957E-3</c:v>
                </c:pt>
                <c:pt idx="23">
                  <c:v>-1.346045989904654E-2</c:v>
                </c:pt>
                <c:pt idx="24">
                  <c:v>4.5480386583285348E-3</c:v>
                </c:pt>
                <c:pt idx="25">
                  <c:v>1.6977928692700761E-3</c:v>
                </c:pt>
                <c:pt idx="26">
                  <c:v>0</c:v>
                </c:pt>
                <c:pt idx="27">
                  <c:v>5.0847457627118953E-3</c:v>
                </c:pt>
                <c:pt idx="28">
                  <c:v>6.7453625632376557E-3</c:v>
                </c:pt>
              </c:numCache>
            </c:numRef>
          </c:val>
          <c:smooth val="1"/>
          <c:extLst>
            <c:ext xmlns:c16="http://schemas.microsoft.com/office/drawing/2014/chart" uri="{C3380CC4-5D6E-409C-BE32-E72D297353CC}">
              <c16:uniqueId val="{00000001-E7BE-4830-B0C8-D2D89E5CEF9B}"/>
            </c:ext>
          </c:extLst>
        </c:ser>
        <c:ser>
          <c:idx val="2"/>
          <c:order val="2"/>
          <c:tx>
            <c:strRef>
              <c:f>'Q5 Visualization'!$E$4</c:f>
              <c:strCache>
                <c:ptCount val="1"/>
                <c:pt idx="0">
                  <c:v>Fuel &amp; Light MoM %</c:v>
                </c:pt>
              </c:strCache>
            </c:strRef>
          </c:tx>
          <c:spPr>
            <a:ln w="28440">
              <a:solidFill>
                <a:srgbClr val="98B855"/>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Visualization'!$E$5:$E$33</c:f>
              <c:numCache>
                <c:formatCode>0.00%</c:formatCode>
                <c:ptCount val="29"/>
                <c:pt idx="0">
                  <c:v>2.2821576763485618E-2</c:v>
                </c:pt>
                <c:pt idx="1">
                  <c:v>3.0425963488843744E-2</c:v>
                </c:pt>
                <c:pt idx="2">
                  <c:v>2.0341207349081403E-2</c:v>
                </c:pt>
                <c:pt idx="3">
                  <c:v>6.430868167202064E-4</c:v>
                </c:pt>
                <c:pt idx="4">
                  <c:v>2.4421593830334265E-2</c:v>
                </c:pt>
                <c:pt idx="5">
                  <c:v>2.5094102885823144E-3</c:v>
                </c:pt>
                <c:pt idx="6">
                  <c:v>5.632040050062459E-3</c:v>
                </c:pt>
                <c:pt idx="7">
                  <c:v>1.1823273179838223E-2</c:v>
                </c:pt>
                <c:pt idx="8">
                  <c:v>0</c:v>
                </c:pt>
                <c:pt idx="9">
                  <c:v>9.8400984009838766E-3</c:v>
                </c:pt>
                <c:pt idx="10">
                  <c:v>-1.8270401948842219E-3</c:v>
                </c:pt>
                <c:pt idx="11">
                  <c:v>1.2202562538132788E-3</c:v>
                </c:pt>
                <c:pt idx="12">
                  <c:v>6.0938452163306067E-4</c:v>
                </c:pt>
                <c:pt idx="13">
                  <c:v>9.1352009744214424E-3</c:v>
                </c:pt>
                <c:pt idx="14">
                  <c:v>9.0525045262521697E-3</c:v>
                </c:pt>
                <c:pt idx="15">
                  <c:v>2.9904306220095656E-2</c:v>
                </c:pt>
                <c:pt idx="16">
                  <c:v>1.3937282229965264E-2</c:v>
                </c:pt>
                <c:pt idx="17">
                  <c:v>8.0183276059564434E-3</c:v>
                </c:pt>
                <c:pt idx="18">
                  <c:v>2.0454545454545503E-2</c:v>
                </c:pt>
                <c:pt idx="19">
                  <c:v>-4.4543429844097204E-3</c:v>
                </c:pt>
                <c:pt idx="20">
                  <c:v>3.9149888143175104E-3</c:v>
                </c:pt>
                <c:pt idx="21">
                  <c:v>5.5710306406684396E-3</c:v>
                </c:pt>
                <c:pt idx="22">
                  <c:v>4.4321329639889218E-3</c:v>
                </c:pt>
                <c:pt idx="23">
                  <c:v>3.8610038610038533E-3</c:v>
                </c:pt>
                <c:pt idx="24">
                  <c:v>0</c:v>
                </c:pt>
                <c:pt idx="25">
                  <c:v>5.494505494505475E-4</c:v>
                </c:pt>
                <c:pt idx="26">
                  <c:v>-1.0982976386599841E-3</c:v>
                </c:pt>
                <c:pt idx="27">
                  <c:v>-1.0995052226498991E-3</c:v>
                </c:pt>
                <c:pt idx="28">
                  <c:v>6.0539350577877293E-3</c:v>
                </c:pt>
              </c:numCache>
            </c:numRef>
          </c:val>
          <c:smooth val="1"/>
          <c:extLst>
            <c:ext xmlns:c16="http://schemas.microsoft.com/office/drawing/2014/chart" uri="{C3380CC4-5D6E-409C-BE32-E72D297353CC}">
              <c16:uniqueId val="{00000002-E7BE-4830-B0C8-D2D89E5CEF9B}"/>
            </c:ext>
          </c:extLst>
        </c:ser>
        <c:ser>
          <c:idx val="3"/>
          <c:order val="3"/>
          <c:tx>
            <c:strRef>
              <c:f>'Q5 Visualization'!$F$4</c:f>
              <c:strCache>
                <c:ptCount val="1"/>
                <c:pt idx="0">
                  <c:v>Transport &amp; Communication MoM %</c:v>
                </c:pt>
              </c:strCache>
            </c:strRef>
          </c:tx>
          <c:spPr>
            <a:ln w="28440">
              <a:solidFill>
                <a:srgbClr val="7D5FA0"/>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'Q5 Visualization'!$A$5:$A$33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'Q5 Visualization'!$F$5:$F$33</c:f>
              <c:numCache>
                <c:formatCode>0.00%</c:formatCode>
                <c:ptCount val="29"/>
                <c:pt idx="0">
                  <c:v>8.5287846481878482E-3</c:v>
                </c:pt>
                <c:pt idx="1">
                  <c:v>2.2551092318534138E-2</c:v>
                </c:pt>
                <c:pt idx="2">
                  <c:v>7.5809786354237296E-3</c:v>
                </c:pt>
                <c:pt idx="3">
                  <c:v>2.7359781121751858E-3</c:v>
                </c:pt>
                <c:pt idx="4">
                  <c:v>1.568894952251032E-2</c:v>
                </c:pt>
                <c:pt idx="5">
                  <c:v>1.2088650100738674E-2</c:v>
                </c:pt>
                <c:pt idx="6">
                  <c:v>1.5925680159256883E-2</c:v>
                </c:pt>
                <c:pt idx="7">
                  <c:v>5.878510777269863E-3</c:v>
                </c:pt>
                <c:pt idx="8">
                  <c:v>0</c:v>
                </c:pt>
                <c:pt idx="9">
                  <c:v>1.1038961038960959E-2</c:v>
                </c:pt>
                <c:pt idx="10">
                  <c:v>-5.7803468208090791E-3</c:v>
                </c:pt>
                <c:pt idx="11">
                  <c:v>5.8139534883718813E-3</c:v>
                </c:pt>
                <c:pt idx="12">
                  <c:v>5.138086062941527E-3</c:v>
                </c:pt>
                <c:pt idx="13">
                  <c:v>2.5559105431309792E-3</c:v>
                </c:pt>
                <c:pt idx="14">
                  <c:v>6.3734862970044048E-3</c:v>
                </c:pt>
                <c:pt idx="15">
                  <c:v>2.9765674477517434E-2</c:v>
                </c:pt>
                <c:pt idx="16">
                  <c:v>2.4600246002459691E-3</c:v>
                </c:pt>
                <c:pt idx="17">
                  <c:v>-1.1656441717791455E-2</c:v>
                </c:pt>
                <c:pt idx="18">
                  <c:v>3.1036623215394687E-3</c:v>
                </c:pt>
                <c:pt idx="19">
                  <c:v>1.8564356435644136E-3</c:v>
                </c:pt>
                <c:pt idx="20">
                  <c:v>2.4706609017912662E-3</c:v>
                </c:pt>
                <c:pt idx="21">
                  <c:v>3.6968576709797141E-3</c:v>
                </c:pt>
                <c:pt idx="22">
                  <c:v>6.1387354205022504E-4</c:v>
                </c:pt>
                <c:pt idx="23">
                  <c:v>2.4539877300613355E-3</c:v>
                </c:pt>
                <c:pt idx="24">
                  <c:v>1.2239902080781739E-3</c:v>
                </c:pt>
                <c:pt idx="25">
                  <c:v>3.6674816625916762E-3</c:v>
                </c:pt>
                <c:pt idx="26">
                  <c:v>0</c:v>
                </c:pt>
                <c:pt idx="27">
                  <c:v>1.8270401948843329E-3</c:v>
                </c:pt>
                <c:pt idx="28">
                  <c:v>1.8237082066869803E-3</c:v>
                </c:pt>
              </c:numCache>
            </c:numRef>
          </c:val>
          <c:smooth val="1"/>
          <c:extLst>
            <c:ext xmlns:c16="http://schemas.microsoft.com/office/drawing/2014/chart" uri="{C3380CC4-5D6E-409C-BE32-E72D297353CC}">
              <c16:uniqueId val="{00000003-E7BE-4830-B0C8-D2D89E5CEF9B}"/>
            </c:ext>
          </c:extLst>
        </c:ser>
        <c:dLbls>
          <c:showLegendKey val="0"/>
          <c:showVal val="0"/>
          <c:showCatName val="0"/>
          <c:showSerName val="0"/>
          <c:showPercent val="0"/>
          <c:showBubbleSize val="0"/>
        </c:dLbls>
        <c:hiLowLines>
          <c:spPr>
            <a:ln w="0">
              <a:noFill/>
              <a:prstDash val="solid"/>
            </a:ln>
          </c:spPr>
        </c:hiLowLines>
        <c:smooth val="0"/>
        <c:axId val="25819013"/>
        <c:axId val="18669560"/>
      </c:lineChart>
      <c:dateAx>
        <c:axId val="25819013"/>
        <c:scaling>
          <c:orientation val="minMax"/>
        </c:scaling>
        <c:delete val="0"/>
        <c:axPos val="b"/>
        <c:title>
          <c:tx>
            <c:rich>
              <a:bodyPr rot="0"/>
              <a:lstStyle/>
              <a:p>
                <a:pPr>
                  <a:defRPr sz="1300" b="0" strike="noStrike">
                    <a:uFillTx/>
                    <a:latin typeface="Arial"/>
                  </a:defRPr>
                </a:pPr>
                <a:r>
                  <a:rPr lang="en-US" sz="1000" b="1" strike="noStrike">
                    <a:solidFill>
                      <a:srgbClr val="000000"/>
                    </a:solidFill>
                    <a:uFillTx/>
                    <a:latin typeface="Calibri"/>
                    <a:ea typeface="Calibri"/>
                  </a:rPr>
                  <a:t>Month</a:t>
                </a:r>
              </a:p>
            </c:rich>
          </c:tx>
          <c:overlay val="0"/>
          <c:spPr>
            <a:noFill/>
            <a:ln w="0">
              <a:noFill/>
              <a:prstDash val="solid"/>
            </a:ln>
          </c:spPr>
        </c:title>
        <c:numFmt formatCode="mmm\-yy"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18669560"/>
        <c:crosses val="autoZero"/>
        <c:auto val="1"/>
        <c:lblOffset val="100"/>
        <c:baseTimeUnit val="months"/>
      </c:dateAx>
      <c:valAx>
        <c:axId val="18669560"/>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US" sz="1000" b="1" strike="noStrike">
                    <a:solidFill>
                      <a:srgbClr val="000000"/>
                    </a:solidFill>
                    <a:uFillTx/>
                    <a:latin typeface="Calibri"/>
                    <a:ea typeface="Calibri"/>
                  </a:rPr>
                  <a:t>MoM %</a:t>
                </a:r>
              </a:p>
            </c:rich>
          </c:tx>
          <c:overlay val="0"/>
          <c:spPr>
            <a:noFill/>
            <a:ln w="0">
              <a:noFill/>
              <a:prstDash val="solid"/>
            </a:ln>
          </c:spPr>
        </c:title>
        <c:numFmt formatCode="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25819013"/>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Correlation of CPI Category MoM with Oil MoM</a:t>
            </a:r>
          </a:p>
        </c:rich>
      </c:tx>
      <c:overlay val="0"/>
      <c:spPr>
        <a:noFill/>
        <a:ln w="0">
          <a:noFill/>
          <a:prstDash val="solid"/>
        </a:ln>
      </c:spPr>
    </c:title>
    <c:autoTitleDeleted val="0"/>
    <c:plotArea>
      <c:layout/>
      <c:barChart>
        <c:barDir val="bar"/>
        <c:grouping val="clustered"/>
        <c:varyColors val="0"/>
        <c:ser>
          <c:idx val="0"/>
          <c:order val="0"/>
          <c:tx>
            <c:strRef>
              <c:f>'Q5 Visualization'!$I$4</c:f>
              <c:strCache>
                <c:ptCount val="1"/>
                <c:pt idx="0">
                  <c:v>Correlation</c:v>
                </c:pt>
              </c:strCache>
            </c:strRef>
          </c:tx>
          <c:spPr>
            <a:solidFill>
              <a:srgbClr val="4F81BD"/>
            </a:solidFill>
            <a:ln w="9360">
              <a:solidFill>
                <a:srgbClr val="F9F9F9"/>
              </a:solidFill>
              <a:prstDash val="solid"/>
              <a:round/>
            </a:ln>
          </c:spPr>
          <c:invertIfNegative val="0"/>
          <c:cat>
            <c:strRef>
              <c:f>'Q5 Visualization'!$H$5:$H$31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'Q5 Visualization'!$I$5:$I$31</c:f>
              <c:numCache>
                <c:formatCode>0.000</c:formatCode>
                <c:ptCount val="27"/>
                <c:pt idx="0">
                  <c:v>-0.27564447109580803</c:v>
                </c:pt>
                <c:pt idx="1">
                  <c:v>0.37444142596588592</c:v>
                </c:pt>
                <c:pt idx="2">
                  <c:v>-0.23600106159932455</c:v>
                </c:pt>
                <c:pt idx="3">
                  <c:v>-0.28947312835268108</c:v>
                </c:pt>
                <c:pt idx="4">
                  <c:v>0.40446502986259125</c:v>
                </c:pt>
                <c:pt idx="5">
                  <c:v>7.1220063174729661E-2</c:v>
                </c:pt>
                <c:pt idx="6">
                  <c:v>-4.6716113528465157E-2</c:v>
                </c:pt>
                <c:pt idx="7">
                  <c:v>-0.21348975947516916</c:v>
                </c:pt>
                <c:pt idx="8">
                  <c:v>-0.21333214242606643</c:v>
                </c:pt>
                <c:pt idx="9">
                  <c:v>-0.18669717007768752</c:v>
                </c:pt>
                <c:pt idx="10">
                  <c:v>0.23659931931689476</c:v>
                </c:pt>
                <c:pt idx="11">
                  <c:v>8.9409964756316462E-2</c:v>
                </c:pt>
                <c:pt idx="12">
                  <c:v>-1.1806939645652584E-2</c:v>
                </c:pt>
                <c:pt idx="13">
                  <c:v>0.18023981123903154</c:v>
                </c:pt>
                <c:pt idx="14">
                  <c:v>7.724272964516575E-2</c:v>
                </c:pt>
                <c:pt idx="15">
                  <c:v>0.16250696422450406</c:v>
                </c:pt>
                <c:pt idx="16">
                  <c:v>0.10355600632039906</c:v>
                </c:pt>
                <c:pt idx="17">
                  <c:v>6.7652047941903729E-2</c:v>
                </c:pt>
                <c:pt idx="18">
                  <c:v>0.16050341272579477</c:v>
                </c:pt>
                <c:pt idx="19">
                  <c:v>-2.6634936673397818E-2</c:v>
                </c:pt>
                <c:pt idx="20">
                  <c:v>8.9469179812510499E-2</c:v>
                </c:pt>
                <c:pt idx="21">
                  <c:v>0.11791882570767789</c:v>
                </c:pt>
                <c:pt idx="22">
                  <c:v>0.14949338100179688</c:v>
                </c:pt>
                <c:pt idx="23">
                  <c:v>-0.16457890448361578</c:v>
                </c:pt>
                <c:pt idx="24">
                  <c:v>-1.0674755867789617E-2</c:v>
                </c:pt>
                <c:pt idx="25">
                  <c:v>8.668815516924655E-2</c:v>
                </c:pt>
                <c:pt idx="26">
                  <c:v>1.7225173148299883E-2</c:v>
                </c:pt>
              </c:numCache>
            </c:numRef>
          </c:val>
          <c:extLst>
            <c:ext xmlns:c16="http://schemas.microsoft.com/office/drawing/2014/chart" uri="{C3380CC4-5D6E-409C-BE32-E72D297353CC}">
              <c16:uniqueId val="{00000000-F84D-45F5-ADD5-528BF49DE3E7}"/>
            </c:ext>
          </c:extLst>
        </c:ser>
        <c:dLbls>
          <c:showLegendKey val="0"/>
          <c:showVal val="0"/>
          <c:showCatName val="0"/>
          <c:showSerName val="0"/>
          <c:showPercent val="0"/>
          <c:showBubbleSize val="0"/>
        </c:dLbls>
        <c:gapWidth val="150"/>
        <c:axId val="87840354"/>
        <c:axId val="75515685"/>
      </c:barChart>
      <c:catAx>
        <c:axId val="87840354"/>
        <c:scaling>
          <c:orientation val="minMax"/>
        </c:scaling>
        <c:delete val="0"/>
        <c:axPos val="l"/>
        <c:numFmt formatCode="General"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75515685"/>
        <c:crosses val="autoZero"/>
        <c:auto val="1"/>
        <c:lblAlgn val="ctr"/>
        <c:lblOffset val="100"/>
        <c:noMultiLvlLbl val="0"/>
      </c:catAx>
      <c:valAx>
        <c:axId val="75515685"/>
        <c:scaling>
          <c:orientation val="minMax"/>
        </c:scaling>
        <c:delete val="0"/>
        <c:axPos val="b"/>
        <c:majorGridlines>
          <c:spPr>
            <a:ln w="9360">
              <a:solidFill>
                <a:srgbClr val="878787"/>
              </a:solidFill>
              <a:prstDash val="solid"/>
              <a:round/>
            </a:ln>
          </c:spPr>
        </c:majorGridlines>
        <c:numFmt formatCode="0.0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ea typeface="Calibri"/>
              </a:defRPr>
            </a:pPr>
            <a:endParaRPr lang="en-US"/>
          </a:p>
        </c:txPr>
        <c:crossAx val="87840354"/>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Sheet1!$A$2</c:f>
              <c:strCache>
                <c:ptCount val="1"/>
                <c:pt idx="0">
                  <c:v>Correlation</c:v>
                </c:pt>
              </c:strCache>
            </c:strRef>
          </c:tx>
          <c:spPr>
            <a:ln w="22225" cap="rnd">
              <a:solidFill>
                <a:schemeClr val="accent1"/>
              </a:solidFill>
            </a:ln>
            <a:effectLst>
              <a:glow rad="139700">
                <a:schemeClr val="accent1">
                  <a:satMod val="175000"/>
                  <a:alpha val="14000"/>
                </a:schemeClr>
              </a:glow>
            </a:effectLst>
          </c:spPr>
          <c:marker>
            <c:symbol val="none"/>
          </c:marker>
          <c:cat>
            <c:strRef>
              <c:f>Sheet1!$B$1:$AB$1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Sheet1!$B$2:$AB$2</c:f>
              <c:numCache>
                <c:formatCode>General</c:formatCode>
                <c:ptCount val="27"/>
                <c:pt idx="0" formatCode="0.000">
                  <c:v>-0.27564447109580803</c:v>
                </c:pt>
                <c:pt idx="1">
                  <c:v>0.37444142596588592</c:v>
                </c:pt>
                <c:pt idx="2">
                  <c:v>-0.23600106159932455</c:v>
                </c:pt>
                <c:pt idx="3">
                  <c:v>-0.28947312835268108</c:v>
                </c:pt>
                <c:pt idx="4">
                  <c:v>0.40446502986259125</c:v>
                </c:pt>
                <c:pt idx="5">
                  <c:v>7.1220063174729661E-2</c:v>
                </c:pt>
                <c:pt idx="6">
                  <c:v>-4.6716113528465157E-2</c:v>
                </c:pt>
                <c:pt idx="7">
                  <c:v>-0.21348975947516916</c:v>
                </c:pt>
                <c:pt idx="8">
                  <c:v>-0.21333214242606643</c:v>
                </c:pt>
                <c:pt idx="9">
                  <c:v>-0.18669717007768752</c:v>
                </c:pt>
                <c:pt idx="10">
                  <c:v>0.23659931931689476</c:v>
                </c:pt>
                <c:pt idx="11">
                  <c:v>8.9409964756316462E-2</c:v>
                </c:pt>
                <c:pt idx="12">
                  <c:v>-1.1806939645652584E-2</c:v>
                </c:pt>
                <c:pt idx="13">
                  <c:v>0.18023981123903154</c:v>
                </c:pt>
                <c:pt idx="14">
                  <c:v>7.724272964516575E-2</c:v>
                </c:pt>
                <c:pt idx="15">
                  <c:v>0.16250696422450406</c:v>
                </c:pt>
                <c:pt idx="16">
                  <c:v>0.10355600632039906</c:v>
                </c:pt>
                <c:pt idx="17">
                  <c:v>6.7652047941903729E-2</c:v>
                </c:pt>
                <c:pt idx="18">
                  <c:v>0.16050341272579477</c:v>
                </c:pt>
                <c:pt idx="19">
                  <c:v>-2.6634936673397818E-2</c:v>
                </c:pt>
                <c:pt idx="20">
                  <c:v>8.9469179812510499E-2</c:v>
                </c:pt>
                <c:pt idx="21">
                  <c:v>0.11791882570767789</c:v>
                </c:pt>
                <c:pt idx="22">
                  <c:v>0.14949338100179688</c:v>
                </c:pt>
                <c:pt idx="23">
                  <c:v>-0.16457890448361578</c:v>
                </c:pt>
                <c:pt idx="24">
                  <c:v>-1.0674755867789617E-2</c:v>
                </c:pt>
                <c:pt idx="25">
                  <c:v>8.668815516924655E-2</c:v>
                </c:pt>
                <c:pt idx="26">
                  <c:v>1.7225173148299883E-2</c:v>
                </c:pt>
              </c:numCache>
            </c:numRef>
          </c:val>
          <c:smooth val="0"/>
          <c:extLst>
            <c:ext xmlns:c16="http://schemas.microsoft.com/office/drawing/2014/chart" uri="{C3380CC4-5D6E-409C-BE32-E72D297353CC}">
              <c16:uniqueId val="{00000000-AC82-487D-848D-B80DD01ED323}"/>
            </c:ext>
          </c:extLst>
        </c:ser>
        <c:ser>
          <c:idx val="1"/>
          <c:order val="1"/>
          <c:tx>
            <c:strRef>
              <c:f>Sheet1!$A$3</c:f>
              <c:strCache>
                <c:ptCount val="1"/>
                <c:pt idx="0">
                  <c:v>Absolute Correlation</c:v>
                </c:pt>
              </c:strCache>
            </c:strRef>
          </c:tx>
          <c:spPr>
            <a:ln w="22225" cap="rnd">
              <a:solidFill>
                <a:schemeClr val="accent2"/>
              </a:solidFill>
            </a:ln>
            <a:effectLst>
              <a:glow rad="139700">
                <a:schemeClr val="accent2">
                  <a:satMod val="175000"/>
                  <a:alpha val="14000"/>
                </a:schemeClr>
              </a:glow>
            </a:effectLst>
          </c:spPr>
          <c:marker>
            <c:symbol val="none"/>
          </c:marker>
          <c:cat>
            <c:strRef>
              <c:f>Sheet1!$B$1:$AB$1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Sheet1!$B$3:$AB$3</c:f>
              <c:numCache>
                <c:formatCode>General</c:formatCode>
                <c:ptCount val="27"/>
                <c:pt idx="0" formatCode="0.000">
                  <c:v>0.27564447109580803</c:v>
                </c:pt>
                <c:pt idx="1">
                  <c:v>0.37444142596588592</c:v>
                </c:pt>
                <c:pt idx="2">
                  <c:v>0.23600106159932455</c:v>
                </c:pt>
                <c:pt idx="3">
                  <c:v>0.28947312835268108</c:v>
                </c:pt>
                <c:pt idx="4">
                  <c:v>0.40446502986259125</c:v>
                </c:pt>
                <c:pt idx="5">
                  <c:v>7.1220063174729661E-2</c:v>
                </c:pt>
                <c:pt idx="6">
                  <c:v>4.6716113528465157E-2</c:v>
                </c:pt>
                <c:pt idx="7">
                  <c:v>0.21348975947516916</c:v>
                </c:pt>
                <c:pt idx="8">
                  <c:v>0.21333214242606643</c:v>
                </c:pt>
                <c:pt idx="9">
                  <c:v>0.18669717007768752</c:v>
                </c:pt>
                <c:pt idx="10">
                  <c:v>0.23659931931689476</c:v>
                </c:pt>
                <c:pt idx="11">
                  <c:v>8.9409964756316462E-2</c:v>
                </c:pt>
                <c:pt idx="12">
                  <c:v>1.1806939645652584E-2</c:v>
                </c:pt>
                <c:pt idx="13">
                  <c:v>0.18023981123903154</c:v>
                </c:pt>
                <c:pt idx="14">
                  <c:v>7.724272964516575E-2</c:v>
                </c:pt>
                <c:pt idx="15">
                  <c:v>0.16250696422450406</c:v>
                </c:pt>
                <c:pt idx="16">
                  <c:v>0.10355600632039906</c:v>
                </c:pt>
                <c:pt idx="17">
                  <c:v>6.7652047941903729E-2</c:v>
                </c:pt>
                <c:pt idx="18">
                  <c:v>0.16050341272579477</c:v>
                </c:pt>
                <c:pt idx="19">
                  <c:v>2.6634936673397818E-2</c:v>
                </c:pt>
                <c:pt idx="20">
                  <c:v>8.9469179812510499E-2</c:v>
                </c:pt>
                <c:pt idx="21">
                  <c:v>0.11791882570767789</c:v>
                </c:pt>
                <c:pt idx="22">
                  <c:v>0.14949338100179688</c:v>
                </c:pt>
                <c:pt idx="23">
                  <c:v>0.16457890448361578</c:v>
                </c:pt>
                <c:pt idx="24">
                  <c:v>1.0674755867789617E-2</c:v>
                </c:pt>
                <c:pt idx="25">
                  <c:v>8.668815516924655E-2</c:v>
                </c:pt>
                <c:pt idx="26">
                  <c:v>1.7225173148299883E-2</c:v>
                </c:pt>
              </c:numCache>
            </c:numRef>
          </c:val>
          <c:smooth val="0"/>
          <c:extLst>
            <c:ext xmlns:c16="http://schemas.microsoft.com/office/drawing/2014/chart" uri="{C3380CC4-5D6E-409C-BE32-E72D297353CC}">
              <c16:uniqueId val="{00000001-AC82-487D-848D-B80DD01ED323}"/>
            </c:ext>
          </c:extLst>
        </c:ser>
        <c:dLbls>
          <c:showLegendKey val="0"/>
          <c:showVal val="0"/>
          <c:showCatName val="0"/>
          <c:showSerName val="0"/>
          <c:showPercent val="0"/>
          <c:showBubbleSize val="0"/>
        </c:dLbls>
        <c:smooth val="0"/>
        <c:axId val="1020128176"/>
        <c:axId val="919950928"/>
      </c:lineChart>
      <c:catAx>
        <c:axId val="1020128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9950928"/>
        <c:crosses val="autoZero"/>
        <c:auto val="1"/>
        <c:lblAlgn val="ctr"/>
        <c:lblOffset val="100"/>
        <c:noMultiLvlLbl val="0"/>
      </c:catAx>
      <c:valAx>
        <c:axId val="919950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0128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Sheet1!$A$2</c:f>
              <c:strCache>
                <c:ptCount val="1"/>
                <c:pt idx="0">
                  <c:v>Correlation</c:v>
                </c:pt>
              </c:strCache>
            </c:strRef>
          </c:tx>
          <c:spPr>
            <a:ln w="22225" cap="rnd">
              <a:solidFill>
                <a:schemeClr val="accent1"/>
              </a:solidFill>
            </a:ln>
            <a:effectLst>
              <a:glow rad="139700">
                <a:schemeClr val="accent1">
                  <a:satMod val="175000"/>
                  <a:alpha val="14000"/>
                </a:schemeClr>
              </a:glow>
            </a:effectLst>
          </c:spPr>
          <c:marker>
            <c:symbol val="none"/>
          </c:marker>
          <c:cat>
            <c:strRef>
              <c:f>Sheet1!$B$1:$AB$1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Sheet1!$B$2:$AB$2</c:f>
              <c:numCache>
                <c:formatCode>General</c:formatCode>
                <c:ptCount val="27"/>
                <c:pt idx="0" formatCode="0.000">
                  <c:v>-0.27564447109580803</c:v>
                </c:pt>
                <c:pt idx="1">
                  <c:v>0.37444142596588592</c:v>
                </c:pt>
                <c:pt idx="2">
                  <c:v>-0.23600106159932455</c:v>
                </c:pt>
                <c:pt idx="3">
                  <c:v>-0.28947312835268108</c:v>
                </c:pt>
                <c:pt idx="4">
                  <c:v>0.40446502986259125</c:v>
                </c:pt>
                <c:pt idx="5">
                  <c:v>7.1220063174729661E-2</c:v>
                </c:pt>
                <c:pt idx="6">
                  <c:v>-4.6716113528465157E-2</c:v>
                </c:pt>
                <c:pt idx="7">
                  <c:v>-0.21348975947516916</c:v>
                </c:pt>
                <c:pt idx="8">
                  <c:v>-0.21333214242606643</c:v>
                </c:pt>
                <c:pt idx="9">
                  <c:v>-0.18669717007768752</c:v>
                </c:pt>
                <c:pt idx="10">
                  <c:v>0.23659931931689476</c:v>
                </c:pt>
                <c:pt idx="11">
                  <c:v>8.9409964756316462E-2</c:v>
                </c:pt>
                <c:pt idx="12">
                  <c:v>-1.1806939645652584E-2</c:v>
                </c:pt>
                <c:pt idx="13">
                  <c:v>0.18023981123903154</c:v>
                </c:pt>
                <c:pt idx="14">
                  <c:v>7.724272964516575E-2</c:v>
                </c:pt>
                <c:pt idx="15">
                  <c:v>0.16250696422450406</c:v>
                </c:pt>
                <c:pt idx="16">
                  <c:v>0.10355600632039906</c:v>
                </c:pt>
                <c:pt idx="17">
                  <c:v>6.7652047941903729E-2</c:v>
                </c:pt>
                <c:pt idx="18">
                  <c:v>0.16050341272579477</c:v>
                </c:pt>
                <c:pt idx="19">
                  <c:v>-2.6634936673397818E-2</c:v>
                </c:pt>
                <c:pt idx="20">
                  <c:v>8.9469179812510499E-2</c:v>
                </c:pt>
                <c:pt idx="21">
                  <c:v>0.11791882570767789</c:v>
                </c:pt>
                <c:pt idx="22">
                  <c:v>0.14949338100179688</c:v>
                </c:pt>
                <c:pt idx="23">
                  <c:v>-0.16457890448361578</c:v>
                </c:pt>
                <c:pt idx="24">
                  <c:v>-1.0674755867789617E-2</c:v>
                </c:pt>
                <c:pt idx="25">
                  <c:v>8.668815516924655E-2</c:v>
                </c:pt>
                <c:pt idx="26">
                  <c:v>1.7225173148299883E-2</c:v>
                </c:pt>
              </c:numCache>
            </c:numRef>
          </c:val>
          <c:smooth val="0"/>
          <c:extLst>
            <c:ext xmlns:c16="http://schemas.microsoft.com/office/drawing/2014/chart" uri="{C3380CC4-5D6E-409C-BE32-E72D297353CC}">
              <c16:uniqueId val="{00000000-39A3-4928-9786-7FFFE514A9EF}"/>
            </c:ext>
          </c:extLst>
        </c:ser>
        <c:ser>
          <c:idx val="1"/>
          <c:order val="1"/>
          <c:tx>
            <c:strRef>
              <c:f>Sheet1!$A$3</c:f>
              <c:strCache>
                <c:ptCount val="1"/>
                <c:pt idx="0">
                  <c:v>Absolute Correlation</c:v>
                </c:pt>
              </c:strCache>
            </c:strRef>
          </c:tx>
          <c:spPr>
            <a:ln w="22225" cap="rnd">
              <a:solidFill>
                <a:schemeClr val="accent2"/>
              </a:solidFill>
            </a:ln>
            <a:effectLst>
              <a:glow rad="139700">
                <a:schemeClr val="accent2">
                  <a:satMod val="175000"/>
                  <a:alpha val="14000"/>
                </a:schemeClr>
              </a:glow>
            </a:effectLst>
          </c:spPr>
          <c:marker>
            <c:symbol val="none"/>
          </c:marker>
          <c:cat>
            <c:strRef>
              <c:f>Sheet1!$B$1:$AB$1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Sheet1!$B$3:$AB$3</c:f>
              <c:numCache>
                <c:formatCode>General</c:formatCode>
                <c:ptCount val="27"/>
                <c:pt idx="0" formatCode="0.000">
                  <c:v>0.27564447109580803</c:v>
                </c:pt>
                <c:pt idx="1">
                  <c:v>0.37444142596588592</c:v>
                </c:pt>
                <c:pt idx="2">
                  <c:v>0.23600106159932455</c:v>
                </c:pt>
                <c:pt idx="3">
                  <c:v>0.28947312835268108</c:v>
                </c:pt>
                <c:pt idx="4">
                  <c:v>0.40446502986259125</c:v>
                </c:pt>
                <c:pt idx="5">
                  <c:v>7.1220063174729661E-2</c:v>
                </c:pt>
                <c:pt idx="6">
                  <c:v>4.6716113528465157E-2</c:v>
                </c:pt>
                <c:pt idx="7">
                  <c:v>0.21348975947516916</c:v>
                </c:pt>
                <c:pt idx="8">
                  <c:v>0.21333214242606643</c:v>
                </c:pt>
                <c:pt idx="9">
                  <c:v>0.18669717007768752</c:v>
                </c:pt>
                <c:pt idx="10">
                  <c:v>0.23659931931689476</c:v>
                </c:pt>
                <c:pt idx="11">
                  <c:v>8.9409964756316462E-2</c:v>
                </c:pt>
                <c:pt idx="12">
                  <c:v>1.1806939645652584E-2</c:v>
                </c:pt>
                <c:pt idx="13">
                  <c:v>0.18023981123903154</c:v>
                </c:pt>
                <c:pt idx="14">
                  <c:v>7.724272964516575E-2</c:v>
                </c:pt>
                <c:pt idx="15">
                  <c:v>0.16250696422450406</c:v>
                </c:pt>
                <c:pt idx="16">
                  <c:v>0.10355600632039906</c:v>
                </c:pt>
                <c:pt idx="17">
                  <c:v>6.7652047941903729E-2</c:v>
                </c:pt>
                <c:pt idx="18">
                  <c:v>0.16050341272579477</c:v>
                </c:pt>
                <c:pt idx="19">
                  <c:v>2.6634936673397818E-2</c:v>
                </c:pt>
                <c:pt idx="20">
                  <c:v>8.9469179812510499E-2</c:v>
                </c:pt>
                <c:pt idx="21">
                  <c:v>0.11791882570767789</c:v>
                </c:pt>
                <c:pt idx="22">
                  <c:v>0.14949338100179688</c:v>
                </c:pt>
                <c:pt idx="23">
                  <c:v>0.16457890448361578</c:v>
                </c:pt>
                <c:pt idx="24">
                  <c:v>1.0674755867789617E-2</c:v>
                </c:pt>
                <c:pt idx="25">
                  <c:v>8.668815516924655E-2</c:v>
                </c:pt>
                <c:pt idx="26">
                  <c:v>1.7225173148299883E-2</c:v>
                </c:pt>
              </c:numCache>
            </c:numRef>
          </c:val>
          <c:smooth val="0"/>
          <c:extLst>
            <c:ext xmlns:c16="http://schemas.microsoft.com/office/drawing/2014/chart" uri="{C3380CC4-5D6E-409C-BE32-E72D297353CC}">
              <c16:uniqueId val="{00000001-39A3-4928-9786-7FFFE514A9EF}"/>
            </c:ext>
          </c:extLst>
        </c:ser>
        <c:dLbls>
          <c:showLegendKey val="0"/>
          <c:showVal val="0"/>
          <c:showCatName val="0"/>
          <c:showSerName val="0"/>
          <c:showPercent val="0"/>
          <c:showBubbleSize val="0"/>
        </c:dLbls>
        <c:smooth val="0"/>
        <c:axId val="1020128176"/>
        <c:axId val="919950928"/>
      </c:lineChart>
      <c:catAx>
        <c:axId val="1020128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9950928"/>
        <c:crosses val="autoZero"/>
        <c:auto val="1"/>
        <c:lblAlgn val="ctr"/>
        <c:lblOffset val="100"/>
        <c:noMultiLvlLbl val="0"/>
      </c:catAx>
      <c:valAx>
        <c:axId val="919950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0128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0</xdr:col>
      <xdr:colOff>214312</xdr:colOff>
      <xdr:row>13</xdr:row>
      <xdr:rowOff>142876</xdr:rowOff>
    </xdr:from>
    <xdr:to>
      <xdr:col>6</xdr:col>
      <xdr:colOff>210835</xdr:colOff>
      <xdr:row>27</xdr:row>
      <xdr:rowOff>141736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238125</xdr:colOff>
      <xdr:row>13</xdr:row>
      <xdr:rowOff>166688</xdr:rowOff>
    </xdr:from>
    <xdr:to>
      <xdr:col>11</xdr:col>
      <xdr:colOff>951285</xdr:colOff>
      <xdr:row>27</xdr:row>
      <xdr:rowOff>165548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178594</xdr:colOff>
      <xdr:row>35</xdr:row>
      <xdr:rowOff>83344</xdr:rowOff>
    </xdr:from>
    <xdr:to>
      <xdr:col>11</xdr:col>
      <xdr:colOff>1508617</xdr:colOff>
      <xdr:row>47</xdr:row>
      <xdr:rowOff>46485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23813</xdr:colOff>
      <xdr:row>35</xdr:row>
      <xdr:rowOff>130969</xdr:rowOff>
    </xdr:from>
    <xdr:to>
      <xdr:col>5</xdr:col>
      <xdr:colOff>129755</xdr:colOff>
      <xdr:row>47</xdr:row>
      <xdr:rowOff>94110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48</xdr:row>
      <xdr:rowOff>130969</xdr:rowOff>
    </xdr:from>
    <xdr:to>
      <xdr:col>6</xdr:col>
      <xdr:colOff>246600</xdr:colOff>
      <xdr:row>62</xdr:row>
      <xdr:rowOff>129829</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476249</xdr:colOff>
      <xdr:row>48</xdr:row>
      <xdr:rowOff>107156</xdr:rowOff>
    </xdr:from>
    <xdr:to>
      <xdr:col>11</xdr:col>
      <xdr:colOff>808529</xdr:colOff>
      <xdr:row>62</xdr:row>
      <xdr:rowOff>106016</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11906</xdr:colOff>
      <xdr:row>67</xdr:row>
      <xdr:rowOff>0</xdr:rowOff>
    </xdr:from>
    <xdr:to>
      <xdr:col>9</xdr:col>
      <xdr:colOff>68740</xdr:colOff>
      <xdr:row>82</xdr:row>
      <xdr:rowOff>12346</xdr:rowOff>
    </xdr:to>
    <xdr:graphicFrame macro="">
      <xdr:nvGraphicFramePr>
        <xdr:cNvPr id="8" name="Chart 7">
          <a:extLst>
            <a:ext uri="{FF2B5EF4-FFF2-40B4-BE49-F238E27FC236}">
              <a16:creationId xmlns:a16="http://schemas.microsoft.com/office/drawing/2014/main" id="{65AFD234-DDF8-4CF7-B086-2B143537E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232832</xdr:colOff>
      <xdr:row>2</xdr:row>
      <xdr:rowOff>162788</xdr:rowOff>
    </xdr:from>
    <xdr:to>
      <xdr:col>12</xdr:col>
      <xdr:colOff>293966</xdr:colOff>
      <xdr:row>21</xdr:row>
      <xdr:rowOff>31749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131040</xdr:rowOff>
    </xdr:from>
    <xdr:to>
      <xdr:col>14</xdr:col>
      <xdr:colOff>397440</xdr:colOff>
      <xdr:row>17</xdr:row>
      <xdr:rowOff>172080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84666</xdr:colOff>
      <xdr:row>0</xdr:row>
      <xdr:rowOff>215706</xdr:rowOff>
    </xdr:from>
    <xdr:to>
      <xdr:col>8</xdr:col>
      <xdr:colOff>453306</xdr:colOff>
      <xdr:row>20</xdr:row>
      <xdr:rowOff>268189</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211667</xdr:colOff>
      <xdr:row>2</xdr:row>
      <xdr:rowOff>120396</xdr:rowOff>
    </xdr:from>
    <xdr:to>
      <xdr:col>14</xdr:col>
      <xdr:colOff>275251</xdr:colOff>
      <xdr:row>17</xdr:row>
      <xdr:rowOff>182436</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465666</xdr:colOff>
      <xdr:row>3</xdr:row>
      <xdr:rowOff>46313</xdr:rowOff>
    </xdr:from>
    <xdr:to>
      <xdr:col>9</xdr:col>
      <xdr:colOff>359832</xdr:colOff>
      <xdr:row>19</xdr:row>
      <xdr:rowOff>55663</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211666</xdr:colOff>
      <xdr:row>20</xdr:row>
      <xdr:rowOff>34857</xdr:rowOff>
    </xdr:from>
    <xdr:to>
      <xdr:col>9</xdr:col>
      <xdr:colOff>296416</xdr:colOff>
      <xdr:row>36</xdr:row>
      <xdr:rowOff>76317</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xdr:row>
      <xdr:rowOff>273097</xdr:rowOff>
    </xdr:from>
    <xdr:to>
      <xdr:col>6</xdr:col>
      <xdr:colOff>1274253</xdr:colOff>
      <xdr:row>17</xdr:row>
      <xdr:rowOff>421567</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12</xdr:row>
      <xdr:rowOff>969480</xdr:rowOff>
    </xdr:from>
    <xdr:to>
      <xdr:col>13</xdr:col>
      <xdr:colOff>580905</xdr:colOff>
      <xdr:row>17</xdr:row>
      <xdr:rowOff>527400</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52917</xdr:colOff>
      <xdr:row>41</xdr:row>
      <xdr:rowOff>43093</xdr:rowOff>
    </xdr:from>
    <xdr:to>
      <xdr:col>4</xdr:col>
      <xdr:colOff>947157</xdr:colOff>
      <xdr:row>42</xdr:row>
      <xdr:rowOff>1526522</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1016000</xdr:colOff>
      <xdr:row>41</xdr:row>
      <xdr:rowOff>53678</xdr:rowOff>
    </xdr:from>
    <xdr:to>
      <xdr:col>10</xdr:col>
      <xdr:colOff>359833</xdr:colOff>
      <xdr:row>42</xdr:row>
      <xdr:rowOff>1537107</xdr:rowOff>
    </xdr:to>
    <xdr:graphicFrame macro="">
      <xdr:nvGraphicFramePr>
        <xdr:cNvPr id="3" name="Chart 2">
          <a:extLst>
            <a:ext uri="{FF2B5EF4-FFF2-40B4-BE49-F238E27FC236}">
              <a16:creationId xmlns:a16="http://schemas.microsoft.com/office/drawing/2014/main" id="{00000000-0008-0000-1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201084</xdr:colOff>
      <xdr:row>45</xdr:row>
      <xdr:rowOff>130183</xdr:rowOff>
    </xdr:from>
    <xdr:to>
      <xdr:col>8</xdr:col>
      <xdr:colOff>777824</xdr:colOff>
      <xdr:row>45</xdr:row>
      <xdr:rowOff>1026598</xdr:rowOff>
    </xdr:to>
    <xdr:graphicFrame macro="">
      <xdr:nvGraphicFramePr>
        <xdr:cNvPr id="4" name="Chart 3">
          <a:extLst>
            <a:ext uri="{FF2B5EF4-FFF2-40B4-BE49-F238E27FC236}">
              <a16:creationId xmlns:a16="http://schemas.microsoft.com/office/drawing/2014/main" id="{00000000-0008-0000-1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2211916</xdr:colOff>
      <xdr:row>43</xdr:row>
      <xdr:rowOff>95250</xdr:rowOff>
    </xdr:from>
    <xdr:to>
      <xdr:col>7</xdr:col>
      <xdr:colOff>1241424</xdr:colOff>
      <xdr:row>53</xdr:row>
      <xdr:rowOff>175684</xdr:rowOff>
    </xdr:to>
    <xdr:graphicFrame macro="">
      <xdr:nvGraphicFramePr>
        <xdr:cNvPr id="5" name="Chart 4">
          <a:extLst>
            <a:ext uri="{FF2B5EF4-FFF2-40B4-BE49-F238E27FC236}">
              <a16:creationId xmlns:a16="http://schemas.microsoft.com/office/drawing/2014/main" id="{CC88A383-C716-4355-A57D-6A670D7C4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219074</xdr:colOff>
      <xdr:row>3</xdr:row>
      <xdr:rowOff>161925</xdr:rowOff>
    </xdr:from>
    <xdr:to>
      <xdr:col>15</xdr:col>
      <xdr:colOff>476249</xdr:colOff>
      <xdr:row>19</xdr:row>
      <xdr:rowOff>104775</xdr:rowOff>
    </xdr:to>
    <xdr:graphicFrame macro="">
      <xdr:nvGraphicFramePr>
        <xdr:cNvPr id="4" name="Chart 3">
          <a:extLst>
            <a:ext uri="{FF2B5EF4-FFF2-40B4-BE49-F238E27FC236}">
              <a16:creationId xmlns:a16="http://schemas.microsoft.com/office/drawing/2014/main" id="{B89AFD1B-A554-9944-E858-79251D8FF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CPIData" displayName="RawCPIData" ref="A1:AD373" totalsRowShown="0">
  <autoFilter ref="A1:AD373" xr:uid="{00000000-0009-0000-0100-000001000000}"/>
  <tableColumns count="30">
    <tableColumn id="1" xr3:uid="{00000000-0010-0000-0000-000001000000}" name="Sector"/>
    <tableColumn id="2" xr3:uid="{00000000-0010-0000-0000-000002000000}" name="Year"/>
    <tableColumn id="3" xr3:uid="{00000000-0010-0000-0000-000003000000}" name="Month"/>
    <tableColumn id="4" xr3:uid="{00000000-0010-0000-0000-000004000000}" name="Cereals and products"/>
    <tableColumn id="5" xr3:uid="{00000000-0010-0000-0000-000005000000}" name="Meat and fish"/>
    <tableColumn id="6" xr3:uid="{00000000-0010-0000-0000-000006000000}" name="Egg"/>
    <tableColumn id="7" xr3:uid="{00000000-0010-0000-0000-000007000000}" name="Milk and products"/>
    <tableColumn id="8" xr3:uid="{00000000-0010-0000-0000-000008000000}" name="Oils and fats"/>
    <tableColumn id="9" xr3:uid="{00000000-0010-0000-0000-000009000000}" name="Fruits"/>
    <tableColumn id="10" xr3:uid="{00000000-0010-0000-0000-00000A000000}" name="Vegetables"/>
    <tableColumn id="11" xr3:uid="{00000000-0010-0000-0000-00000B000000}" name="Pulses and products"/>
    <tableColumn id="12" xr3:uid="{00000000-0010-0000-0000-00000C000000}" name="Sugar and Confectionery"/>
    <tableColumn id="13" xr3:uid="{00000000-0010-0000-0000-00000D000000}" name="Spices"/>
    <tableColumn id="14" xr3:uid="{00000000-0010-0000-0000-00000E000000}" name="Non-alcoholic beverages"/>
    <tableColumn id="15" xr3:uid="{00000000-0010-0000-0000-00000F000000}" name="Prepared meals, snacks, sweets etc."/>
    <tableColumn id="16" xr3:uid="{00000000-0010-0000-0000-000010000000}" name="Food and beverages"/>
    <tableColumn id="17" xr3:uid="{00000000-0010-0000-0000-000011000000}" name="Pan, tobacco and intoxicants"/>
    <tableColumn id="18" xr3:uid="{00000000-0010-0000-0000-000012000000}" name="Clothing"/>
    <tableColumn id="19" xr3:uid="{00000000-0010-0000-0000-000013000000}" name="Footwear"/>
    <tableColumn id="20" xr3:uid="{00000000-0010-0000-0000-000014000000}" name="Clothing and footwear"/>
    <tableColumn id="21" xr3:uid="{00000000-0010-0000-0000-000015000000}" name="Housing"/>
    <tableColumn id="22" xr3:uid="{00000000-0010-0000-0000-000016000000}" name="Fuel and light"/>
    <tableColumn id="23" xr3:uid="{00000000-0010-0000-0000-000017000000}" name="Household goods and services"/>
    <tableColumn id="24" xr3:uid="{00000000-0010-0000-0000-000018000000}" name="Health"/>
    <tableColumn id="25" xr3:uid="{00000000-0010-0000-0000-000019000000}" name="Transport and communication"/>
    <tableColumn id="26" xr3:uid="{00000000-0010-0000-0000-00001A000000}" name="Recreation and amusement"/>
    <tableColumn id="27" xr3:uid="{00000000-0010-0000-0000-00001B000000}" name="Education"/>
    <tableColumn id="28" xr3:uid="{00000000-0010-0000-0000-00001C000000}" name="Personal care and effects"/>
    <tableColumn id="29" xr3:uid="{00000000-0010-0000-0000-00001D000000}" name="Miscellaneous"/>
    <tableColumn id="30" xr3:uid="{00000000-0010-0000-0000-00001E000000}" name="General index"/>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CPIData" displayName="CleanCPIData" ref="A1:AD373" totalsRowShown="0">
  <autoFilter ref="A1:AD373" xr:uid="{00000000-0009-0000-0100-000002000000}"/>
  <tableColumns count="30">
    <tableColumn id="1" xr3:uid="{00000000-0010-0000-0100-000001000000}" name="Sector"/>
    <tableColumn id="2" xr3:uid="{00000000-0010-0000-0100-000002000000}" name="Year"/>
    <tableColumn id="3" xr3:uid="{00000000-0010-0000-0100-000003000000}" name="Month"/>
    <tableColumn id="4" xr3:uid="{00000000-0010-0000-0100-000004000000}" name="Cereals and products"/>
    <tableColumn id="5" xr3:uid="{00000000-0010-0000-0100-000005000000}" name="Meat and fish"/>
    <tableColumn id="6" xr3:uid="{00000000-0010-0000-0100-000006000000}" name="Egg"/>
    <tableColumn id="7" xr3:uid="{00000000-0010-0000-0100-000007000000}" name="Milk and products"/>
    <tableColumn id="8" xr3:uid="{00000000-0010-0000-0100-000008000000}" name="Oils and fats"/>
    <tableColumn id="9" xr3:uid="{00000000-0010-0000-0100-000009000000}" name="Fruits"/>
    <tableColumn id="10" xr3:uid="{00000000-0010-0000-0100-00000A000000}" name="Vegetables"/>
    <tableColumn id="11" xr3:uid="{00000000-0010-0000-0100-00000B000000}" name="Pulses and products"/>
    <tableColumn id="12" xr3:uid="{00000000-0010-0000-0100-00000C000000}" name="Sugar and Confectionery"/>
    <tableColumn id="13" xr3:uid="{00000000-0010-0000-0100-00000D000000}" name="Spices"/>
    <tableColumn id="14" xr3:uid="{00000000-0010-0000-0100-00000E000000}" name="Non-alcoholic beverages"/>
    <tableColumn id="15" xr3:uid="{00000000-0010-0000-0100-00000F000000}" name="Prepared meals, snacks, sweets etc."/>
    <tableColumn id="16" xr3:uid="{00000000-0010-0000-0100-000010000000}" name="Food and beverages"/>
    <tableColumn id="17" xr3:uid="{00000000-0010-0000-0100-000011000000}" name="Pan, tobacco and intoxicants"/>
    <tableColumn id="18" xr3:uid="{00000000-0010-0000-0100-000012000000}" name="Clothing"/>
    <tableColumn id="19" xr3:uid="{00000000-0010-0000-0100-000013000000}" name="Footwear"/>
    <tableColumn id="20" xr3:uid="{00000000-0010-0000-0100-000014000000}" name="Clothing and footwear"/>
    <tableColumn id="21" xr3:uid="{00000000-0010-0000-0100-000015000000}" name="Housing"/>
    <tableColumn id="22" xr3:uid="{00000000-0010-0000-0100-000016000000}" name="Fuel and light"/>
    <tableColumn id="23" xr3:uid="{00000000-0010-0000-0100-000017000000}" name="Household goods and services"/>
    <tableColumn id="24" xr3:uid="{00000000-0010-0000-0100-000018000000}" name="Health"/>
    <tableColumn id="25" xr3:uid="{00000000-0010-0000-0100-000019000000}" name="Transport and communication"/>
    <tableColumn id="26" xr3:uid="{00000000-0010-0000-0100-00001A000000}" name="Recreation and amusement"/>
    <tableColumn id="27" xr3:uid="{00000000-0010-0000-0100-00001B000000}" name="Education"/>
    <tableColumn id="28" xr3:uid="{00000000-0010-0000-0100-00001C000000}" name="Personal care and effects"/>
    <tableColumn id="29" xr3:uid="{00000000-0010-0000-0100-00001D000000}" name="Miscellaneous"/>
    <tableColumn id="30" xr3:uid="{00000000-0010-0000-0100-00001E000000}" name="General ind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tegoryMapping" displayName="CategoryMapping" ref="A1:C24" totalsRowShown="0">
  <autoFilter ref="A1:C24" xr:uid="{00000000-0009-0000-0100-000003000000}"/>
  <tableColumns count="3">
    <tableColumn id="1" xr3:uid="{00000000-0010-0000-0200-000001000000}" name="Detailed CPI Category"/>
    <tableColumn id="2" xr3:uid="{00000000-0010-0000-0200-000002000000}" name="Broader Category"/>
    <tableColumn id="3" xr3:uid="{00000000-0010-0000-0200-000003000000}" name="Mapping Logic"/>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Q1CalculationTable" displayName="Q1CalculationTable" ref="A6:H17" totalsRowShown="0">
  <autoFilter ref="A6:H17" xr:uid="{00000000-0009-0000-0100-000004000000}"/>
  <tableColumns count="8">
    <tableColumn id="1" xr3:uid="{00000000-0010-0000-0300-000001000000}" name="Broader Category"/>
    <tableColumn id="2" xr3:uid="{00000000-0010-0000-0300-000002000000}" name="Underlying Components"/>
    <tableColumn id="3" xr3:uid="{00000000-0010-0000-0300-000003000000}" name="Components Used"/>
    <tableColumn id="4" xr3:uid="{00000000-0010-0000-0300-000004000000}" name="Sum of Component Indices"/>
    <tableColumn id="5" xr3:uid="{00000000-0010-0000-0300-000005000000}" name="Equal-Weighted Category Index"/>
    <tableColumn id="6" xr3:uid="{00000000-0010-0000-0300-000006000000}" name="Contribution %"/>
    <tableColumn id="7" xr3:uid="{00000000-0010-0000-0300-000007000000}" name="Contribution Check"/>
    <tableColumn id="8" xr3:uid="{00000000-0010-0000-0300-000008000000}" name="Formula / Logic"/>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1ContributionTable" displayName="Q1ContributionTable" ref="A5:F16" totalsRowShown="0">
  <autoFilter ref="A5:F16" xr:uid="{00000000-0009-0000-0100-000005000000}"/>
  <tableColumns count="6">
    <tableColumn id="1" xr3:uid="{00000000-0010-0000-0400-000001000000}" name="Rank"/>
    <tableColumn id="2" xr3:uid="{00000000-0010-0000-0400-000002000000}" name="Broader Category"/>
    <tableColumn id="3" xr3:uid="{00000000-0010-0000-0400-000003000000}" name="Category Index"/>
    <tableColumn id="4" xr3:uid="{00000000-0010-0000-0400-000004000000}" name="Contribution %"/>
    <tableColumn id="5" xr3:uid="{00000000-0010-0000-0400-000005000000}" name="Contribution Check"/>
    <tableColumn id="6" xr3:uid="{00000000-0010-0000-0400-000006000000}" name="Interpretatio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Q3FoodMonthly" displayName="Q3FoodMonthly" ref="A11:Q24" totalsRowShown="0">
  <autoFilter ref="A11:Q24" xr:uid="{00000000-0009-0000-0100-000007000000}"/>
  <tableColumns count="17">
    <tableColumn id="1" xr3:uid="{00000000-0010-0000-0600-000001000000}" name="Year"/>
    <tableColumn id="2" xr3:uid="{00000000-0010-0000-0600-000002000000}" name="Month"/>
    <tableColumn id="3" xr3:uid="{00000000-0010-0000-0600-000003000000}" name="Cereals and products"/>
    <tableColumn id="4" xr3:uid="{00000000-0010-0000-0600-000004000000}" name="Meat and fish"/>
    <tableColumn id="5" xr3:uid="{00000000-0010-0000-0600-000005000000}" name="Egg"/>
    <tableColumn id="6" xr3:uid="{00000000-0010-0000-0600-000006000000}" name="Milk and products"/>
    <tableColumn id="7" xr3:uid="{00000000-0010-0000-0600-000007000000}" name="Oils and fats"/>
    <tableColumn id="8" xr3:uid="{00000000-0010-0000-0600-000008000000}" name="Fruits"/>
    <tableColumn id="9" xr3:uid="{00000000-0010-0000-0600-000009000000}" name="Vegetables"/>
    <tableColumn id="10" xr3:uid="{00000000-0010-0000-0600-00000A000000}" name="Pulses and products"/>
    <tableColumn id="11" xr3:uid="{00000000-0010-0000-0600-00000B000000}" name="Sugar and Confectionery"/>
    <tableColumn id="12" xr3:uid="{00000000-0010-0000-0600-00000C000000}" name="Spices"/>
    <tableColumn id="13" xr3:uid="{00000000-0010-0000-0600-00000D000000}" name="Non-alcoholic beverages"/>
    <tableColumn id="14" xr3:uid="{00000000-0010-0000-0600-00000E000000}" name="Prepared meals, snacks, sweets etc."/>
    <tableColumn id="15" xr3:uid="{00000000-0010-0000-0600-00000F000000}" name="Avg Food Index"/>
    <tableColumn id="17" xr3:uid="{00000000-0010-0000-0600-000011000000}" name="Previous Month Food Index"/>
    <tableColumn id="18" xr3:uid="{00000000-0010-0000-0600-000012000000}" name="MoM Food Inflation %"/>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Q3Pivot" displayName="Q3Pivot" ref="A5:F17" totalsRowShown="0">
  <autoFilter ref="A5:F17" xr:uid="{00000000-0009-0000-0100-000008000000}"/>
  <tableColumns count="6">
    <tableColumn id="1" xr3:uid="{00000000-0010-0000-0700-000001000000}" name="Year"/>
    <tableColumn id="2" xr3:uid="{00000000-0010-0000-0700-000002000000}" name="Month"/>
    <tableColumn id="3" xr3:uid="{00000000-0010-0000-0700-000003000000}" name="Food Index"/>
    <tableColumn id="4" xr3:uid="{00000000-0010-0000-0700-000004000000}" name="MoM Food Inflation %"/>
    <tableColumn id="5" xr3:uid="{00000000-0010-0000-0700-000005000000}" name="Components Used"/>
    <tableColumn id="6" xr3:uid="{00000000-0010-0000-0700-000006000000}" name="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India_CPI_Inflation_Case_Study_Final_Interview.xlsx" TargetMode="External"/><Relationship Id="rId7" Type="http://schemas.openxmlformats.org/officeDocument/2006/relationships/drawing" Target="../drawings/drawing1.xml"/><Relationship Id="rId2" Type="http://schemas.openxmlformats.org/officeDocument/2006/relationships/hyperlink" Target="../../../India_CPI_Inflation_Case_Study_Final_Interview.xlsx" TargetMode="External"/><Relationship Id="rId1" Type="http://schemas.openxmlformats.org/officeDocument/2006/relationships/hyperlink" Target="../../../India_CPI_Inflation_Case_Study_Final_Interview.xlsx" TargetMode="External"/><Relationship Id="rId6" Type="http://schemas.openxmlformats.org/officeDocument/2006/relationships/hyperlink" Target="../../../India_CPI_Inflation_Case_Study_Final_Interview.xlsx" TargetMode="External"/><Relationship Id="rId5" Type="http://schemas.openxmlformats.org/officeDocument/2006/relationships/hyperlink" Target="../../../India_CPI_Inflation_Case_Study_Final_Interview.xlsx" TargetMode="External"/><Relationship Id="rId4" Type="http://schemas.openxmlformats.org/officeDocument/2006/relationships/hyperlink" Target="../../../India_CPI_Inflation_Case_Study_Final_Interview.xlsx"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India_CPI_Inflation_Case_Study_Final_Interview.xlsx"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India_CPI_Inflation_Case_Study_Final_Interview.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India_CPI_Inflation_Case_Study_Final_Interview.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India_CPI_Inflation_Case_Study_Final_Interview.xlsx"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India_CPI_Inflation_Case_Study_Final_Interview.xlsx"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hyperlink" Target="../../../India_CPI_Inflation_Case_Study_Final_Interview.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India_CPI_Inflation_Case_Study_Final_Interview.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India_CPI_Inflation_Case_Study_Final_Interview.xlsx"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rbi.org.in/scripts/AnnualReportPublications.aspx?Id=1373" TargetMode="External"/><Relationship Id="rId2" Type="http://schemas.openxmlformats.org/officeDocument/2006/relationships/hyperlink" Target="https://www.rbi.org.in/scripts/AnnualReportPublications.aspx?Id=1373" TargetMode="External"/><Relationship Id="rId1" Type="http://schemas.openxmlformats.org/officeDocument/2006/relationships/hyperlink" Target="../../../India_CPI_Inflation_Case_Study_Final_Interview.xlsx" TargetMode="External"/><Relationship Id="rId6" Type="http://schemas.openxmlformats.org/officeDocument/2006/relationships/hyperlink" Target="https://www.rbi.org.in/scripts/AnnualReportPublications.aspx?Id=1373" TargetMode="External"/><Relationship Id="rId5" Type="http://schemas.openxmlformats.org/officeDocument/2006/relationships/hyperlink" Target="https://www.indiabudget.gov.in/budget2023-24/economicsurvey/doc/echapter.pdf" TargetMode="External"/><Relationship Id="rId4" Type="http://schemas.openxmlformats.org/officeDocument/2006/relationships/hyperlink" Target="https://www.rbi.org.in/scripts/AnnualReportPublications.aspx?Id=1373" TargetMode="External"/></Relationships>
</file>

<file path=xl/worksheets/_rels/sheet1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India_CPI_Inflation_Case_Study_Final_Interview.xlsx"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India_CPI_Inflation_Case_Study_Final_Interview.xlsx"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India_CPI_Inflation_Case_Study_Final_Interview.xls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India_CPI_Inflation_Case_Study_Final_Interview.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India_CPI_Inflation_Case_Study_Final_Interview.xlsx"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hyperlink" Target="../../../India_CPI_Inflation_Case_Study_Final_Interview.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T67"/>
  <sheetViews>
    <sheetView showGridLines="0" zoomScale="80" zoomScaleNormal="80" workbookViewId="0">
      <pane ySplit="4" topLeftCell="A29" activePane="bottomLeft" state="frozen"/>
      <selection pane="bottomLeft" activeCell="A35" sqref="A35:K35"/>
    </sheetView>
  </sheetViews>
  <sheetFormatPr defaultColWidth="8.7109375" defaultRowHeight="15" customHeight="1" x14ac:dyDescent="0.2"/>
  <cols>
    <col min="1" max="1" width="23" customWidth="1"/>
    <col min="2" max="2" width="3" customWidth="1"/>
    <col min="3" max="3" width="23" customWidth="1"/>
    <col min="4" max="4" width="3" customWidth="1"/>
    <col min="5" max="5" width="23" customWidth="1"/>
    <col min="6" max="6" width="3" customWidth="1"/>
    <col min="7" max="7" width="23" customWidth="1"/>
    <col min="8" max="9" width="3" customWidth="1"/>
    <col min="10" max="10" width="23" customWidth="1"/>
    <col min="11" max="11" width="3" customWidth="1"/>
    <col min="12" max="14" width="23" customWidth="1"/>
  </cols>
  <sheetData>
    <row r="1" spans="1:20" ht="31.5" customHeight="1" x14ac:dyDescent="0.2">
      <c r="A1" s="131" t="s">
        <v>0</v>
      </c>
      <c r="B1" s="115"/>
      <c r="C1" s="115"/>
      <c r="D1" s="115"/>
      <c r="E1" s="115"/>
      <c r="F1" s="115"/>
      <c r="G1" s="115"/>
      <c r="H1" s="115"/>
      <c r="I1" s="115"/>
      <c r="J1" s="115"/>
      <c r="K1" s="115"/>
      <c r="L1" s="115"/>
      <c r="M1" s="115"/>
      <c r="N1" s="115"/>
    </row>
    <row r="2" spans="1:20" ht="7.5" customHeight="1" x14ac:dyDescent="0.2">
      <c r="A2" s="115"/>
      <c r="B2" s="115"/>
      <c r="C2" s="115"/>
      <c r="D2" s="115"/>
      <c r="E2" s="115"/>
      <c r="F2" s="115"/>
      <c r="G2" s="115"/>
      <c r="H2" s="115"/>
      <c r="I2" s="115"/>
      <c r="J2" s="115"/>
      <c r="K2" s="115"/>
      <c r="L2" s="115"/>
      <c r="M2" s="115"/>
      <c r="N2" s="115"/>
    </row>
    <row r="4" spans="1:20" ht="15" customHeight="1" x14ac:dyDescent="0.2">
      <c r="A4" s="132" t="s">
        <v>723</v>
      </c>
      <c r="B4" s="115"/>
      <c r="C4" s="115"/>
      <c r="D4" s="115"/>
      <c r="E4" s="115"/>
      <c r="F4" s="115"/>
      <c r="G4" s="115"/>
      <c r="H4" s="115"/>
      <c r="I4" s="115"/>
      <c r="J4" s="115"/>
      <c r="K4" s="115"/>
      <c r="L4" s="115"/>
      <c r="M4" s="115"/>
      <c r="N4" s="115"/>
    </row>
    <row r="6" spans="1:20" ht="24" customHeight="1" x14ac:dyDescent="0.2">
      <c r="A6" s="116" t="s">
        <v>1</v>
      </c>
      <c r="B6" s="117"/>
      <c r="C6" s="116" t="s">
        <v>2</v>
      </c>
      <c r="D6" s="117"/>
      <c r="E6" s="116" t="s">
        <v>3</v>
      </c>
      <c r="F6" s="117"/>
      <c r="G6" s="116" t="s">
        <v>4</v>
      </c>
      <c r="H6" s="118"/>
      <c r="I6" s="117"/>
      <c r="J6" s="116" t="s">
        <v>5</v>
      </c>
      <c r="K6" s="118"/>
      <c r="L6" s="117"/>
    </row>
    <row r="7" spans="1:20" ht="24" customHeight="1" x14ac:dyDescent="0.2">
      <c r="A7" s="126" t="str">
        <f>'Q1 Contribution'!B21</f>
        <v>Pan, Tobacco &amp; Intoxicants</v>
      </c>
      <c r="B7" s="117"/>
      <c r="C7" s="126">
        <f>'Q2 Calculation'!B23</f>
        <v>2022</v>
      </c>
      <c r="D7" s="117"/>
      <c r="E7" s="126" t="str">
        <f>"May-22 → May-23"</f>
        <v>May-22 → May-23</v>
      </c>
      <c r="F7" s="117"/>
      <c r="G7" s="133" t="str">
        <f>TEXT('Q4 Calculation'!Q4,"0.00%")&amp;" → "&amp;TEXT('Q4 Calculation'!R4,"0.00%")</f>
        <v>4.76% → 5.80%</v>
      </c>
      <c r="H7" s="118"/>
      <c r="I7" s="117"/>
      <c r="J7" s="126" t="str">
        <f>'Q5 Calculation'!B73</f>
        <v>Oils and fats</v>
      </c>
      <c r="K7" s="118"/>
      <c r="L7" s="117"/>
    </row>
    <row r="8" spans="1:20" ht="24" customHeight="1" x14ac:dyDescent="0.2">
      <c r="A8" s="125">
        <f>'Q1 Contribution'!D21</f>
        <v>0.10162386759021358</v>
      </c>
      <c r="B8" s="121"/>
      <c r="C8" s="125">
        <f>'Q2 Calculation'!D23</f>
        <v>6.6219354838709554E-2</v>
      </c>
      <c r="D8" s="121"/>
      <c r="E8" s="125">
        <f>'Q3 Calculation'!B36</f>
        <v>3.0112316034082154E-2</v>
      </c>
      <c r="F8" s="121"/>
      <c r="G8" s="127">
        <f>'Q4 Calculation'!S4</f>
        <v>1.0482466759118424E-2</v>
      </c>
      <c r="H8" s="120"/>
      <c r="I8" s="121"/>
      <c r="J8" s="119">
        <f>'Q5 Calculation'!B74</f>
        <v>0.40446502986259125</v>
      </c>
      <c r="K8" s="120"/>
      <c r="L8" s="121"/>
    </row>
    <row r="9" spans="1:20" ht="24" customHeight="1" x14ac:dyDescent="0.2">
      <c r="A9" s="122"/>
      <c r="B9" s="124"/>
      <c r="C9" s="122"/>
      <c r="D9" s="124"/>
      <c r="E9" s="122"/>
      <c r="F9" s="124"/>
      <c r="G9" s="122"/>
      <c r="H9" s="123"/>
      <c r="I9" s="124"/>
      <c r="J9" s="122"/>
      <c r="K9" s="123"/>
      <c r="L9" s="124"/>
    </row>
    <row r="11" spans="1:20" ht="15" customHeight="1" x14ac:dyDescent="0.2">
      <c r="A11" s="2" t="s">
        <v>6</v>
      </c>
      <c r="C11" s="2" t="s">
        <v>7</v>
      </c>
      <c r="E11" s="2" t="s">
        <v>8</v>
      </c>
      <c r="G11" s="2" t="s">
        <v>9</v>
      </c>
      <c r="I11" s="2" t="s">
        <v>10</v>
      </c>
      <c r="K11" s="2" t="s">
        <v>11</v>
      </c>
    </row>
    <row r="13" spans="1:20" ht="15" customHeight="1" x14ac:dyDescent="0.2">
      <c r="A13" s="130" t="s">
        <v>12</v>
      </c>
      <c r="B13" s="115"/>
      <c r="C13" s="115"/>
      <c r="D13" s="115"/>
      <c r="E13" s="115"/>
      <c r="F13" s="115"/>
      <c r="G13" s="130" t="s">
        <v>13</v>
      </c>
      <c r="H13" s="115"/>
      <c r="I13" s="115"/>
      <c r="J13" s="115"/>
      <c r="K13" s="115"/>
      <c r="L13" s="115"/>
      <c r="M13" s="115"/>
      <c r="N13" s="115"/>
    </row>
    <row r="15" spans="1:20" ht="15" customHeight="1" x14ac:dyDescent="0.2">
      <c r="M15" s="134" t="s">
        <v>16</v>
      </c>
      <c r="N15" s="135"/>
      <c r="O15" s="135"/>
      <c r="P15" s="73"/>
      <c r="Q15" s="73"/>
      <c r="R15" s="73"/>
      <c r="S15" s="73"/>
      <c r="T15" s="73"/>
    </row>
    <row r="16" spans="1:20" ht="15" customHeight="1" x14ac:dyDescent="0.2">
      <c r="M16" s="136" t="s">
        <v>710</v>
      </c>
      <c r="N16" s="137"/>
      <c r="O16" s="137"/>
      <c r="P16" s="137"/>
      <c r="Q16" s="137"/>
      <c r="R16" s="137"/>
      <c r="S16" s="137"/>
      <c r="T16" s="137"/>
    </row>
    <row r="17" spans="1:14" ht="15" customHeight="1" x14ac:dyDescent="0.2">
      <c r="M17" t="s">
        <v>713</v>
      </c>
    </row>
    <row r="18" spans="1:14" ht="15" customHeight="1" x14ac:dyDescent="0.2">
      <c r="M18" t="s">
        <v>712</v>
      </c>
    </row>
    <row r="19" spans="1:14" ht="15" customHeight="1" x14ac:dyDescent="0.2">
      <c r="M19" t="s">
        <v>711</v>
      </c>
    </row>
    <row r="31" spans="1:14" ht="15" customHeight="1" x14ac:dyDescent="0.2">
      <c r="A31" s="130" t="s">
        <v>14</v>
      </c>
      <c r="B31" s="115"/>
      <c r="C31" s="115"/>
      <c r="D31" s="115"/>
      <c r="E31" s="115"/>
      <c r="F31" s="115"/>
      <c r="G31" s="130" t="s">
        <v>15</v>
      </c>
      <c r="H31" s="115"/>
      <c r="I31" s="115"/>
      <c r="J31" s="115"/>
      <c r="K31" s="115"/>
      <c r="L31" s="115"/>
      <c r="M31" s="115"/>
      <c r="N31" s="115"/>
    </row>
    <row r="35" spans="1:11" ht="18" x14ac:dyDescent="0.2">
      <c r="A35" s="163"/>
      <c r="B35" s="164"/>
      <c r="C35" s="164"/>
      <c r="D35" s="164"/>
      <c r="E35" s="164"/>
      <c r="F35" s="164"/>
      <c r="G35" s="164"/>
      <c r="H35" s="164"/>
      <c r="I35" s="164"/>
      <c r="J35" s="164"/>
      <c r="K35" s="164"/>
    </row>
    <row r="36" spans="1:11" ht="12.75" x14ac:dyDescent="0.2">
      <c r="A36" s="65"/>
      <c r="B36" s="65"/>
      <c r="C36" s="65"/>
      <c r="D36" s="65"/>
      <c r="E36" s="65"/>
      <c r="F36" s="65"/>
      <c r="G36" s="65"/>
      <c r="H36" s="65"/>
      <c r="I36" s="65"/>
      <c r="J36" s="65"/>
      <c r="K36" s="65"/>
    </row>
    <row r="37" spans="1:11" ht="12.75" x14ac:dyDescent="0.2">
      <c r="A37" s="65"/>
      <c r="B37" s="65"/>
      <c r="C37" s="65"/>
      <c r="D37" s="65"/>
      <c r="E37" s="65"/>
      <c r="F37" s="65"/>
      <c r="G37" s="65"/>
      <c r="H37" s="65"/>
      <c r="I37" s="65"/>
      <c r="J37" s="65"/>
      <c r="K37" s="65"/>
    </row>
    <row r="38" spans="1:11" ht="38.1" customHeight="1" x14ac:dyDescent="0.2">
      <c r="A38" s="111" t="s">
        <v>17</v>
      </c>
      <c r="B38" s="106"/>
      <c r="C38" s="106"/>
      <c r="D38" s="129" t="s">
        <v>18</v>
      </c>
      <c r="E38" s="106"/>
      <c r="F38" s="106"/>
      <c r="G38" s="106"/>
      <c r="H38" s="106"/>
      <c r="I38" s="106"/>
      <c r="J38" s="106"/>
      <c r="K38" s="106"/>
    </row>
    <row r="39" spans="1:11" ht="12.75" x14ac:dyDescent="0.2">
      <c r="A39" s="65"/>
      <c r="B39" s="65"/>
      <c r="C39" s="65"/>
      <c r="D39" s="65"/>
      <c r="E39" s="65"/>
      <c r="F39" s="65"/>
      <c r="G39" s="65"/>
      <c r="H39" s="65"/>
      <c r="I39" s="65"/>
      <c r="J39" s="65"/>
      <c r="K39" s="65"/>
    </row>
    <row r="40" spans="1:11" ht="38.1" customHeight="1" x14ac:dyDescent="0.2">
      <c r="A40" s="111" t="s">
        <v>19</v>
      </c>
      <c r="B40" s="106"/>
      <c r="C40" s="106"/>
      <c r="D40" s="129" t="s">
        <v>20</v>
      </c>
      <c r="E40" s="106"/>
      <c r="F40" s="106"/>
      <c r="G40" s="106"/>
      <c r="H40" s="106"/>
      <c r="I40" s="106"/>
      <c r="J40" s="106"/>
      <c r="K40" s="106"/>
    </row>
    <row r="41" spans="1:11" ht="12.75" x14ac:dyDescent="0.2">
      <c r="A41" s="65"/>
      <c r="B41" s="65"/>
      <c r="C41" s="65"/>
      <c r="D41" s="65"/>
      <c r="E41" s="65"/>
      <c r="F41" s="65"/>
      <c r="G41" s="65"/>
      <c r="H41" s="65"/>
      <c r="I41" s="65"/>
      <c r="J41" s="65"/>
      <c r="K41" s="65"/>
    </row>
    <row r="42" spans="1:11" ht="38.1" customHeight="1" x14ac:dyDescent="0.2">
      <c r="A42" s="111" t="s">
        <v>21</v>
      </c>
      <c r="B42" s="106"/>
      <c r="C42" s="106"/>
      <c r="D42" s="129" t="s">
        <v>22</v>
      </c>
      <c r="E42" s="106"/>
      <c r="F42" s="106"/>
      <c r="G42" s="106"/>
      <c r="H42" s="106"/>
      <c r="I42" s="106"/>
      <c r="J42" s="106"/>
      <c r="K42" s="106"/>
    </row>
    <row r="43" spans="1:11" ht="48.75" customHeight="1" x14ac:dyDescent="0.2">
      <c r="A43" s="65"/>
      <c r="B43" s="65"/>
      <c r="C43" s="65"/>
      <c r="D43" s="65"/>
      <c r="E43" s="65"/>
      <c r="F43" s="65"/>
      <c r="G43" s="65"/>
      <c r="H43" s="65"/>
      <c r="I43" s="65"/>
      <c r="J43" s="65"/>
      <c r="K43" s="65"/>
    </row>
    <row r="44" spans="1:11" ht="12.75" x14ac:dyDescent="0.2">
      <c r="A44" s="65"/>
      <c r="B44" s="65"/>
      <c r="C44" s="65"/>
      <c r="D44" s="65"/>
      <c r="E44" s="65"/>
      <c r="F44" s="65"/>
      <c r="G44" s="65"/>
      <c r="H44" s="65"/>
      <c r="I44" s="65"/>
      <c r="J44" s="65"/>
      <c r="K44" s="65"/>
    </row>
    <row r="45" spans="1:11" ht="12.75" x14ac:dyDescent="0.2">
      <c r="A45" s="65"/>
      <c r="B45" s="65"/>
      <c r="C45" s="65"/>
      <c r="D45" s="65"/>
      <c r="E45" s="65"/>
      <c r="F45" s="65"/>
      <c r="G45" s="65"/>
      <c r="H45" s="65"/>
      <c r="I45" s="65"/>
      <c r="J45" s="65"/>
      <c r="K45" s="65"/>
    </row>
    <row r="46" spans="1:11" ht="27.95" customHeight="1" x14ac:dyDescent="0.2">
      <c r="A46" s="128"/>
      <c r="B46" s="115"/>
      <c r="C46" s="115"/>
      <c r="D46" s="114"/>
      <c r="E46" s="115"/>
      <c r="F46" s="115"/>
      <c r="G46" s="115"/>
      <c r="H46" s="115"/>
      <c r="I46" s="115"/>
      <c r="J46" s="115"/>
      <c r="K46" s="115"/>
    </row>
    <row r="47" spans="1:11" ht="27.95" customHeight="1" x14ac:dyDescent="0.2">
      <c r="A47" s="72" t="s">
        <v>24</v>
      </c>
      <c r="B47" s="71"/>
      <c r="C47" s="70"/>
      <c r="D47" s="115"/>
      <c r="E47" s="115"/>
      <c r="F47" s="115"/>
      <c r="G47" s="115"/>
      <c r="H47" s="115"/>
      <c r="I47" s="115"/>
      <c r="J47" s="115"/>
      <c r="K47" s="115"/>
    </row>
    <row r="64" spans="1:15" ht="82.5" customHeight="1" x14ac:dyDescent="0.2">
      <c r="A64" s="111" t="s">
        <v>23</v>
      </c>
      <c r="B64" s="106"/>
      <c r="C64" s="106"/>
      <c r="D64" s="112" t="s">
        <v>714</v>
      </c>
      <c r="E64" s="113"/>
      <c r="F64" s="113"/>
      <c r="G64" s="113"/>
      <c r="H64" s="113"/>
      <c r="I64" s="113"/>
      <c r="J64" s="113"/>
      <c r="K64" s="113"/>
      <c r="L64" s="113"/>
      <c r="M64" s="113"/>
      <c r="N64" s="113"/>
      <c r="O64" s="113"/>
    </row>
    <row r="65" spans="1:5" s="75" customFormat="1" ht="15.75" customHeight="1" x14ac:dyDescent="0.2">
      <c r="A65" s="74"/>
      <c r="E65" s="76"/>
    </row>
    <row r="67" spans="1:5" ht="15" customHeight="1" x14ac:dyDescent="0.2">
      <c r="A67" s="1"/>
    </row>
  </sheetData>
  <mergeCells count="34">
    <mergeCell ref="M15:O15"/>
    <mergeCell ref="M16:T16"/>
    <mergeCell ref="G13:N13"/>
    <mergeCell ref="D40:K40"/>
    <mergeCell ref="A1:N2"/>
    <mergeCell ref="A35:K35"/>
    <mergeCell ref="C7:D7"/>
    <mergeCell ref="D38:K38"/>
    <mergeCell ref="A4:N4"/>
    <mergeCell ref="E7:F7"/>
    <mergeCell ref="G7:I7"/>
    <mergeCell ref="G31:N31"/>
    <mergeCell ref="E6:F6"/>
    <mergeCell ref="A13:F13"/>
    <mergeCell ref="A31:F31"/>
    <mergeCell ref="A38:C38"/>
    <mergeCell ref="E8:F9"/>
    <mergeCell ref="J6:L6"/>
    <mergeCell ref="A64:C64"/>
    <mergeCell ref="D64:O64"/>
    <mergeCell ref="A40:C40"/>
    <mergeCell ref="D46:K47"/>
    <mergeCell ref="C6:D6"/>
    <mergeCell ref="G6:I6"/>
    <mergeCell ref="J8:L9"/>
    <mergeCell ref="A6:B6"/>
    <mergeCell ref="A8:B9"/>
    <mergeCell ref="J7:L7"/>
    <mergeCell ref="C8:D9"/>
    <mergeCell ref="A7:B7"/>
    <mergeCell ref="G8:I9"/>
    <mergeCell ref="A46:C46"/>
    <mergeCell ref="A42:C42"/>
    <mergeCell ref="D42:K42"/>
  </mergeCells>
  <hyperlinks>
    <hyperlink ref="A11" r:id="rId1" location="'Q1%20Analysis'!A1" xr:uid="{00000000-0004-0000-0000-000000000000}"/>
    <hyperlink ref="C11" r:id="rId2" location="'Q2%20Calculation'!A1" xr:uid="{00000000-0004-0000-0000-000001000000}"/>
    <hyperlink ref="E11" r:id="rId3" location="'Q3%20Calculation'!A1" xr:uid="{00000000-0004-0000-0000-000002000000}"/>
    <hyperlink ref="G11" r:id="rId4" location="'Q4%20Calculation'!A1" xr:uid="{00000000-0004-0000-0000-000003000000}"/>
    <hyperlink ref="I11" r:id="rId5" location="'Q5%20Calculation'!A1" xr:uid="{00000000-0004-0000-0000-000004000000}"/>
    <hyperlink ref="K11" r:id="rId6" location="'Project%20Guide'!A1" xr:uid="{00000000-0004-0000-0000-000005000000}"/>
  </hyperlinks>
  <pageMargins left="0.75" right="0.75" top="1" bottom="1" header="0.511811023622047" footer="0.511811023622047"/>
  <pageSetup fitToHeight="0" orientation="landscape" horizontalDpi="300" verticalDpi="30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pageSetUpPr fitToPage="1"/>
  </sheetPr>
  <dimension ref="A1:J37"/>
  <sheetViews>
    <sheetView showGridLines="0" zoomScale="80" zoomScaleNormal="80" workbookViewId="0">
      <pane ySplit="4" topLeftCell="A5" activePane="bottomLeft" state="frozen"/>
      <selection pane="bottomLeft" sqref="A1:J2"/>
    </sheetView>
  </sheetViews>
  <sheetFormatPr defaultColWidth="8.7109375" defaultRowHeight="15" customHeight="1" x14ac:dyDescent="0.2"/>
  <cols>
    <col min="1" max="2" width="18" customWidth="1"/>
    <col min="8" max="8" width="18" customWidth="1"/>
  </cols>
  <sheetData>
    <row r="1" spans="1:10" ht="30" customHeight="1" x14ac:dyDescent="0.2">
      <c r="A1" s="139" t="s">
        <v>25</v>
      </c>
      <c r="B1" s="115"/>
      <c r="C1" s="115"/>
      <c r="D1" s="115"/>
      <c r="E1" s="115"/>
      <c r="F1" s="115"/>
      <c r="G1" s="115"/>
      <c r="H1" s="115"/>
      <c r="I1" s="115"/>
      <c r="J1" s="115"/>
    </row>
    <row r="2" spans="1:10" ht="7.5" customHeight="1" x14ac:dyDescent="0.2">
      <c r="A2" s="115"/>
      <c r="B2" s="115"/>
      <c r="C2" s="115"/>
      <c r="D2" s="115"/>
      <c r="E2" s="115"/>
      <c r="F2" s="115"/>
      <c r="G2" s="115"/>
      <c r="H2" s="115"/>
      <c r="I2" s="115"/>
      <c r="J2" s="115"/>
    </row>
    <row r="4" spans="1:10" ht="90.75" customHeight="1" x14ac:dyDescent="0.2">
      <c r="A4" s="3" t="s">
        <v>26</v>
      </c>
      <c r="B4" s="4" t="s">
        <v>27</v>
      </c>
    </row>
    <row r="6" spans="1:10" ht="15.75" customHeight="1" x14ac:dyDescent="0.2">
      <c r="A6" s="5" t="s">
        <v>28</v>
      </c>
    </row>
    <row r="8" spans="1:10" ht="68.25" customHeight="1" x14ac:dyDescent="0.2">
      <c r="A8" s="6" t="s">
        <v>29</v>
      </c>
      <c r="B8" s="4" t="s">
        <v>30</v>
      </c>
    </row>
    <row r="9" spans="1:10" ht="57" customHeight="1" x14ac:dyDescent="0.2">
      <c r="A9" s="6" t="s">
        <v>31</v>
      </c>
      <c r="B9" s="4" t="s">
        <v>32</v>
      </c>
    </row>
    <row r="10" spans="1:10" ht="68.25" customHeight="1" x14ac:dyDescent="0.2">
      <c r="A10" s="6" t="s">
        <v>33</v>
      </c>
      <c r="B10" s="4" t="s">
        <v>34</v>
      </c>
    </row>
    <row r="11" spans="1:10" ht="68.25" customHeight="1" x14ac:dyDescent="0.2">
      <c r="A11" s="6" t="s">
        <v>35</v>
      </c>
      <c r="B11" s="4" t="s">
        <v>36</v>
      </c>
    </row>
    <row r="12" spans="1:10" ht="68.25" customHeight="1" x14ac:dyDescent="0.2">
      <c r="A12" s="6" t="s">
        <v>37</v>
      </c>
      <c r="B12" s="4" t="s">
        <v>38</v>
      </c>
    </row>
    <row r="15" spans="1:10" ht="15.75" customHeight="1" x14ac:dyDescent="0.2">
      <c r="A15" s="5" t="s">
        <v>39</v>
      </c>
    </row>
    <row r="17" spans="1:2" ht="79.5" customHeight="1" x14ac:dyDescent="0.2">
      <c r="A17" s="7" t="s">
        <v>29</v>
      </c>
      <c r="B17" s="4" t="s">
        <v>40</v>
      </c>
    </row>
    <row r="18" spans="1:2" ht="79.5" customHeight="1" x14ac:dyDescent="0.2">
      <c r="A18" s="7" t="s">
        <v>31</v>
      </c>
      <c r="B18" s="4" t="s">
        <v>41</v>
      </c>
    </row>
    <row r="19" spans="1:2" ht="102" customHeight="1" x14ac:dyDescent="0.2">
      <c r="A19" s="7" t="s">
        <v>33</v>
      </c>
      <c r="B19" s="4" t="s">
        <v>42</v>
      </c>
    </row>
    <row r="20" spans="1:2" ht="79.5" customHeight="1" x14ac:dyDescent="0.2">
      <c r="A20" s="7" t="s">
        <v>35</v>
      </c>
      <c r="B20" s="4" t="s">
        <v>43</v>
      </c>
    </row>
    <row r="21" spans="1:2" ht="79.5" customHeight="1" x14ac:dyDescent="0.2">
      <c r="A21" s="7" t="s">
        <v>37</v>
      </c>
      <c r="B21" s="4" t="s">
        <v>44</v>
      </c>
    </row>
    <row r="24" spans="1:2" ht="15.75" customHeight="1" x14ac:dyDescent="0.2">
      <c r="A24" s="5" t="s">
        <v>45</v>
      </c>
    </row>
    <row r="26" spans="1:2" ht="68.25" customHeight="1" x14ac:dyDescent="0.2">
      <c r="A26" s="3" t="s">
        <v>46</v>
      </c>
      <c r="B26" s="4" t="s">
        <v>47</v>
      </c>
    </row>
    <row r="27" spans="1:2" ht="124.5" customHeight="1" x14ac:dyDescent="0.2">
      <c r="A27" s="3" t="s">
        <v>46</v>
      </c>
      <c r="B27" s="4" t="s">
        <v>48</v>
      </c>
    </row>
    <row r="28" spans="1:2" ht="102" customHeight="1" x14ac:dyDescent="0.2">
      <c r="A28" s="3" t="s">
        <v>46</v>
      </c>
      <c r="B28" s="4" t="s">
        <v>49</v>
      </c>
    </row>
    <row r="29" spans="1:2" ht="90.75" customHeight="1" x14ac:dyDescent="0.2">
      <c r="A29" s="3" t="s">
        <v>46</v>
      </c>
      <c r="B29" s="4" t="s">
        <v>50</v>
      </c>
    </row>
    <row r="30" spans="1:2" ht="113.25" customHeight="1" x14ac:dyDescent="0.2">
      <c r="A30" s="3" t="s">
        <v>46</v>
      </c>
      <c r="B30" s="4" t="s">
        <v>51</v>
      </c>
    </row>
    <row r="33" spans="1:10" ht="15.75" customHeight="1" x14ac:dyDescent="0.2">
      <c r="A33" s="5" t="s">
        <v>52</v>
      </c>
    </row>
    <row r="34" spans="1:10" ht="15" customHeight="1" x14ac:dyDescent="0.2">
      <c r="A34" s="138" t="s">
        <v>53</v>
      </c>
      <c r="B34" s="115"/>
      <c r="C34" s="115"/>
      <c r="D34" s="115"/>
      <c r="E34" s="115"/>
      <c r="F34" s="115"/>
      <c r="G34" s="115"/>
      <c r="H34" s="115"/>
      <c r="I34" s="115"/>
      <c r="J34" s="115"/>
    </row>
    <row r="35" spans="1:10" ht="15" customHeight="1" x14ac:dyDescent="0.2">
      <c r="A35" s="115"/>
      <c r="B35" s="115"/>
      <c r="C35" s="115"/>
      <c r="D35" s="115"/>
      <c r="E35" s="115"/>
      <c r="F35" s="115"/>
      <c r="G35" s="115"/>
      <c r="H35" s="115"/>
      <c r="I35" s="115"/>
      <c r="J35" s="115"/>
    </row>
    <row r="36" spans="1:10" ht="15" customHeight="1" x14ac:dyDescent="0.2">
      <c r="A36" s="115"/>
      <c r="B36" s="115"/>
      <c r="C36" s="115"/>
      <c r="D36" s="115"/>
      <c r="E36" s="115"/>
      <c r="F36" s="115"/>
      <c r="G36" s="115"/>
      <c r="H36" s="115"/>
      <c r="I36" s="115"/>
      <c r="J36" s="115"/>
    </row>
    <row r="37" spans="1:10" ht="15" customHeight="1" x14ac:dyDescent="0.2">
      <c r="A37" s="115"/>
      <c r="B37" s="115"/>
      <c r="C37" s="115"/>
      <c r="D37" s="115"/>
      <c r="E37" s="115"/>
      <c r="F37" s="115"/>
      <c r="G37" s="115"/>
      <c r="H37" s="115"/>
      <c r="I37" s="115"/>
      <c r="J37" s="115"/>
    </row>
  </sheetData>
  <mergeCells count="2">
    <mergeCell ref="A34:J37"/>
    <mergeCell ref="A1:J2"/>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373"/>
  <sheetViews>
    <sheetView showGridLines="0" zoomScale="90" zoomScaleNormal="90" workbookViewId="0">
      <pane ySplit="4" topLeftCell="A5" activePane="bottomLeft" state="frozen"/>
      <selection pane="bottomLeft" activeCell="C8" sqref="C8"/>
    </sheetView>
  </sheetViews>
  <sheetFormatPr defaultColWidth="8.7109375" defaultRowHeight="15" customHeight="1" x14ac:dyDescent="0.2"/>
  <cols>
    <col min="1" max="1" width="13" customWidth="1"/>
    <col min="2" max="3" width="12" customWidth="1"/>
    <col min="4" max="4" width="22" customWidth="1"/>
    <col min="5" max="5" width="15" customWidth="1"/>
    <col min="6" max="6" width="12" customWidth="1"/>
    <col min="7" max="7" width="19" customWidth="1"/>
    <col min="8" max="8" width="15" customWidth="1"/>
    <col min="9" max="10" width="12" customWidth="1"/>
    <col min="11" max="11" width="21" customWidth="1"/>
    <col min="12" max="12" width="25" customWidth="1"/>
    <col min="13" max="13" width="12" customWidth="1"/>
    <col min="14" max="14" width="25" customWidth="1"/>
    <col min="15" max="15" width="30" customWidth="1"/>
    <col min="16" max="16" width="20" customWidth="1"/>
    <col min="17" max="17" width="30" customWidth="1"/>
    <col min="18" max="19" width="12" customWidth="1"/>
    <col min="20" max="20" width="23" customWidth="1"/>
    <col min="21" max="21" width="12" customWidth="1"/>
    <col min="22" max="22" width="16" customWidth="1"/>
    <col min="23" max="23" width="30" customWidth="1"/>
    <col min="24" max="24" width="12" customWidth="1"/>
    <col min="25" max="25" width="29" customWidth="1"/>
    <col min="26" max="26" width="26" customWidth="1"/>
    <col min="27" max="27" width="12" customWidth="1"/>
    <col min="28" max="28" width="27" customWidth="1"/>
    <col min="29" max="30" width="15" customWidth="1"/>
  </cols>
  <sheetData>
    <row r="1" spans="1:31" ht="24" customHeight="1" x14ac:dyDescent="0.2">
      <c r="A1" s="8" t="s">
        <v>54</v>
      </c>
      <c r="B1" s="9" t="s">
        <v>55</v>
      </c>
      <c r="C1" s="9" t="s">
        <v>56</v>
      </c>
      <c r="D1" s="9" t="s">
        <v>57</v>
      </c>
      <c r="E1" s="9" t="s">
        <v>58</v>
      </c>
      <c r="F1" s="9" t="s">
        <v>59</v>
      </c>
      <c r="G1" s="9" t="s">
        <v>60</v>
      </c>
      <c r="H1" s="9" t="s">
        <v>61</v>
      </c>
      <c r="I1" s="9" t="s">
        <v>62</v>
      </c>
      <c r="J1" s="9" t="s">
        <v>63</v>
      </c>
      <c r="K1" s="9" t="s">
        <v>64</v>
      </c>
      <c r="L1" s="9" t="s">
        <v>65</v>
      </c>
      <c r="M1" s="9" t="s">
        <v>66</v>
      </c>
      <c r="N1" s="9" t="s">
        <v>67</v>
      </c>
      <c r="O1" s="9" t="s">
        <v>68</v>
      </c>
      <c r="P1" s="9" t="s">
        <v>69</v>
      </c>
      <c r="Q1" s="9" t="s">
        <v>70</v>
      </c>
      <c r="R1" s="9" t="s">
        <v>71</v>
      </c>
      <c r="S1" s="9" t="s">
        <v>72</v>
      </c>
      <c r="T1" s="9" t="s">
        <v>73</v>
      </c>
      <c r="U1" s="9" t="s">
        <v>74</v>
      </c>
      <c r="V1" s="9" t="s">
        <v>75</v>
      </c>
      <c r="W1" s="9" t="s">
        <v>76</v>
      </c>
      <c r="X1" s="9" t="s">
        <v>77</v>
      </c>
      <c r="Y1" s="9" t="s">
        <v>78</v>
      </c>
      <c r="Z1" s="9" t="s">
        <v>79</v>
      </c>
      <c r="AA1" s="9" t="s">
        <v>80</v>
      </c>
      <c r="AB1" s="9" t="s">
        <v>81</v>
      </c>
      <c r="AC1" s="9" t="s">
        <v>82</v>
      </c>
      <c r="AD1" s="9" t="s">
        <v>83</v>
      </c>
    </row>
    <row r="2" spans="1:31" ht="15" customHeight="1" x14ac:dyDescent="0.2">
      <c r="A2" s="3" t="s">
        <v>84</v>
      </c>
      <c r="B2" s="3">
        <v>2013</v>
      </c>
      <c r="C2" s="3" t="s">
        <v>85</v>
      </c>
      <c r="D2" s="3">
        <v>107.5</v>
      </c>
      <c r="E2" s="3">
        <v>106.3</v>
      </c>
      <c r="F2" s="3">
        <v>108.1</v>
      </c>
      <c r="G2" s="3">
        <v>104.9</v>
      </c>
      <c r="H2" s="3">
        <v>106.1</v>
      </c>
      <c r="I2" s="3">
        <v>103.9</v>
      </c>
      <c r="J2" s="3">
        <v>101.9</v>
      </c>
      <c r="K2" s="3">
        <v>106.1</v>
      </c>
      <c r="L2" s="3">
        <v>106.8</v>
      </c>
      <c r="M2" s="3">
        <v>103.1</v>
      </c>
      <c r="N2" s="3">
        <v>104.8</v>
      </c>
      <c r="O2" s="3">
        <v>106.7</v>
      </c>
      <c r="P2" s="3">
        <v>105.5</v>
      </c>
      <c r="Q2" s="3">
        <v>105.1</v>
      </c>
      <c r="R2" s="3">
        <v>106.5</v>
      </c>
      <c r="S2" s="3">
        <v>105.8</v>
      </c>
      <c r="T2" s="3">
        <v>106.4</v>
      </c>
      <c r="V2" s="3">
        <v>105.5</v>
      </c>
      <c r="W2" s="3">
        <v>104.8</v>
      </c>
      <c r="X2" s="3">
        <v>104</v>
      </c>
      <c r="Y2" s="3">
        <v>103.3</v>
      </c>
      <c r="Z2" s="3">
        <v>103.4</v>
      </c>
      <c r="AA2" s="3">
        <v>103.8</v>
      </c>
      <c r="AB2" s="3">
        <v>104.7</v>
      </c>
      <c r="AC2" s="3">
        <v>104</v>
      </c>
      <c r="AD2" s="3">
        <v>105.1</v>
      </c>
      <c r="AE2" s="10" t="s">
        <v>86</v>
      </c>
    </row>
    <row r="3" spans="1:31" ht="15" customHeight="1" x14ac:dyDescent="0.2">
      <c r="A3" s="3" t="s">
        <v>87</v>
      </c>
      <c r="B3" s="3">
        <v>2013</v>
      </c>
      <c r="C3" s="3" t="s">
        <v>85</v>
      </c>
      <c r="D3" s="3">
        <v>110.5</v>
      </c>
      <c r="E3" s="3">
        <v>109.1</v>
      </c>
      <c r="F3" s="3">
        <v>113</v>
      </c>
      <c r="G3" s="3">
        <v>103.6</v>
      </c>
      <c r="H3" s="3">
        <v>103.4</v>
      </c>
      <c r="I3" s="3">
        <v>102.3</v>
      </c>
      <c r="J3" s="3">
        <v>102.9</v>
      </c>
      <c r="K3" s="3">
        <v>105.8</v>
      </c>
      <c r="L3" s="3">
        <v>105.1</v>
      </c>
      <c r="M3" s="3">
        <v>101.8</v>
      </c>
      <c r="N3" s="3">
        <v>105.1</v>
      </c>
      <c r="O3" s="3">
        <v>107.9</v>
      </c>
      <c r="P3" s="3">
        <v>105.9</v>
      </c>
      <c r="Q3" s="3">
        <v>105.2</v>
      </c>
      <c r="R3" s="3">
        <v>105.9</v>
      </c>
      <c r="S3" s="3">
        <v>105</v>
      </c>
      <c r="T3" s="3">
        <v>105.8</v>
      </c>
      <c r="U3" s="3" t="s">
        <v>88</v>
      </c>
      <c r="V3" s="3">
        <v>105.4</v>
      </c>
      <c r="W3" s="3">
        <v>104.8</v>
      </c>
      <c r="X3" s="3">
        <v>104.1</v>
      </c>
      <c r="Y3" s="3">
        <v>103.2</v>
      </c>
      <c r="Z3" s="3">
        <v>102.9</v>
      </c>
      <c r="AA3" s="3">
        <v>103.5</v>
      </c>
      <c r="AB3" s="3">
        <v>104.3</v>
      </c>
      <c r="AC3" s="3">
        <v>103.7</v>
      </c>
      <c r="AD3" s="3">
        <v>104</v>
      </c>
    </row>
    <row r="4" spans="1:31" ht="15" customHeight="1" x14ac:dyDescent="0.2">
      <c r="A4" s="3" t="s">
        <v>89</v>
      </c>
      <c r="B4" s="3">
        <v>2013</v>
      </c>
      <c r="C4" s="3" t="s">
        <v>85</v>
      </c>
      <c r="D4" s="3">
        <v>108.4</v>
      </c>
      <c r="E4" s="3">
        <v>107.3</v>
      </c>
      <c r="F4" s="3">
        <v>110</v>
      </c>
      <c r="G4" s="3">
        <v>104.4</v>
      </c>
      <c r="H4" s="3">
        <v>105.1</v>
      </c>
      <c r="I4" s="3">
        <v>103.2</v>
      </c>
      <c r="J4" s="3">
        <v>102.2</v>
      </c>
      <c r="K4" s="3">
        <v>106</v>
      </c>
      <c r="L4" s="3">
        <v>106.2</v>
      </c>
      <c r="M4" s="3">
        <v>102.7</v>
      </c>
      <c r="N4" s="3">
        <v>104.9</v>
      </c>
      <c r="O4" s="3">
        <v>107.3</v>
      </c>
      <c r="P4" s="3">
        <v>105.6</v>
      </c>
      <c r="Q4" s="3">
        <v>105.1</v>
      </c>
      <c r="R4" s="3">
        <v>106.3</v>
      </c>
      <c r="S4" s="3">
        <v>105.5</v>
      </c>
      <c r="T4" s="3">
        <v>106.2</v>
      </c>
      <c r="U4" s="3" t="s">
        <v>88</v>
      </c>
      <c r="V4" s="3">
        <v>105.5</v>
      </c>
      <c r="W4" s="3">
        <v>104.8</v>
      </c>
      <c r="X4" s="3">
        <v>104</v>
      </c>
      <c r="Y4" s="3">
        <v>103.2</v>
      </c>
      <c r="Z4" s="3">
        <v>103.1</v>
      </c>
      <c r="AA4" s="3">
        <v>103.6</v>
      </c>
      <c r="AB4" s="3">
        <v>104.5</v>
      </c>
      <c r="AC4" s="3">
        <v>103.9</v>
      </c>
      <c r="AD4" s="3">
        <v>104.6</v>
      </c>
    </row>
    <row r="5" spans="1:31" ht="15" customHeight="1" x14ac:dyDescent="0.2">
      <c r="A5" s="3" t="s">
        <v>84</v>
      </c>
      <c r="B5" s="3">
        <v>2013</v>
      </c>
      <c r="C5" s="3" t="s">
        <v>90</v>
      </c>
      <c r="D5" s="3">
        <v>109.2</v>
      </c>
      <c r="E5" s="3">
        <v>108.7</v>
      </c>
      <c r="F5" s="3">
        <v>110.2</v>
      </c>
      <c r="G5" s="3">
        <v>105.4</v>
      </c>
      <c r="H5" s="3">
        <v>106.7</v>
      </c>
      <c r="I5" s="3">
        <v>104</v>
      </c>
      <c r="J5" s="3">
        <v>102.4</v>
      </c>
      <c r="K5" s="3">
        <v>105.9</v>
      </c>
      <c r="L5" s="3">
        <v>105.7</v>
      </c>
      <c r="M5" s="3">
        <v>103.1</v>
      </c>
      <c r="N5" s="3">
        <v>105.1</v>
      </c>
      <c r="O5" s="3">
        <v>107.7</v>
      </c>
      <c r="P5" s="3">
        <v>106.3</v>
      </c>
      <c r="Q5" s="3">
        <v>105.6</v>
      </c>
      <c r="R5" s="3">
        <v>107.1</v>
      </c>
      <c r="S5" s="3">
        <v>106.3</v>
      </c>
      <c r="T5" s="3">
        <v>107</v>
      </c>
      <c r="V5" s="3">
        <v>106.2</v>
      </c>
      <c r="W5" s="3">
        <v>105.2</v>
      </c>
      <c r="X5" s="3">
        <v>104.4</v>
      </c>
      <c r="Y5" s="3">
        <v>103.9</v>
      </c>
      <c r="Z5" s="3">
        <v>104</v>
      </c>
      <c r="AA5" s="3">
        <v>104.1</v>
      </c>
      <c r="AB5" s="3">
        <v>104.6</v>
      </c>
      <c r="AC5" s="3">
        <v>104.4</v>
      </c>
      <c r="AD5" s="3">
        <v>105.8</v>
      </c>
    </row>
    <row r="6" spans="1:31" ht="15" customHeight="1" x14ac:dyDescent="0.2">
      <c r="A6" s="3" t="s">
        <v>87</v>
      </c>
      <c r="B6" s="3">
        <v>2013</v>
      </c>
      <c r="C6" s="3" t="s">
        <v>90</v>
      </c>
      <c r="D6" s="3">
        <v>112.9</v>
      </c>
      <c r="E6" s="3">
        <v>112.9</v>
      </c>
      <c r="F6" s="3">
        <v>116.9</v>
      </c>
      <c r="G6" s="3">
        <v>104</v>
      </c>
      <c r="H6" s="3">
        <v>103.5</v>
      </c>
      <c r="I6" s="3">
        <v>103.1</v>
      </c>
      <c r="J6" s="3">
        <v>104.9</v>
      </c>
      <c r="K6" s="3">
        <v>104.1</v>
      </c>
      <c r="L6" s="3">
        <v>103.8</v>
      </c>
      <c r="M6" s="3">
        <v>102.3</v>
      </c>
      <c r="N6" s="3">
        <v>106</v>
      </c>
      <c r="O6" s="3">
        <v>109</v>
      </c>
      <c r="P6" s="3">
        <v>107.2</v>
      </c>
      <c r="Q6" s="3">
        <v>106</v>
      </c>
      <c r="R6" s="3">
        <v>106.6</v>
      </c>
      <c r="S6" s="3">
        <v>105.5</v>
      </c>
      <c r="T6" s="3">
        <v>106.4</v>
      </c>
      <c r="U6" s="3" t="s">
        <v>91</v>
      </c>
      <c r="V6" s="3">
        <v>105.7</v>
      </c>
      <c r="W6" s="3">
        <v>105.2</v>
      </c>
      <c r="X6" s="3">
        <v>104.7</v>
      </c>
      <c r="Y6" s="3">
        <v>104.4</v>
      </c>
      <c r="Z6" s="3">
        <v>103.3</v>
      </c>
      <c r="AA6" s="3">
        <v>103.7</v>
      </c>
      <c r="AB6" s="3">
        <v>104.3</v>
      </c>
      <c r="AC6" s="3">
        <v>104.3</v>
      </c>
      <c r="AD6" s="3">
        <v>104.7</v>
      </c>
    </row>
    <row r="7" spans="1:31" ht="15" customHeight="1" x14ac:dyDescent="0.2">
      <c r="A7" s="3" t="s">
        <v>89</v>
      </c>
      <c r="B7" s="3">
        <v>2013</v>
      </c>
      <c r="C7" s="3" t="s">
        <v>90</v>
      </c>
      <c r="D7" s="3">
        <v>110.4</v>
      </c>
      <c r="E7" s="3">
        <v>110.2</v>
      </c>
      <c r="F7" s="3">
        <v>112.8</v>
      </c>
      <c r="G7" s="3">
        <v>104.9</v>
      </c>
      <c r="H7" s="3">
        <v>105.5</v>
      </c>
      <c r="I7" s="3">
        <v>103.6</v>
      </c>
      <c r="J7" s="3">
        <v>103.2</v>
      </c>
      <c r="K7" s="3">
        <v>105.3</v>
      </c>
      <c r="L7" s="3">
        <v>105.1</v>
      </c>
      <c r="M7" s="3">
        <v>102.8</v>
      </c>
      <c r="N7" s="3">
        <v>105.5</v>
      </c>
      <c r="O7" s="3">
        <v>108.3</v>
      </c>
      <c r="P7" s="3">
        <v>106.6</v>
      </c>
      <c r="Q7" s="3">
        <v>105.7</v>
      </c>
      <c r="R7" s="3">
        <v>106.9</v>
      </c>
      <c r="S7" s="3">
        <v>106</v>
      </c>
      <c r="T7" s="3">
        <v>106.8</v>
      </c>
      <c r="U7" s="3" t="s">
        <v>91</v>
      </c>
      <c r="V7" s="3">
        <v>106</v>
      </c>
      <c r="W7" s="3">
        <v>105.2</v>
      </c>
      <c r="X7" s="3">
        <v>104.5</v>
      </c>
      <c r="Y7" s="3">
        <v>104.2</v>
      </c>
      <c r="Z7" s="3">
        <v>103.6</v>
      </c>
      <c r="AA7" s="3">
        <v>103.9</v>
      </c>
      <c r="AB7" s="3">
        <v>104.5</v>
      </c>
      <c r="AC7" s="3">
        <v>104.4</v>
      </c>
      <c r="AD7" s="3">
        <v>105.3</v>
      </c>
    </row>
    <row r="8" spans="1:31" ht="15" customHeight="1" x14ac:dyDescent="0.2">
      <c r="A8" s="3" t="s">
        <v>84</v>
      </c>
      <c r="B8" s="3">
        <v>2013</v>
      </c>
      <c r="C8" s="3" t="s">
        <v>92</v>
      </c>
      <c r="D8" s="3">
        <v>110.2</v>
      </c>
      <c r="E8" s="3">
        <v>108.8</v>
      </c>
      <c r="F8" s="3">
        <v>109.9</v>
      </c>
      <c r="G8" s="3">
        <v>105.6</v>
      </c>
      <c r="H8" s="3">
        <v>106.2</v>
      </c>
      <c r="I8" s="3">
        <v>105.7</v>
      </c>
      <c r="J8" s="3">
        <v>101.4</v>
      </c>
      <c r="K8" s="3">
        <v>105.7</v>
      </c>
      <c r="L8" s="3">
        <v>105</v>
      </c>
      <c r="M8" s="3">
        <v>103.3</v>
      </c>
      <c r="N8" s="3">
        <v>105.6</v>
      </c>
      <c r="O8" s="3">
        <v>108.2</v>
      </c>
      <c r="P8" s="3">
        <v>106.6</v>
      </c>
      <c r="Q8" s="3">
        <v>106.5</v>
      </c>
      <c r="R8" s="3">
        <v>107.6</v>
      </c>
      <c r="S8" s="3">
        <v>106.8</v>
      </c>
      <c r="T8" s="3">
        <v>107.5</v>
      </c>
      <c r="V8" s="3">
        <v>106.1</v>
      </c>
      <c r="W8" s="3">
        <v>105.6</v>
      </c>
      <c r="X8" s="3">
        <v>104.7</v>
      </c>
      <c r="Y8" s="3">
        <v>104.6</v>
      </c>
      <c r="Z8" s="3">
        <v>104</v>
      </c>
      <c r="AA8" s="3">
        <v>104.3</v>
      </c>
      <c r="AB8" s="3">
        <v>104.3</v>
      </c>
      <c r="AC8" s="3">
        <v>104.6</v>
      </c>
      <c r="AD8" s="3">
        <v>106</v>
      </c>
    </row>
    <row r="9" spans="1:31" ht="15" customHeight="1" x14ac:dyDescent="0.2">
      <c r="A9" s="3" t="s">
        <v>87</v>
      </c>
      <c r="B9" s="3">
        <v>2013</v>
      </c>
      <c r="C9" s="3" t="s">
        <v>92</v>
      </c>
      <c r="D9" s="3">
        <v>113.9</v>
      </c>
      <c r="E9" s="3">
        <v>111.4</v>
      </c>
      <c r="F9" s="3">
        <v>113.2</v>
      </c>
      <c r="G9" s="3">
        <v>104.3</v>
      </c>
      <c r="H9" s="3">
        <v>102.7</v>
      </c>
      <c r="I9" s="3">
        <v>104.9</v>
      </c>
      <c r="J9" s="3">
        <v>103.8</v>
      </c>
      <c r="K9" s="3">
        <v>103.5</v>
      </c>
      <c r="L9" s="3">
        <v>102.6</v>
      </c>
      <c r="M9" s="3">
        <v>102.4</v>
      </c>
      <c r="N9" s="3">
        <v>107</v>
      </c>
      <c r="O9" s="3">
        <v>109.8</v>
      </c>
      <c r="P9" s="3">
        <v>107.3</v>
      </c>
      <c r="Q9" s="3">
        <v>106.8</v>
      </c>
      <c r="R9" s="3">
        <v>107.2</v>
      </c>
      <c r="S9" s="3">
        <v>106</v>
      </c>
      <c r="T9" s="3">
        <v>107</v>
      </c>
      <c r="U9" s="3" t="s">
        <v>91</v>
      </c>
      <c r="V9" s="3">
        <v>106</v>
      </c>
      <c r="W9" s="3">
        <v>105.7</v>
      </c>
      <c r="X9" s="3">
        <v>105.2</v>
      </c>
      <c r="Y9" s="3">
        <v>105.5</v>
      </c>
      <c r="Z9" s="3">
        <v>103.5</v>
      </c>
      <c r="AA9" s="3">
        <v>103.8</v>
      </c>
      <c r="AB9" s="3">
        <v>104.2</v>
      </c>
      <c r="AC9" s="3">
        <v>104.9</v>
      </c>
      <c r="AD9" s="3">
        <v>105</v>
      </c>
    </row>
    <row r="10" spans="1:31" ht="15" customHeight="1" x14ac:dyDescent="0.2">
      <c r="A10" s="3" t="s">
        <v>89</v>
      </c>
      <c r="B10" s="3">
        <v>2013</v>
      </c>
      <c r="C10" s="3" t="s">
        <v>92</v>
      </c>
      <c r="D10" s="3">
        <v>111.4</v>
      </c>
      <c r="E10" s="3">
        <v>109.7</v>
      </c>
      <c r="F10" s="3">
        <v>111.2</v>
      </c>
      <c r="G10" s="3">
        <v>105.1</v>
      </c>
      <c r="H10" s="3">
        <v>104.9</v>
      </c>
      <c r="I10" s="3">
        <v>105.3</v>
      </c>
      <c r="J10" s="3">
        <v>102.2</v>
      </c>
      <c r="K10" s="3">
        <v>105</v>
      </c>
      <c r="L10" s="3">
        <v>104.2</v>
      </c>
      <c r="M10" s="3">
        <v>103</v>
      </c>
      <c r="N10" s="3">
        <v>106.2</v>
      </c>
      <c r="O10" s="3">
        <v>108.9</v>
      </c>
      <c r="P10" s="3">
        <v>106.9</v>
      </c>
      <c r="Q10" s="3">
        <v>106.6</v>
      </c>
      <c r="R10" s="3">
        <v>107.4</v>
      </c>
      <c r="S10" s="3">
        <v>106.5</v>
      </c>
      <c r="T10" s="3">
        <v>107.3</v>
      </c>
      <c r="U10" s="3" t="s">
        <v>91</v>
      </c>
      <c r="V10" s="3">
        <v>106.1</v>
      </c>
      <c r="W10" s="3">
        <v>105.6</v>
      </c>
      <c r="X10" s="3">
        <v>104.9</v>
      </c>
      <c r="Y10" s="3">
        <v>105.1</v>
      </c>
      <c r="Z10" s="3">
        <v>103.7</v>
      </c>
      <c r="AA10" s="3">
        <v>104</v>
      </c>
      <c r="AB10" s="3">
        <v>104.3</v>
      </c>
      <c r="AC10" s="3">
        <v>104.7</v>
      </c>
      <c r="AD10" s="3">
        <v>105.5</v>
      </c>
    </row>
    <row r="11" spans="1:31" ht="15" customHeight="1" x14ac:dyDescent="0.2">
      <c r="A11" s="3" t="s">
        <v>84</v>
      </c>
      <c r="B11" s="3">
        <v>2013</v>
      </c>
      <c r="C11" s="3" t="s">
        <v>93</v>
      </c>
      <c r="D11" s="3">
        <v>110.2</v>
      </c>
      <c r="E11" s="3">
        <v>109.5</v>
      </c>
      <c r="F11" s="3">
        <v>106.9</v>
      </c>
      <c r="G11" s="3">
        <v>106.3</v>
      </c>
      <c r="H11" s="3">
        <v>105.7</v>
      </c>
      <c r="I11" s="3">
        <v>108.3</v>
      </c>
      <c r="J11" s="3">
        <v>103.4</v>
      </c>
      <c r="K11" s="3">
        <v>105.7</v>
      </c>
      <c r="L11" s="3">
        <v>104.2</v>
      </c>
      <c r="M11" s="3">
        <v>103.2</v>
      </c>
      <c r="N11" s="3">
        <v>106.5</v>
      </c>
      <c r="O11" s="3">
        <v>108.8</v>
      </c>
      <c r="P11" s="3">
        <v>107.1</v>
      </c>
      <c r="Q11" s="3">
        <v>107.1</v>
      </c>
      <c r="R11" s="3">
        <v>108.1</v>
      </c>
      <c r="S11" s="3">
        <v>107.4</v>
      </c>
      <c r="T11" s="3">
        <v>108</v>
      </c>
      <c r="V11" s="3">
        <v>106.5</v>
      </c>
      <c r="W11" s="3">
        <v>106.1</v>
      </c>
      <c r="X11" s="3">
        <v>105.1</v>
      </c>
      <c r="Y11" s="3">
        <v>104.4</v>
      </c>
      <c r="Z11" s="3">
        <v>104.5</v>
      </c>
      <c r="AA11" s="3">
        <v>104.8</v>
      </c>
      <c r="AB11" s="3">
        <v>102.7</v>
      </c>
      <c r="AC11" s="3">
        <v>104.6</v>
      </c>
      <c r="AD11" s="3">
        <v>106.4</v>
      </c>
    </row>
    <row r="12" spans="1:31" ht="15" customHeight="1" x14ac:dyDescent="0.2">
      <c r="A12" s="3" t="s">
        <v>87</v>
      </c>
      <c r="B12" s="3">
        <v>2013</v>
      </c>
      <c r="C12" s="3" t="s">
        <v>93</v>
      </c>
      <c r="D12" s="3">
        <v>114.6</v>
      </c>
      <c r="E12" s="3">
        <v>113.4</v>
      </c>
      <c r="F12" s="3">
        <v>106</v>
      </c>
      <c r="G12" s="3">
        <v>104.7</v>
      </c>
      <c r="H12" s="3">
        <v>102.1</v>
      </c>
      <c r="I12" s="3">
        <v>109.5</v>
      </c>
      <c r="J12" s="3">
        <v>109.7</v>
      </c>
      <c r="K12" s="3">
        <v>104.6</v>
      </c>
      <c r="L12" s="3">
        <v>102</v>
      </c>
      <c r="M12" s="3">
        <v>103.5</v>
      </c>
      <c r="N12" s="3">
        <v>108.2</v>
      </c>
      <c r="O12" s="3">
        <v>110.6</v>
      </c>
      <c r="P12" s="3">
        <v>108.8</v>
      </c>
      <c r="Q12" s="3">
        <v>108.5</v>
      </c>
      <c r="R12" s="3">
        <v>107.9</v>
      </c>
      <c r="S12" s="3">
        <v>106.4</v>
      </c>
      <c r="T12" s="3">
        <v>107.7</v>
      </c>
      <c r="U12" s="3" t="s">
        <v>94</v>
      </c>
      <c r="V12" s="3">
        <v>106.4</v>
      </c>
      <c r="W12" s="3">
        <v>106.5</v>
      </c>
      <c r="X12" s="3">
        <v>105.7</v>
      </c>
      <c r="Y12" s="3">
        <v>105</v>
      </c>
      <c r="Z12" s="3">
        <v>104</v>
      </c>
      <c r="AA12" s="3">
        <v>105.2</v>
      </c>
      <c r="AB12" s="3">
        <v>103.2</v>
      </c>
      <c r="AC12" s="3">
        <v>105.1</v>
      </c>
      <c r="AD12" s="3">
        <v>105.7</v>
      </c>
    </row>
    <row r="13" spans="1:31" ht="15" customHeight="1" x14ac:dyDescent="0.2">
      <c r="A13" s="3" t="s">
        <v>89</v>
      </c>
      <c r="B13" s="3">
        <v>2013</v>
      </c>
      <c r="C13" s="3" t="s">
        <v>93</v>
      </c>
      <c r="D13" s="3">
        <v>111.6</v>
      </c>
      <c r="E13" s="3">
        <v>110.9</v>
      </c>
      <c r="F13" s="3">
        <v>106.6</v>
      </c>
      <c r="G13" s="3">
        <v>105.7</v>
      </c>
      <c r="H13" s="3">
        <v>104.4</v>
      </c>
      <c r="I13" s="3">
        <v>108.9</v>
      </c>
      <c r="J13" s="3">
        <v>105.5</v>
      </c>
      <c r="K13" s="3">
        <v>105.3</v>
      </c>
      <c r="L13" s="3">
        <v>103.5</v>
      </c>
      <c r="M13" s="3">
        <v>103.3</v>
      </c>
      <c r="N13" s="3">
        <v>107.2</v>
      </c>
      <c r="O13" s="3">
        <v>109.6</v>
      </c>
      <c r="P13" s="3">
        <v>107.7</v>
      </c>
      <c r="Q13" s="3">
        <v>107.5</v>
      </c>
      <c r="R13" s="3">
        <v>108</v>
      </c>
      <c r="S13" s="3">
        <v>107</v>
      </c>
      <c r="T13" s="3">
        <v>107.9</v>
      </c>
      <c r="U13" s="3" t="s">
        <v>94</v>
      </c>
      <c r="V13" s="3">
        <v>106.5</v>
      </c>
      <c r="W13" s="3">
        <v>106.3</v>
      </c>
      <c r="X13" s="3">
        <v>105.3</v>
      </c>
      <c r="Y13" s="3">
        <v>104.7</v>
      </c>
      <c r="Z13" s="3">
        <v>104.2</v>
      </c>
      <c r="AA13" s="3">
        <v>105</v>
      </c>
      <c r="AB13" s="3">
        <v>102.9</v>
      </c>
      <c r="AC13" s="3">
        <v>104.8</v>
      </c>
      <c r="AD13" s="3">
        <v>106.1</v>
      </c>
    </row>
    <row r="14" spans="1:31" ht="15" customHeight="1" x14ac:dyDescent="0.2">
      <c r="A14" s="3" t="s">
        <v>84</v>
      </c>
      <c r="B14" s="3">
        <v>2013</v>
      </c>
      <c r="C14" s="3" t="s">
        <v>95</v>
      </c>
      <c r="D14" s="3">
        <v>110.9</v>
      </c>
      <c r="E14" s="3">
        <v>109.8</v>
      </c>
      <c r="F14" s="3">
        <v>105.9</v>
      </c>
      <c r="G14" s="3">
        <v>107.5</v>
      </c>
      <c r="H14" s="3">
        <v>105.3</v>
      </c>
      <c r="I14" s="3">
        <v>108.1</v>
      </c>
      <c r="J14" s="3">
        <v>107.3</v>
      </c>
      <c r="K14" s="3">
        <v>106.1</v>
      </c>
      <c r="L14" s="3">
        <v>103.7</v>
      </c>
      <c r="M14" s="3">
        <v>104</v>
      </c>
      <c r="N14" s="3">
        <v>107.4</v>
      </c>
      <c r="O14" s="3">
        <v>109.9</v>
      </c>
      <c r="P14" s="3">
        <v>108.1</v>
      </c>
      <c r="Q14" s="3">
        <v>108.1</v>
      </c>
      <c r="R14" s="3">
        <v>108.8</v>
      </c>
      <c r="S14" s="3">
        <v>107.9</v>
      </c>
      <c r="T14" s="3">
        <v>108.6</v>
      </c>
      <c r="V14" s="3">
        <v>107.5</v>
      </c>
      <c r="W14" s="3">
        <v>106.8</v>
      </c>
      <c r="X14" s="3">
        <v>105.7</v>
      </c>
      <c r="Y14" s="3">
        <v>104.1</v>
      </c>
      <c r="Z14" s="3">
        <v>105</v>
      </c>
      <c r="AA14" s="3">
        <v>105.5</v>
      </c>
      <c r="AB14" s="3">
        <v>102.1</v>
      </c>
      <c r="AC14" s="3">
        <v>104.8</v>
      </c>
      <c r="AD14" s="3">
        <v>107.2</v>
      </c>
    </row>
    <row r="15" spans="1:31" ht="15" customHeight="1" x14ac:dyDescent="0.2">
      <c r="A15" s="3" t="s">
        <v>87</v>
      </c>
      <c r="B15" s="3">
        <v>2013</v>
      </c>
      <c r="C15" s="3" t="s">
        <v>95</v>
      </c>
      <c r="D15" s="3">
        <v>115.4</v>
      </c>
      <c r="E15" s="3">
        <v>114.2</v>
      </c>
      <c r="F15" s="3">
        <v>102.7</v>
      </c>
      <c r="G15" s="3">
        <v>105.5</v>
      </c>
      <c r="H15" s="3">
        <v>101.5</v>
      </c>
      <c r="I15" s="3">
        <v>110.6</v>
      </c>
      <c r="J15" s="3">
        <v>123.7</v>
      </c>
      <c r="K15" s="3">
        <v>105.2</v>
      </c>
      <c r="L15" s="3">
        <v>101.9</v>
      </c>
      <c r="M15" s="3">
        <v>105</v>
      </c>
      <c r="N15" s="3">
        <v>109.1</v>
      </c>
      <c r="O15" s="3">
        <v>111.3</v>
      </c>
      <c r="P15" s="3">
        <v>111.1</v>
      </c>
      <c r="Q15" s="3">
        <v>109.8</v>
      </c>
      <c r="R15" s="3">
        <v>108.5</v>
      </c>
      <c r="S15" s="3">
        <v>106.7</v>
      </c>
      <c r="T15" s="3">
        <v>108.3</v>
      </c>
      <c r="U15" s="3" t="s">
        <v>94</v>
      </c>
      <c r="V15" s="3">
        <v>107.2</v>
      </c>
      <c r="W15" s="3">
        <v>107.1</v>
      </c>
      <c r="X15" s="3">
        <v>106.2</v>
      </c>
      <c r="Y15" s="3">
        <v>103.9</v>
      </c>
      <c r="Z15" s="3">
        <v>104.6</v>
      </c>
      <c r="AA15" s="3">
        <v>105.7</v>
      </c>
      <c r="AB15" s="3">
        <v>102.6</v>
      </c>
      <c r="AC15" s="3">
        <v>104.9</v>
      </c>
      <c r="AD15" s="3">
        <v>106.6</v>
      </c>
    </row>
    <row r="16" spans="1:31" ht="15" customHeight="1" x14ac:dyDescent="0.2">
      <c r="A16" s="3" t="s">
        <v>89</v>
      </c>
      <c r="B16" s="3">
        <v>2013</v>
      </c>
      <c r="C16" s="3" t="s">
        <v>95</v>
      </c>
      <c r="D16" s="3">
        <v>112.3</v>
      </c>
      <c r="E16" s="3">
        <v>111.3</v>
      </c>
      <c r="F16" s="3">
        <v>104.7</v>
      </c>
      <c r="G16" s="3">
        <v>106.8</v>
      </c>
      <c r="H16" s="3">
        <v>103.9</v>
      </c>
      <c r="I16" s="3">
        <v>109.3</v>
      </c>
      <c r="J16" s="3">
        <v>112.9</v>
      </c>
      <c r="K16" s="3">
        <v>105.8</v>
      </c>
      <c r="L16" s="3">
        <v>103.1</v>
      </c>
      <c r="M16" s="3">
        <v>104.3</v>
      </c>
      <c r="N16" s="3">
        <v>108.1</v>
      </c>
      <c r="O16" s="3">
        <v>110.5</v>
      </c>
      <c r="P16" s="3">
        <v>109.2</v>
      </c>
      <c r="Q16" s="3">
        <v>108.6</v>
      </c>
      <c r="R16" s="3">
        <v>108.7</v>
      </c>
      <c r="S16" s="3">
        <v>107.4</v>
      </c>
      <c r="T16" s="3">
        <v>108.5</v>
      </c>
      <c r="U16" s="3" t="s">
        <v>94</v>
      </c>
      <c r="V16" s="3">
        <v>107.4</v>
      </c>
      <c r="W16" s="3">
        <v>106.9</v>
      </c>
      <c r="X16" s="3">
        <v>105.9</v>
      </c>
      <c r="Y16" s="3">
        <v>104</v>
      </c>
      <c r="Z16" s="3">
        <v>104.8</v>
      </c>
      <c r="AA16" s="3">
        <v>105.6</v>
      </c>
      <c r="AB16" s="3">
        <v>102.3</v>
      </c>
      <c r="AC16" s="3">
        <v>104.8</v>
      </c>
      <c r="AD16" s="3">
        <v>106.9</v>
      </c>
    </row>
    <row r="17" spans="1:30" ht="15" customHeight="1" x14ac:dyDescent="0.2">
      <c r="A17" s="3" t="s">
        <v>84</v>
      </c>
      <c r="B17" s="3">
        <v>2013</v>
      </c>
      <c r="C17" s="3" t="s">
        <v>96</v>
      </c>
      <c r="D17" s="3">
        <v>112.3</v>
      </c>
      <c r="E17" s="3">
        <v>112.1</v>
      </c>
      <c r="F17" s="3">
        <v>108.1</v>
      </c>
      <c r="G17" s="3">
        <v>108.3</v>
      </c>
      <c r="H17" s="3">
        <v>105.9</v>
      </c>
      <c r="I17" s="3">
        <v>109.2</v>
      </c>
      <c r="J17" s="3">
        <v>118</v>
      </c>
      <c r="K17" s="3">
        <v>106.8</v>
      </c>
      <c r="L17" s="3">
        <v>104.1</v>
      </c>
      <c r="M17" s="3">
        <v>105.4</v>
      </c>
      <c r="N17" s="3">
        <v>108.2</v>
      </c>
      <c r="O17" s="3">
        <v>111</v>
      </c>
      <c r="P17" s="3">
        <v>110.6</v>
      </c>
      <c r="Q17" s="3">
        <v>109</v>
      </c>
      <c r="R17" s="3">
        <v>109.7</v>
      </c>
      <c r="S17" s="3">
        <v>108.8</v>
      </c>
      <c r="T17" s="3">
        <v>109.5</v>
      </c>
      <c r="V17" s="3">
        <v>108.5</v>
      </c>
      <c r="W17" s="3">
        <v>107.5</v>
      </c>
      <c r="X17" s="3">
        <v>106.3</v>
      </c>
      <c r="Y17" s="3">
        <v>105</v>
      </c>
      <c r="Z17" s="3">
        <v>105.6</v>
      </c>
      <c r="AA17" s="3">
        <v>106.5</v>
      </c>
      <c r="AB17" s="3">
        <v>102.5</v>
      </c>
      <c r="AC17" s="3">
        <v>105.5</v>
      </c>
      <c r="AD17" s="3">
        <v>108.9</v>
      </c>
    </row>
    <row r="18" spans="1:30" ht="15" customHeight="1" x14ac:dyDescent="0.2">
      <c r="A18" s="3" t="s">
        <v>87</v>
      </c>
      <c r="B18" s="3">
        <v>2013</v>
      </c>
      <c r="C18" s="3" t="s">
        <v>96</v>
      </c>
      <c r="D18" s="3">
        <v>117</v>
      </c>
      <c r="E18" s="3">
        <v>120.1</v>
      </c>
      <c r="F18" s="3">
        <v>112.5</v>
      </c>
      <c r="G18" s="3">
        <v>107.3</v>
      </c>
      <c r="H18" s="3">
        <v>101.3</v>
      </c>
      <c r="I18" s="3">
        <v>112.4</v>
      </c>
      <c r="J18" s="3">
        <v>143.6</v>
      </c>
      <c r="K18" s="3">
        <v>105.4</v>
      </c>
      <c r="L18" s="3">
        <v>101.4</v>
      </c>
      <c r="M18" s="3">
        <v>106.4</v>
      </c>
      <c r="N18" s="3">
        <v>110</v>
      </c>
      <c r="O18" s="3">
        <v>112.2</v>
      </c>
      <c r="P18" s="3">
        <v>115</v>
      </c>
      <c r="Q18" s="3">
        <v>110.9</v>
      </c>
      <c r="R18" s="3">
        <v>109.2</v>
      </c>
      <c r="S18" s="3">
        <v>107.2</v>
      </c>
      <c r="T18" s="3">
        <v>108.9</v>
      </c>
      <c r="U18" s="3" t="s">
        <v>97</v>
      </c>
      <c r="V18" s="3">
        <v>108</v>
      </c>
      <c r="W18" s="3">
        <v>107.7</v>
      </c>
      <c r="X18" s="3">
        <v>106.5</v>
      </c>
      <c r="Y18" s="3">
        <v>105.2</v>
      </c>
      <c r="Z18" s="3">
        <v>105.2</v>
      </c>
      <c r="AA18" s="3">
        <v>108.1</v>
      </c>
      <c r="AB18" s="3">
        <v>103.3</v>
      </c>
      <c r="AC18" s="3">
        <v>106.1</v>
      </c>
      <c r="AD18" s="3">
        <v>109.7</v>
      </c>
    </row>
    <row r="19" spans="1:30" ht="15" customHeight="1" x14ac:dyDescent="0.2">
      <c r="A19" s="3" t="s">
        <v>89</v>
      </c>
      <c r="B19" s="3">
        <v>2013</v>
      </c>
      <c r="C19" s="3" t="s">
        <v>96</v>
      </c>
      <c r="D19" s="3">
        <v>113.8</v>
      </c>
      <c r="E19" s="3">
        <v>114.9</v>
      </c>
      <c r="F19" s="3">
        <v>109.8</v>
      </c>
      <c r="G19" s="3">
        <v>107.9</v>
      </c>
      <c r="H19" s="3">
        <v>104.2</v>
      </c>
      <c r="I19" s="3">
        <v>110.7</v>
      </c>
      <c r="J19" s="3">
        <v>126.7</v>
      </c>
      <c r="K19" s="3">
        <v>106.3</v>
      </c>
      <c r="L19" s="3">
        <v>103.2</v>
      </c>
      <c r="M19" s="3">
        <v>105.7</v>
      </c>
      <c r="N19" s="3">
        <v>109</v>
      </c>
      <c r="O19" s="3">
        <v>111.6</v>
      </c>
      <c r="P19" s="3">
        <v>112.2</v>
      </c>
      <c r="Q19" s="3">
        <v>109.5</v>
      </c>
      <c r="R19" s="3">
        <v>109.5</v>
      </c>
      <c r="S19" s="3">
        <v>108.1</v>
      </c>
      <c r="T19" s="3">
        <v>109.3</v>
      </c>
      <c r="U19" s="3" t="s">
        <v>97</v>
      </c>
      <c r="V19" s="3">
        <v>108.3</v>
      </c>
      <c r="W19" s="3">
        <v>107.6</v>
      </c>
      <c r="X19" s="3">
        <v>106.4</v>
      </c>
      <c r="Y19" s="3">
        <v>105.1</v>
      </c>
      <c r="Z19" s="3">
        <v>105.4</v>
      </c>
      <c r="AA19" s="3">
        <v>107.4</v>
      </c>
      <c r="AB19" s="3">
        <v>102.8</v>
      </c>
      <c r="AC19" s="3">
        <v>105.8</v>
      </c>
      <c r="AD19" s="3">
        <v>109.3</v>
      </c>
    </row>
    <row r="20" spans="1:30" ht="15" customHeight="1" x14ac:dyDescent="0.2">
      <c r="A20" s="3" t="s">
        <v>84</v>
      </c>
      <c r="B20" s="3">
        <v>2013</v>
      </c>
      <c r="C20" s="3" t="s">
        <v>98</v>
      </c>
      <c r="D20" s="3">
        <v>113.4</v>
      </c>
      <c r="E20" s="3">
        <v>114.9</v>
      </c>
      <c r="F20" s="3">
        <v>110.5</v>
      </c>
      <c r="G20" s="3">
        <v>109.3</v>
      </c>
      <c r="H20" s="3">
        <v>106.2</v>
      </c>
      <c r="I20" s="3">
        <v>110.3</v>
      </c>
      <c r="J20" s="3">
        <v>129.19999999999999</v>
      </c>
      <c r="K20" s="3">
        <v>107.1</v>
      </c>
      <c r="L20" s="3">
        <v>104.3</v>
      </c>
      <c r="M20" s="3">
        <v>106.4</v>
      </c>
      <c r="N20" s="3">
        <v>109.1</v>
      </c>
      <c r="O20" s="3">
        <v>112.1</v>
      </c>
      <c r="P20" s="3">
        <v>113.1</v>
      </c>
      <c r="Q20" s="3">
        <v>109.8</v>
      </c>
      <c r="R20" s="3">
        <v>110.5</v>
      </c>
      <c r="S20" s="3">
        <v>109.5</v>
      </c>
      <c r="T20" s="3">
        <v>110.3</v>
      </c>
      <c r="V20" s="3">
        <v>109.5</v>
      </c>
      <c r="W20" s="3">
        <v>108.3</v>
      </c>
      <c r="X20" s="3">
        <v>106.9</v>
      </c>
      <c r="Y20" s="3">
        <v>106.8</v>
      </c>
      <c r="Z20" s="3">
        <v>106.4</v>
      </c>
      <c r="AA20" s="3">
        <v>107.8</v>
      </c>
      <c r="AB20" s="3">
        <v>102.5</v>
      </c>
      <c r="AC20" s="3">
        <v>106.5</v>
      </c>
      <c r="AD20" s="3">
        <v>110.7</v>
      </c>
    </row>
    <row r="21" spans="1:30" ht="15" customHeight="1" x14ac:dyDescent="0.2">
      <c r="A21" s="3" t="s">
        <v>87</v>
      </c>
      <c r="B21" s="3">
        <v>2013</v>
      </c>
      <c r="C21" s="3" t="s">
        <v>98</v>
      </c>
      <c r="D21" s="3">
        <v>117.8</v>
      </c>
      <c r="E21" s="3">
        <v>119.2</v>
      </c>
      <c r="F21" s="3">
        <v>114</v>
      </c>
      <c r="G21" s="3">
        <v>108.3</v>
      </c>
      <c r="H21" s="3">
        <v>101.1</v>
      </c>
      <c r="I21" s="3">
        <v>113.2</v>
      </c>
      <c r="J21" s="3">
        <v>160.9</v>
      </c>
      <c r="K21" s="3">
        <v>105.1</v>
      </c>
      <c r="L21" s="3">
        <v>101.3</v>
      </c>
      <c r="M21" s="3">
        <v>107.5</v>
      </c>
      <c r="N21" s="3">
        <v>110.4</v>
      </c>
      <c r="O21" s="3">
        <v>113.1</v>
      </c>
      <c r="P21" s="3">
        <v>117.5</v>
      </c>
      <c r="Q21" s="3">
        <v>111.7</v>
      </c>
      <c r="R21" s="3">
        <v>109.8</v>
      </c>
      <c r="S21" s="3">
        <v>107.8</v>
      </c>
      <c r="T21" s="3">
        <v>109.5</v>
      </c>
      <c r="U21" s="3" t="s">
        <v>99</v>
      </c>
      <c r="V21" s="3">
        <v>108.6</v>
      </c>
      <c r="W21" s="3">
        <v>108.1</v>
      </c>
      <c r="X21" s="3">
        <v>107.1</v>
      </c>
      <c r="Y21" s="3">
        <v>107.3</v>
      </c>
      <c r="Z21" s="3">
        <v>105.9</v>
      </c>
      <c r="AA21" s="3">
        <v>110.1</v>
      </c>
      <c r="AB21" s="3">
        <v>103.2</v>
      </c>
      <c r="AC21" s="3">
        <v>107.3</v>
      </c>
      <c r="AD21" s="3">
        <v>111.4</v>
      </c>
    </row>
    <row r="22" spans="1:30" ht="15" customHeight="1" x14ac:dyDescent="0.2">
      <c r="A22" s="3" t="s">
        <v>89</v>
      </c>
      <c r="B22" s="3">
        <v>2013</v>
      </c>
      <c r="C22" s="3" t="s">
        <v>98</v>
      </c>
      <c r="D22" s="3">
        <v>114.8</v>
      </c>
      <c r="E22" s="3">
        <v>116.4</v>
      </c>
      <c r="F22" s="3">
        <v>111.9</v>
      </c>
      <c r="G22" s="3">
        <v>108.9</v>
      </c>
      <c r="H22" s="3">
        <v>104.3</v>
      </c>
      <c r="I22" s="3">
        <v>111.7</v>
      </c>
      <c r="J22" s="3">
        <v>140</v>
      </c>
      <c r="K22" s="3">
        <v>106.4</v>
      </c>
      <c r="L22" s="3">
        <v>103.3</v>
      </c>
      <c r="M22" s="3">
        <v>106.8</v>
      </c>
      <c r="N22" s="3">
        <v>109.6</v>
      </c>
      <c r="O22" s="3">
        <v>112.6</v>
      </c>
      <c r="P22" s="3">
        <v>114.7</v>
      </c>
      <c r="Q22" s="3">
        <v>110.3</v>
      </c>
      <c r="R22" s="3">
        <v>110.2</v>
      </c>
      <c r="S22" s="3">
        <v>108.8</v>
      </c>
      <c r="T22" s="3">
        <v>110</v>
      </c>
      <c r="U22" s="3" t="s">
        <v>99</v>
      </c>
      <c r="V22" s="3">
        <v>109.2</v>
      </c>
      <c r="W22" s="3">
        <v>108.2</v>
      </c>
      <c r="X22" s="3">
        <v>107</v>
      </c>
      <c r="Y22" s="3">
        <v>107.1</v>
      </c>
      <c r="Z22" s="3">
        <v>106.1</v>
      </c>
      <c r="AA22" s="3">
        <v>109.1</v>
      </c>
      <c r="AB22" s="3">
        <v>102.8</v>
      </c>
      <c r="AC22" s="3">
        <v>106.9</v>
      </c>
      <c r="AD22" s="3">
        <v>111</v>
      </c>
    </row>
    <row r="23" spans="1:30" ht="15" customHeight="1" x14ac:dyDescent="0.2">
      <c r="A23" s="3" t="s">
        <v>84</v>
      </c>
      <c r="B23" s="3">
        <v>2013</v>
      </c>
      <c r="C23" s="3" t="s">
        <v>100</v>
      </c>
      <c r="D23" s="3">
        <v>114.3</v>
      </c>
      <c r="E23" s="3">
        <v>115.4</v>
      </c>
      <c r="F23" s="3">
        <v>111.1</v>
      </c>
      <c r="G23" s="3">
        <v>110</v>
      </c>
      <c r="H23" s="3">
        <v>106.4</v>
      </c>
      <c r="I23" s="3">
        <v>110.8</v>
      </c>
      <c r="J23" s="3">
        <v>138.9</v>
      </c>
      <c r="K23" s="3">
        <v>107.4</v>
      </c>
      <c r="L23" s="3">
        <v>104.1</v>
      </c>
      <c r="M23" s="3">
        <v>106.9</v>
      </c>
      <c r="N23" s="3">
        <v>109.7</v>
      </c>
      <c r="O23" s="3">
        <v>112.6</v>
      </c>
      <c r="P23" s="3">
        <v>114.9</v>
      </c>
      <c r="Q23" s="3">
        <v>110.7</v>
      </c>
      <c r="R23" s="3">
        <v>111.3</v>
      </c>
      <c r="S23" s="3">
        <v>110.2</v>
      </c>
      <c r="T23" s="3">
        <v>111.1</v>
      </c>
      <c r="V23" s="3">
        <v>109.9</v>
      </c>
      <c r="W23" s="3">
        <v>108.7</v>
      </c>
      <c r="X23" s="3">
        <v>107.5</v>
      </c>
      <c r="Y23" s="3">
        <v>107.8</v>
      </c>
      <c r="Z23" s="3">
        <v>106.8</v>
      </c>
      <c r="AA23" s="3">
        <v>108.7</v>
      </c>
      <c r="AB23" s="3">
        <v>105</v>
      </c>
      <c r="AC23" s="3">
        <v>107.5</v>
      </c>
      <c r="AD23" s="3">
        <v>112.1</v>
      </c>
    </row>
    <row r="24" spans="1:30" ht="15" customHeight="1" x14ac:dyDescent="0.2">
      <c r="A24" s="3" t="s">
        <v>87</v>
      </c>
      <c r="B24" s="3">
        <v>2013</v>
      </c>
      <c r="C24" s="3" t="s">
        <v>100</v>
      </c>
      <c r="D24" s="3">
        <v>118.3</v>
      </c>
      <c r="E24" s="3">
        <v>120.4</v>
      </c>
      <c r="F24" s="3">
        <v>112.7</v>
      </c>
      <c r="G24" s="3">
        <v>108.9</v>
      </c>
      <c r="H24" s="3">
        <v>101.1</v>
      </c>
      <c r="I24" s="3">
        <v>108.7</v>
      </c>
      <c r="J24" s="3">
        <v>177</v>
      </c>
      <c r="K24" s="3">
        <v>104.7</v>
      </c>
      <c r="L24" s="3">
        <v>101</v>
      </c>
      <c r="M24" s="3">
        <v>108.5</v>
      </c>
      <c r="N24" s="3">
        <v>110.9</v>
      </c>
      <c r="O24" s="3">
        <v>114.3</v>
      </c>
      <c r="P24" s="3">
        <v>119.6</v>
      </c>
      <c r="Q24" s="3">
        <v>112.4</v>
      </c>
      <c r="R24" s="3">
        <v>110.6</v>
      </c>
      <c r="S24" s="3">
        <v>108.3</v>
      </c>
      <c r="T24" s="3">
        <v>110.2</v>
      </c>
      <c r="U24" s="3" t="s">
        <v>101</v>
      </c>
      <c r="V24" s="3">
        <v>109.3</v>
      </c>
      <c r="W24" s="3">
        <v>108.7</v>
      </c>
      <c r="X24" s="3">
        <v>107.6</v>
      </c>
      <c r="Y24" s="3">
        <v>108.1</v>
      </c>
      <c r="Z24" s="3">
        <v>106.5</v>
      </c>
      <c r="AA24" s="3">
        <v>110.8</v>
      </c>
      <c r="AB24" s="3">
        <v>106</v>
      </c>
      <c r="AC24" s="3">
        <v>108.3</v>
      </c>
      <c r="AD24" s="3">
        <v>112.7</v>
      </c>
    </row>
    <row r="25" spans="1:30" ht="15" customHeight="1" x14ac:dyDescent="0.2">
      <c r="A25" s="3" t="s">
        <v>89</v>
      </c>
      <c r="B25" s="3">
        <v>2013</v>
      </c>
      <c r="C25" s="3" t="s">
        <v>100</v>
      </c>
      <c r="D25" s="3">
        <v>115.6</v>
      </c>
      <c r="E25" s="3">
        <v>117.2</v>
      </c>
      <c r="F25" s="3">
        <v>111.7</v>
      </c>
      <c r="G25" s="3">
        <v>109.6</v>
      </c>
      <c r="H25" s="3">
        <v>104.5</v>
      </c>
      <c r="I25" s="3">
        <v>109.8</v>
      </c>
      <c r="J25" s="3">
        <v>151.80000000000001</v>
      </c>
      <c r="K25" s="3">
        <v>106.5</v>
      </c>
      <c r="L25" s="3">
        <v>103.1</v>
      </c>
      <c r="M25" s="3">
        <v>107.4</v>
      </c>
      <c r="N25" s="3">
        <v>110.2</v>
      </c>
      <c r="O25" s="3">
        <v>113.4</v>
      </c>
      <c r="P25" s="3">
        <v>116.6</v>
      </c>
      <c r="Q25" s="3">
        <v>111.2</v>
      </c>
      <c r="R25" s="3">
        <v>111</v>
      </c>
      <c r="S25" s="3">
        <v>109.4</v>
      </c>
      <c r="T25" s="3">
        <v>110.7</v>
      </c>
      <c r="U25" s="3" t="s">
        <v>101</v>
      </c>
      <c r="V25" s="3">
        <v>109.7</v>
      </c>
      <c r="W25" s="3">
        <v>108.7</v>
      </c>
      <c r="X25" s="3">
        <v>107.5</v>
      </c>
      <c r="Y25" s="3">
        <v>108</v>
      </c>
      <c r="Z25" s="3">
        <v>106.6</v>
      </c>
      <c r="AA25" s="3">
        <v>109.9</v>
      </c>
      <c r="AB25" s="3">
        <v>105.4</v>
      </c>
      <c r="AC25" s="3">
        <v>107.9</v>
      </c>
      <c r="AD25" s="3">
        <v>112.4</v>
      </c>
    </row>
    <row r="26" spans="1:30" ht="15" customHeight="1" x14ac:dyDescent="0.2">
      <c r="A26" s="3" t="s">
        <v>84</v>
      </c>
      <c r="B26" s="3">
        <v>2013</v>
      </c>
      <c r="C26" s="3" t="s">
        <v>102</v>
      </c>
      <c r="D26" s="3">
        <v>115.4</v>
      </c>
      <c r="E26" s="3">
        <v>115.7</v>
      </c>
      <c r="F26" s="3">
        <v>111.7</v>
      </c>
      <c r="G26" s="3">
        <v>111</v>
      </c>
      <c r="H26" s="3">
        <v>107.4</v>
      </c>
      <c r="I26" s="3">
        <v>110.9</v>
      </c>
      <c r="J26" s="3">
        <v>154</v>
      </c>
      <c r="K26" s="3">
        <v>108.1</v>
      </c>
      <c r="L26" s="3">
        <v>104.2</v>
      </c>
      <c r="M26" s="3">
        <v>107.9</v>
      </c>
      <c r="N26" s="3">
        <v>110.4</v>
      </c>
      <c r="O26" s="3">
        <v>114</v>
      </c>
      <c r="P26" s="3">
        <v>117.8</v>
      </c>
      <c r="Q26" s="3">
        <v>111.7</v>
      </c>
      <c r="R26" s="3">
        <v>112.7</v>
      </c>
      <c r="S26" s="3">
        <v>111.4</v>
      </c>
      <c r="T26" s="3">
        <v>112.5</v>
      </c>
      <c r="V26" s="3">
        <v>111.1</v>
      </c>
      <c r="W26" s="3">
        <v>109.6</v>
      </c>
      <c r="X26" s="3">
        <v>108.3</v>
      </c>
      <c r="Y26" s="3">
        <v>109.3</v>
      </c>
      <c r="Z26" s="3">
        <v>107.7</v>
      </c>
      <c r="AA26" s="3">
        <v>109.8</v>
      </c>
      <c r="AB26" s="3">
        <v>106.7</v>
      </c>
      <c r="AC26" s="3">
        <v>108.7</v>
      </c>
      <c r="AD26" s="3">
        <v>114.2</v>
      </c>
    </row>
    <row r="27" spans="1:30" ht="15" customHeight="1" x14ac:dyDescent="0.2">
      <c r="A27" s="3" t="s">
        <v>87</v>
      </c>
      <c r="B27" s="3">
        <v>2013</v>
      </c>
      <c r="C27" s="3" t="s">
        <v>102</v>
      </c>
      <c r="D27" s="3">
        <v>118.6</v>
      </c>
      <c r="E27" s="3">
        <v>119.1</v>
      </c>
      <c r="F27" s="3">
        <v>113.2</v>
      </c>
      <c r="G27" s="3">
        <v>109.6</v>
      </c>
      <c r="H27" s="3">
        <v>101.7</v>
      </c>
      <c r="I27" s="3">
        <v>103.2</v>
      </c>
      <c r="J27" s="3">
        <v>174.3</v>
      </c>
      <c r="K27" s="3">
        <v>105.1</v>
      </c>
      <c r="L27" s="3">
        <v>100.8</v>
      </c>
      <c r="M27" s="3">
        <v>109.1</v>
      </c>
      <c r="N27" s="3">
        <v>111.1</v>
      </c>
      <c r="O27" s="3">
        <v>115.4</v>
      </c>
      <c r="P27" s="3">
        <v>119.2</v>
      </c>
      <c r="Q27" s="3">
        <v>112.9</v>
      </c>
      <c r="R27" s="3">
        <v>111.4</v>
      </c>
      <c r="S27" s="3">
        <v>109</v>
      </c>
      <c r="T27" s="3">
        <v>111.1</v>
      </c>
      <c r="U27" s="3" t="s">
        <v>103</v>
      </c>
      <c r="V27" s="3">
        <v>109.5</v>
      </c>
      <c r="W27" s="3">
        <v>109.6</v>
      </c>
      <c r="X27" s="3">
        <v>107.9</v>
      </c>
      <c r="Y27" s="3">
        <v>110.4</v>
      </c>
      <c r="Z27" s="3">
        <v>107.4</v>
      </c>
      <c r="AA27" s="3">
        <v>111.2</v>
      </c>
      <c r="AB27" s="3">
        <v>106.9</v>
      </c>
      <c r="AC27" s="3">
        <v>109.4</v>
      </c>
      <c r="AD27" s="3">
        <v>113.2</v>
      </c>
    </row>
    <row r="28" spans="1:30" ht="15" customHeight="1" x14ac:dyDescent="0.2">
      <c r="A28" s="3" t="s">
        <v>89</v>
      </c>
      <c r="B28" s="3">
        <v>2013</v>
      </c>
      <c r="C28" s="3" t="s">
        <v>102</v>
      </c>
      <c r="D28" s="3">
        <v>116.4</v>
      </c>
      <c r="E28" s="3">
        <v>116.9</v>
      </c>
      <c r="F28" s="3">
        <v>112.3</v>
      </c>
      <c r="G28" s="3">
        <v>110.5</v>
      </c>
      <c r="H28" s="3">
        <v>105.3</v>
      </c>
      <c r="I28" s="3">
        <v>107.3</v>
      </c>
      <c r="J28" s="3">
        <v>160.9</v>
      </c>
      <c r="K28" s="3">
        <v>107.1</v>
      </c>
      <c r="L28" s="3">
        <v>103.1</v>
      </c>
      <c r="M28" s="3">
        <v>108.3</v>
      </c>
      <c r="N28" s="3">
        <v>110.7</v>
      </c>
      <c r="O28" s="3">
        <v>114.6</v>
      </c>
      <c r="P28" s="3">
        <v>118.3</v>
      </c>
      <c r="Q28" s="3">
        <v>112</v>
      </c>
      <c r="R28" s="3">
        <v>112.2</v>
      </c>
      <c r="S28" s="3">
        <v>110.4</v>
      </c>
      <c r="T28" s="3">
        <v>111.9</v>
      </c>
      <c r="U28" s="3" t="s">
        <v>103</v>
      </c>
      <c r="V28" s="3">
        <v>110.5</v>
      </c>
      <c r="W28" s="3">
        <v>109.6</v>
      </c>
      <c r="X28" s="3">
        <v>108.1</v>
      </c>
      <c r="Y28" s="3">
        <v>109.9</v>
      </c>
      <c r="Z28" s="3">
        <v>107.5</v>
      </c>
      <c r="AA28" s="3">
        <v>110.6</v>
      </c>
      <c r="AB28" s="3">
        <v>106.8</v>
      </c>
      <c r="AC28" s="3">
        <v>109</v>
      </c>
      <c r="AD28" s="3">
        <v>113.7</v>
      </c>
    </row>
    <row r="29" spans="1:30" ht="15" customHeight="1" x14ac:dyDescent="0.2">
      <c r="A29" s="3" t="s">
        <v>84</v>
      </c>
      <c r="B29" s="3">
        <v>2013</v>
      </c>
      <c r="C29" s="3" t="s">
        <v>104</v>
      </c>
      <c r="D29" s="3">
        <v>116.3</v>
      </c>
      <c r="E29" s="3">
        <v>115.4</v>
      </c>
      <c r="F29" s="3">
        <v>112.6</v>
      </c>
      <c r="G29" s="3">
        <v>111.7</v>
      </c>
      <c r="H29" s="3">
        <v>107.7</v>
      </c>
      <c r="I29" s="3">
        <v>113.2</v>
      </c>
      <c r="J29" s="3">
        <v>164.9</v>
      </c>
      <c r="K29" s="3">
        <v>108.3</v>
      </c>
      <c r="L29" s="3">
        <v>103.9</v>
      </c>
      <c r="M29" s="3">
        <v>108.2</v>
      </c>
      <c r="N29" s="3">
        <v>111.1</v>
      </c>
      <c r="O29" s="3">
        <v>114.9</v>
      </c>
      <c r="P29" s="3">
        <v>119.8</v>
      </c>
      <c r="Q29" s="3">
        <v>112.2</v>
      </c>
      <c r="R29" s="3">
        <v>113.6</v>
      </c>
      <c r="S29" s="3">
        <v>112.3</v>
      </c>
      <c r="T29" s="3">
        <v>113.4</v>
      </c>
      <c r="V29" s="3">
        <v>111.6</v>
      </c>
      <c r="W29" s="3">
        <v>110.4</v>
      </c>
      <c r="X29" s="3">
        <v>108.9</v>
      </c>
      <c r="Y29" s="3">
        <v>109.3</v>
      </c>
      <c r="Z29" s="3">
        <v>108.3</v>
      </c>
      <c r="AA29" s="3">
        <v>110.2</v>
      </c>
      <c r="AB29" s="3">
        <v>107.5</v>
      </c>
      <c r="AC29" s="3">
        <v>109.1</v>
      </c>
      <c r="AD29" s="3">
        <v>115.5</v>
      </c>
    </row>
    <row r="30" spans="1:30" ht="15" customHeight="1" x14ac:dyDescent="0.2">
      <c r="A30" s="3" t="s">
        <v>87</v>
      </c>
      <c r="B30" s="3">
        <v>2013</v>
      </c>
      <c r="C30" s="3" t="s">
        <v>104</v>
      </c>
      <c r="D30" s="3">
        <v>118.9</v>
      </c>
      <c r="E30" s="3">
        <v>118.1</v>
      </c>
      <c r="F30" s="3">
        <v>114.5</v>
      </c>
      <c r="G30" s="3">
        <v>110.4</v>
      </c>
      <c r="H30" s="3">
        <v>102.3</v>
      </c>
      <c r="I30" s="3">
        <v>106.2</v>
      </c>
      <c r="J30" s="3">
        <v>183.5</v>
      </c>
      <c r="K30" s="3">
        <v>105.3</v>
      </c>
      <c r="L30" s="3">
        <v>100.2</v>
      </c>
      <c r="M30" s="3">
        <v>109.6</v>
      </c>
      <c r="N30" s="3">
        <v>111.4</v>
      </c>
      <c r="O30" s="3">
        <v>116</v>
      </c>
      <c r="P30" s="3">
        <v>120.8</v>
      </c>
      <c r="Q30" s="3">
        <v>113.5</v>
      </c>
      <c r="R30" s="3">
        <v>112.5</v>
      </c>
      <c r="S30" s="3">
        <v>109.7</v>
      </c>
      <c r="T30" s="3">
        <v>112</v>
      </c>
      <c r="U30" s="3" t="s">
        <v>105</v>
      </c>
      <c r="V30" s="3">
        <v>109.7</v>
      </c>
      <c r="W30" s="3">
        <v>110.2</v>
      </c>
      <c r="X30" s="3">
        <v>108.2</v>
      </c>
      <c r="Y30" s="3">
        <v>109.7</v>
      </c>
      <c r="Z30" s="3">
        <v>108</v>
      </c>
      <c r="AA30" s="3">
        <v>111.3</v>
      </c>
      <c r="AB30" s="3">
        <v>107.3</v>
      </c>
      <c r="AC30" s="3">
        <v>109.4</v>
      </c>
      <c r="AD30" s="3">
        <v>114</v>
      </c>
    </row>
    <row r="31" spans="1:30" ht="15" customHeight="1" x14ac:dyDescent="0.2">
      <c r="A31" s="3" t="s">
        <v>89</v>
      </c>
      <c r="B31" s="3">
        <v>2013</v>
      </c>
      <c r="C31" s="3" t="s">
        <v>104</v>
      </c>
      <c r="D31" s="3">
        <v>117.1</v>
      </c>
      <c r="E31" s="3">
        <v>116.3</v>
      </c>
      <c r="F31" s="3">
        <v>113.3</v>
      </c>
      <c r="G31" s="3">
        <v>111.2</v>
      </c>
      <c r="H31" s="3">
        <v>105.7</v>
      </c>
      <c r="I31" s="3">
        <v>109.9</v>
      </c>
      <c r="J31" s="3">
        <v>171.2</v>
      </c>
      <c r="K31" s="3">
        <v>107.3</v>
      </c>
      <c r="L31" s="3">
        <v>102.7</v>
      </c>
      <c r="M31" s="3">
        <v>108.7</v>
      </c>
      <c r="N31" s="3">
        <v>111.2</v>
      </c>
      <c r="O31" s="3">
        <v>115.4</v>
      </c>
      <c r="P31" s="3">
        <v>120.2</v>
      </c>
      <c r="Q31" s="3">
        <v>112.5</v>
      </c>
      <c r="R31" s="3">
        <v>113.2</v>
      </c>
      <c r="S31" s="3">
        <v>111.2</v>
      </c>
      <c r="T31" s="3">
        <v>112.8</v>
      </c>
      <c r="U31" s="3" t="s">
        <v>105</v>
      </c>
      <c r="V31" s="3">
        <v>110.9</v>
      </c>
      <c r="W31" s="3">
        <v>110.3</v>
      </c>
      <c r="X31" s="3">
        <v>108.6</v>
      </c>
      <c r="Y31" s="3">
        <v>109.5</v>
      </c>
      <c r="Z31" s="3">
        <v>108.1</v>
      </c>
      <c r="AA31" s="3">
        <v>110.8</v>
      </c>
      <c r="AB31" s="3">
        <v>107.4</v>
      </c>
      <c r="AC31" s="3">
        <v>109.2</v>
      </c>
      <c r="AD31" s="3">
        <v>114.8</v>
      </c>
    </row>
    <row r="32" spans="1:30" ht="15" customHeight="1" x14ac:dyDescent="0.2">
      <c r="A32" s="3" t="s">
        <v>84</v>
      </c>
      <c r="B32" s="3">
        <v>2013</v>
      </c>
      <c r="C32" s="3" t="s">
        <v>106</v>
      </c>
      <c r="D32" s="3">
        <v>117.3</v>
      </c>
      <c r="E32" s="3">
        <v>114.9</v>
      </c>
      <c r="F32" s="3">
        <v>116.2</v>
      </c>
      <c r="G32" s="3">
        <v>112.8</v>
      </c>
      <c r="H32" s="3">
        <v>108.9</v>
      </c>
      <c r="I32" s="3">
        <v>116.6</v>
      </c>
      <c r="J32" s="3">
        <v>178.1</v>
      </c>
      <c r="K32" s="3">
        <v>109.1</v>
      </c>
      <c r="L32" s="3">
        <v>103.6</v>
      </c>
      <c r="M32" s="3">
        <v>109</v>
      </c>
      <c r="N32" s="3">
        <v>111.8</v>
      </c>
      <c r="O32" s="3">
        <v>116</v>
      </c>
      <c r="P32" s="3">
        <v>122.5</v>
      </c>
      <c r="Q32" s="3">
        <v>112.8</v>
      </c>
      <c r="R32" s="3">
        <v>114.6</v>
      </c>
      <c r="S32" s="3">
        <v>113.1</v>
      </c>
      <c r="T32" s="3">
        <v>114.4</v>
      </c>
      <c r="V32" s="3">
        <v>112.6</v>
      </c>
      <c r="W32" s="3">
        <v>111.3</v>
      </c>
      <c r="X32" s="3">
        <v>109.7</v>
      </c>
      <c r="Y32" s="3">
        <v>109.6</v>
      </c>
      <c r="Z32" s="3">
        <v>108.7</v>
      </c>
      <c r="AA32" s="3">
        <v>111</v>
      </c>
      <c r="AB32" s="3">
        <v>108.2</v>
      </c>
      <c r="AC32" s="3">
        <v>109.8</v>
      </c>
      <c r="AD32" s="3">
        <v>117.4</v>
      </c>
    </row>
    <row r="33" spans="1:30" ht="15" customHeight="1" x14ac:dyDescent="0.2">
      <c r="A33" s="3" t="s">
        <v>87</v>
      </c>
      <c r="B33" s="3">
        <v>2013</v>
      </c>
      <c r="C33" s="3" t="s">
        <v>107</v>
      </c>
      <c r="D33" s="3">
        <v>119.8</v>
      </c>
      <c r="E33" s="3">
        <v>116.3</v>
      </c>
      <c r="F33" s="3">
        <v>122.6</v>
      </c>
      <c r="G33" s="3">
        <v>112</v>
      </c>
      <c r="H33" s="3">
        <v>103.2</v>
      </c>
      <c r="I33" s="3">
        <v>110</v>
      </c>
      <c r="J33" s="3">
        <v>192.8</v>
      </c>
      <c r="K33" s="3">
        <v>106.3</v>
      </c>
      <c r="L33" s="3">
        <v>99.5</v>
      </c>
      <c r="M33" s="3">
        <v>110.3</v>
      </c>
      <c r="N33" s="3">
        <v>111.8</v>
      </c>
      <c r="O33" s="3">
        <v>117.1</v>
      </c>
      <c r="P33" s="3">
        <v>122.9</v>
      </c>
      <c r="Q33" s="3">
        <v>114.1</v>
      </c>
      <c r="R33" s="3">
        <v>113.5</v>
      </c>
      <c r="S33" s="3">
        <v>110.3</v>
      </c>
      <c r="T33" s="3">
        <v>113</v>
      </c>
      <c r="U33" s="3" t="s">
        <v>108</v>
      </c>
      <c r="V33" s="3">
        <v>110</v>
      </c>
      <c r="W33" s="3">
        <v>110.9</v>
      </c>
      <c r="X33" s="3">
        <v>108.6</v>
      </c>
      <c r="Y33" s="3">
        <v>109.5</v>
      </c>
      <c r="Z33" s="3">
        <v>108.5</v>
      </c>
      <c r="AA33" s="3">
        <v>111.3</v>
      </c>
      <c r="AB33" s="3">
        <v>107.9</v>
      </c>
      <c r="AC33" s="3">
        <v>109.6</v>
      </c>
      <c r="AD33" s="3">
        <v>115</v>
      </c>
    </row>
    <row r="34" spans="1:30" ht="15" customHeight="1" x14ac:dyDescent="0.2">
      <c r="A34" s="3" t="s">
        <v>89</v>
      </c>
      <c r="B34" s="3">
        <v>2013</v>
      </c>
      <c r="C34" s="3" t="s">
        <v>107</v>
      </c>
      <c r="D34" s="3">
        <v>118.1</v>
      </c>
      <c r="E34" s="3">
        <v>115.4</v>
      </c>
      <c r="F34" s="3">
        <v>118.7</v>
      </c>
      <c r="G34" s="3">
        <v>112.5</v>
      </c>
      <c r="H34" s="3">
        <v>106.8</v>
      </c>
      <c r="I34" s="3">
        <v>113.5</v>
      </c>
      <c r="J34" s="3">
        <v>183.1</v>
      </c>
      <c r="K34" s="3">
        <v>108.2</v>
      </c>
      <c r="L34" s="3">
        <v>102.2</v>
      </c>
      <c r="M34" s="3">
        <v>109.4</v>
      </c>
      <c r="N34" s="3">
        <v>111.8</v>
      </c>
      <c r="O34" s="3">
        <v>116.5</v>
      </c>
      <c r="P34" s="3">
        <v>122.6</v>
      </c>
      <c r="Q34" s="3">
        <v>113.1</v>
      </c>
      <c r="R34" s="3">
        <v>114.2</v>
      </c>
      <c r="S34" s="3">
        <v>111.9</v>
      </c>
      <c r="T34" s="3">
        <v>113.8</v>
      </c>
      <c r="U34" s="3" t="s">
        <v>108</v>
      </c>
      <c r="V34" s="3">
        <v>111.6</v>
      </c>
      <c r="W34" s="3">
        <v>111.1</v>
      </c>
      <c r="X34" s="3">
        <v>109.3</v>
      </c>
      <c r="Y34" s="3">
        <v>109.5</v>
      </c>
      <c r="Z34" s="3">
        <v>108.6</v>
      </c>
      <c r="AA34" s="3">
        <v>111.2</v>
      </c>
      <c r="AB34" s="3">
        <v>108.1</v>
      </c>
      <c r="AC34" s="3">
        <v>109.7</v>
      </c>
      <c r="AD34" s="3">
        <v>116.3</v>
      </c>
    </row>
    <row r="35" spans="1:30" ht="15" customHeight="1" x14ac:dyDescent="0.2">
      <c r="A35" s="3" t="s">
        <v>84</v>
      </c>
      <c r="B35" s="3">
        <v>2013</v>
      </c>
      <c r="C35" s="3" t="s">
        <v>109</v>
      </c>
      <c r="D35" s="3">
        <v>118.4</v>
      </c>
      <c r="E35" s="3">
        <v>115.9</v>
      </c>
      <c r="F35" s="3">
        <v>120.4</v>
      </c>
      <c r="G35" s="3">
        <v>113.8</v>
      </c>
      <c r="H35" s="3">
        <v>109.5</v>
      </c>
      <c r="I35" s="3">
        <v>115.5</v>
      </c>
      <c r="J35" s="3">
        <v>145.69999999999999</v>
      </c>
      <c r="K35" s="3">
        <v>109.5</v>
      </c>
      <c r="L35" s="3">
        <v>102.9</v>
      </c>
      <c r="M35" s="3">
        <v>109.8</v>
      </c>
      <c r="N35" s="3">
        <v>112.1</v>
      </c>
      <c r="O35" s="3">
        <v>116.8</v>
      </c>
      <c r="P35" s="3">
        <v>118.7</v>
      </c>
      <c r="Q35" s="3">
        <v>113.6</v>
      </c>
      <c r="R35" s="3">
        <v>115.8</v>
      </c>
      <c r="S35" s="3">
        <v>114</v>
      </c>
      <c r="T35" s="3">
        <v>115.5</v>
      </c>
      <c r="V35" s="3">
        <v>112.8</v>
      </c>
      <c r="W35" s="3">
        <v>112.1</v>
      </c>
      <c r="X35" s="3">
        <v>110.1</v>
      </c>
      <c r="Y35" s="3">
        <v>109.9</v>
      </c>
      <c r="Z35" s="3">
        <v>109.2</v>
      </c>
      <c r="AA35" s="3">
        <v>111.6</v>
      </c>
      <c r="AB35" s="3">
        <v>108.1</v>
      </c>
      <c r="AC35" s="3">
        <v>110.1</v>
      </c>
      <c r="AD35" s="3">
        <v>115.5</v>
      </c>
    </row>
    <row r="36" spans="1:30" ht="15" customHeight="1" x14ac:dyDescent="0.2">
      <c r="A36" s="3" t="s">
        <v>87</v>
      </c>
      <c r="B36" s="3">
        <v>2013</v>
      </c>
      <c r="C36" s="3" t="s">
        <v>109</v>
      </c>
      <c r="D36" s="3">
        <v>120.5</v>
      </c>
      <c r="E36" s="3">
        <v>118.1</v>
      </c>
      <c r="F36" s="3">
        <v>128.5</v>
      </c>
      <c r="G36" s="3">
        <v>112.8</v>
      </c>
      <c r="H36" s="3">
        <v>103.4</v>
      </c>
      <c r="I36" s="3">
        <v>110.7</v>
      </c>
      <c r="J36" s="3">
        <v>144.80000000000001</v>
      </c>
      <c r="K36" s="3">
        <v>107.1</v>
      </c>
      <c r="L36" s="3">
        <v>98.6</v>
      </c>
      <c r="M36" s="3">
        <v>111.9</v>
      </c>
      <c r="N36" s="3">
        <v>112.1</v>
      </c>
      <c r="O36" s="3">
        <v>118.1</v>
      </c>
      <c r="P36" s="3">
        <v>117.8</v>
      </c>
      <c r="Q36" s="3">
        <v>115</v>
      </c>
      <c r="R36" s="3">
        <v>114.2</v>
      </c>
      <c r="S36" s="3">
        <v>110.9</v>
      </c>
      <c r="T36" s="3">
        <v>113.7</v>
      </c>
      <c r="U36" s="3" t="s">
        <v>110</v>
      </c>
      <c r="V36" s="3">
        <v>110.4</v>
      </c>
      <c r="W36" s="3">
        <v>111.3</v>
      </c>
      <c r="X36" s="3">
        <v>109</v>
      </c>
      <c r="Y36" s="3">
        <v>109.7</v>
      </c>
      <c r="Z36" s="3">
        <v>108.9</v>
      </c>
      <c r="AA36" s="3">
        <v>111.4</v>
      </c>
      <c r="AB36" s="3">
        <v>107.7</v>
      </c>
      <c r="AC36" s="3">
        <v>109.8</v>
      </c>
      <c r="AD36" s="3">
        <v>113.3</v>
      </c>
    </row>
    <row r="37" spans="1:30" ht="15" customHeight="1" x14ac:dyDescent="0.2">
      <c r="A37" s="3" t="s">
        <v>89</v>
      </c>
      <c r="B37" s="3">
        <v>2013</v>
      </c>
      <c r="C37" s="3" t="s">
        <v>109</v>
      </c>
      <c r="D37" s="3">
        <v>119.1</v>
      </c>
      <c r="E37" s="3">
        <v>116.7</v>
      </c>
      <c r="F37" s="3">
        <v>123.5</v>
      </c>
      <c r="G37" s="3">
        <v>113.4</v>
      </c>
      <c r="H37" s="3">
        <v>107.3</v>
      </c>
      <c r="I37" s="3">
        <v>113.3</v>
      </c>
      <c r="J37" s="3">
        <v>145.4</v>
      </c>
      <c r="K37" s="3">
        <v>108.7</v>
      </c>
      <c r="L37" s="3">
        <v>101.5</v>
      </c>
      <c r="M37" s="3">
        <v>110.5</v>
      </c>
      <c r="N37" s="3">
        <v>112.1</v>
      </c>
      <c r="O37" s="3">
        <v>117.4</v>
      </c>
      <c r="P37" s="3">
        <v>118.4</v>
      </c>
      <c r="Q37" s="3">
        <v>114</v>
      </c>
      <c r="R37" s="3">
        <v>115.2</v>
      </c>
      <c r="S37" s="3">
        <v>112.7</v>
      </c>
      <c r="T37" s="3">
        <v>114.8</v>
      </c>
      <c r="U37" s="3" t="s">
        <v>110</v>
      </c>
      <c r="V37" s="3">
        <v>111.9</v>
      </c>
      <c r="W37" s="3">
        <v>111.7</v>
      </c>
      <c r="X37" s="3">
        <v>109.7</v>
      </c>
      <c r="Y37" s="3">
        <v>109.8</v>
      </c>
      <c r="Z37" s="3">
        <v>109</v>
      </c>
      <c r="AA37" s="3">
        <v>111.5</v>
      </c>
      <c r="AB37" s="3">
        <v>107.9</v>
      </c>
      <c r="AC37" s="3">
        <v>110</v>
      </c>
      <c r="AD37" s="3">
        <v>114.5</v>
      </c>
    </row>
    <row r="38" spans="1:30" ht="15" customHeight="1" x14ac:dyDescent="0.2">
      <c r="A38" s="3" t="s">
        <v>84</v>
      </c>
      <c r="B38" s="3">
        <v>2014</v>
      </c>
      <c r="C38" s="3" t="s">
        <v>85</v>
      </c>
      <c r="D38" s="3">
        <v>118.9</v>
      </c>
      <c r="E38" s="3">
        <v>117.1</v>
      </c>
      <c r="F38" s="3">
        <v>120.5</v>
      </c>
      <c r="G38" s="3">
        <v>114.4</v>
      </c>
      <c r="H38" s="3">
        <v>109</v>
      </c>
      <c r="I38" s="3">
        <v>115.5</v>
      </c>
      <c r="J38" s="3">
        <v>123.9</v>
      </c>
      <c r="K38" s="3">
        <v>109.6</v>
      </c>
      <c r="L38" s="3">
        <v>101.8</v>
      </c>
      <c r="M38" s="3">
        <v>110.2</v>
      </c>
      <c r="N38" s="3">
        <v>112.4</v>
      </c>
      <c r="O38" s="3">
        <v>117.3</v>
      </c>
      <c r="P38" s="3">
        <v>116</v>
      </c>
      <c r="Q38" s="3">
        <v>114</v>
      </c>
      <c r="R38" s="3">
        <v>116.5</v>
      </c>
      <c r="S38" s="3">
        <v>114.5</v>
      </c>
      <c r="T38" s="3">
        <v>116.2</v>
      </c>
      <c r="V38" s="3">
        <v>113</v>
      </c>
      <c r="W38" s="3">
        <v>112.6</v>
      </c>
      <c r="X38" s="3">
        <v>110.6</v>
      </c>
      <c r="Y38" s="3">
        <v>110.5</v>
      </c>
      <c r="Z38" s="3">
        <v>109.6</v>
      </c>
      <c r="AA38" s="3">
        <v>111.8</v>
      </c>
      <c r="AB38" s="3">
        <v>108.3</v>
      </c>
      <c r="AC38" s="3">
        <v>110.6</v>
      </c>
      <c r="AD38" s="3">
        <v>114.2</v>
      </c>
    </row>
    <row r="39" spans="1:30" ht="15" customHeight="1" x14ac:dyDescent="0.2">
      <c r="A39" s="3" t="s">
        <v>87</v>
      </c>
      <c r="B39" s="3">
        <v>2014</v>
      </c>
      <c r="C39" s="3" t="s">
        <v>85</v>
      </c>
      <c r="D39" s="3">
        <v>121.2</v>
      </c>
      <c r="E39" s="3">
        <v>122</v>
      </c>
      <c r="F39" s="3">
        <v>129.9</v>
      </c>
      <c r="G39" s="3">
        <v>113.6</v>
      </c>
      <c r="H39" s="3">
        <v>102.9</v>
      </c>
      <c r="I39" s="3">
        <v>112.1</v>
      </c>
      <c r="J39" s="3">
        <v>118.9</v>
      </c>
      <c r="K39" s="3">
        <v>107.5</v>
      </c>
      <c r="L39" s="3">
        <v>96.9</v>
      </c>
      <c r="M39" s="3">
        <v>112.7</v>
      </c>
      <c r="N39" s="3">
        <v>112.1</v>
      </c>
      <c r="O39" s="3">
        <v>119</v>
      </c>
      <c r="P39" s="3">
        <v>115.5</v>
      </c>
      <c r="Q39" s="3">
        <v>115.7</v>
      </c>
      <c r="R39" s="3">
        <v>114.8</v>
      </c>
      <c r="S39" s="3">
        <v>111.3</v>
      </c>
      <c r="T39" s="3">
        <v>114.3</v>
      </c>
      <c r="U39" s="3" t="s">
        <v>111</v>
      </c>
      <c r="V39" s="3">
        <v>111</v>
      </c>
      <c r="W39" s="3">
        <v>111.9</v>
      </c>
      <c r="X39" s="3">
        <v>109.7</v>
      </c>
      <c r="Y39" s="3">
        <v>110.8</v>
      </c>
      <c r="Z39" s="3">
        <v>109.8</v>
      </c>
      <c r="AA39" s="3">
        <v>111.5</v>
      </c>
      <c r="AB39" s="3">
        <v>108</v>
      </c>
      <c r="AC39" s="3">
        <v>110.5</v>
      </c>
      <c r="AD39" s="3">
        <v>112.9</v>
      </c>
    </row>
    <row r="40" spans="1:30" ht="15" customHeight="1" x14ac:dyDescent="0.2">
      <c r="A40" s="3" t="s">
        <v>89</v>
      </c>
      <c r="B40" s="3">
        <v>2014</v>
      </c>
      <c r="C40" s="3" t="s">
        <v>85</v>
      </c>
      <c r="D40" s="3">
        <v>119.6</v>
      </c>
      <c r="E40" s="3">
        <v>118.8</v>
      </c>
      <c r="F40" s="3">
        <v>124.1</v>
      </c>
      <c r="G40" s="3">
        <v>114.1</v>
      </c>
      <c r="H40" s="3">
        <v>106.8</v>
      </c>
      <c r="I40" s="3">
        <v>113.9</v>
      </c>
      <c r="J40" s="3">
        <v>122.2</v>
      </c>
      <c r="K40" s="3">
        <v>108.9</v>
      </c>
      <c r="L40" s="3">
        <v>100.2</v>
      </c>
      <c r="M40" s="3">
        <v>111</v>
      </c>
      <c r="N40" s="3">
        <v>112.3</v>
      </c>
      <c r="O40" s="3">
        <v>118.1</v>
      </c>
      <c r="P40" s="3">
        <v>115.8</v>
      </c>
      <c r="Q40" s="3">
        <v>114.5</v>
      </c>
      <c r="R40" s="3">
        <v>115.8</v>
      </c>
      <c r="S40" s="3">
        <v>113.2</v>
      </c>
      <c r="T40" s="3">
        <v>115.4</v>
      </c>
      <c r="U40" s="3" t="s">
        <v>111</v>
      </c>
      <c r="V40" s="3">
        <v>112.2</v>
      </c>
      <c r="W40" s="3">
        <v>112.3</v>
      </c>
      <c r="X40" s="3">
        <v>110.3</v>
      </c>
      <c r="Y40" s="3">
        <v>110.7</v>
      </c>
      <c r="Z40" s="3">
        <v>109.7</v>
      </c>
      <c r="AA40" s="3">
        <v>111.6</v>
      </c>
      <c r="AB40" s="3">
        <v>108.2</v>
      </c>
      <c r="AC40" s="3">
        <v>110.6</v>
      </c>
      <c r="AD40" s="3">
        <v>113.6</v>
      </c>
    </row>
    <row r="41" spans="1:30" ht="15" customHeight="1" x14ac:dyDescent="0.2">
      <c r="A41" s="3" t="s">
        <v>84</v>
      </c>
      <c r="B41" s="3">
        <v>2014</v>
      </c>
      <c r="C41" s="3" t="s">
        <v>90</v>
      </c>
      <c r="D41" s="3">
        <v>119.4</v>
      </c>
      <c r="E41" s="3">
        <v>117.7</v>
      </c>
      <c r="F41" s="3">
        <v>121.2</v>
      </c>
      <c r="G41" s="3">
        <v>115</v>
      </c>
      <c r="H41" s="3">
        <v>109</v>
      </c>
      <c r="I41" s="3">
        <v>116.6</v>
      </c>
      <c r="J41" s="3">
        <v>116</v>
      </c>
      <c r="K41" s="3">
        <v>109.8</v>
      </c>
      <c r="L41" s="3">
        <v>101.1</v>
      </c>
      <c r="M41" s="3">
        <v>110.4</v>
      </c>
      <c r="N41" s="3">
        <v>112.9</v>
      </c>
      <c r="O41" s="3">
        <v>117.8</v>
      </c>
      <c r="P41" s="3">
        <v>115.3</v>
      </c>
      <c r="Q41" s="3">
        <v>114.2</v>
      </c>
      <c r="R41" s="3">
        <v>117.1</v>
      </c>
      <c r="S41" s="3">
        <v>114.5</v>
      </c>
      <c r="T41" s="3">
        <v>116.7</v>
      </c>
      <c r="V41" s="3">
        <v>113.2</v>
      </c>
      <c r="W41" s="3">
        <v>112.9</v>
      </c>
      <c r="X41" s="3">
        <v>110.9</v>
      </c>
      <c r="Y41" s="3">
        <v>110.8</v>
      </c>
      <c r="Z41" s="3">
        <v>109.9</v>
      </c>
      <c r="AA41" s="3">
        <v>112</v>
      </c>
      <c r="AB41" s="3">
        <v>108.7</v>
      </c>
      <c r="AC41" s="3">
        <v>110.9</v>
      </c>
      <c r="AD41" s="3">
        <v>114</v>
      </c>
    </row>
    <row r="42" spans="1:30" ht="15" customHeight="1" x14ac:dyDescent="0.2">
      <c r="A42" s="3" t="s">
        <v>87</v>
      </c>
      <c r="B42" s="3">
        <v>2014</v>
      </c>
      <c r="C42" s="3" t="s">
        <v>90</v>
      </c>
      <c r="D42" s="3">
        <v>121.9</v>
      </c>
      <c r="E42" s="3">
        <v>122</v>
      </c>
      <c r="F42" s="3">
        <v>124.5</v>
      </c>
      <c r="G42" s="3">
        <v>115.2</v>
      </c>
      <c r="H42" s="3">
        <v>102.5</v>
      </c>
      <c r="I42" s="3">
        <v>114.1</v>
      </c>
      <c r="J42" s="3">
        <v>111.5</v>
      </c>
      <c r="K42" s="3">
        <v>108.2</v>
      </c>
      <c r="L42" s="3">
        <v>95.4</v>
      </c>
      <c r="M42" s="3">
        <v>113.5</v>
      </c>
      <c r="N42" s="3">
        <v>112.1</v>
      </c>
      <c r="O42" s="3">
        <v>119.9</v>
      </c>
      <c r="P42" s="3">
        <v>115.2</v>
      </c>
      <c r="Q42" s="3">
        <v>116.2</v>
      </c>
      <c r="R42" s="3">
        <v>115.3</v>
      </c>
      <c r="S42" s="3">
        <v>111.7</v>
      </c>
      <c r="T42" s="3">
        <v>114.7</v>
      </c>
      <c r="U42" s="3" t="s">
        <v>112</v>
      </c>
      <c r="V42" s="3">
        <v>111.1</v>
      </c>
      <c r="W42" s="3">
        <v>112.6</v>
      </c>
      <c r="X42" s="3">
        <v>110.4</v>
      </c>
      <c r="Y42" s="3">
        <v>111.3</v>
      </c>
      <c r="Z42" s="3">
        <v>110.3</v>
      </c>
      <c r="AA42" s="3">
        <v>111.6</v>
      </c>
      <c r="AB42" s="3">
        <v>108.7</v>
      </c>
      <c r="AC42" s="3">
        <v>111</v>
      </c>
      <c r="AD42" s="3">
        <v>113.1</v>
      </c>
    </row>
    <row r="43" spans="1:30" ht="15" customHeight="1" x14ac:dyDescent="0.2">
      <c r="A43" s="3" t="s">
        <v>89</v>
      </c>
      <c r="B43" s="3">
        <v>2014</v>
      </c>
      <c r="C43" s="3" t="s">
        <v>90</v>
      </c>
      <c r="D43" s="3">
        <v>120.2</v>
      </c>
      <c r="E43" s="3">
        <v>119.2</v>
      </c>
      <c r="F43" s="3">
        <v>122.5</v>
      </c>
      <c r="G43" s="3">
        <v>115.1</v>
      </c>
      <c r="H43" s="3">
        <v>106.6</v>
      </c>
      <c r="I43" s="3">
        <v>115.4</v>
      </c>
      <c r="J43" s="3">
        <v>114.5</v>
      </c>
      <c r="K43" s="3">
        <v>109.3</v>
      </c>
      <c r="L43" s="3">
        <v>99.2</v>
      </c>
      <c r="M43" s="3">
        <v>111.4</v>
      </c>
      <c r="N43" s="3">
        <v>112.6</v>
      </c>
      <c r="O43" s="3">
        <v>118.8</v>
      </c>
      <c r="P43" s="3">
        <v>115.3</v>
      </c>
      <c r="Q43" s="3">
        <v>114.7</v>
      </c>
      <c r="R43" s="3">
        <v>116.4</v>
      </c>
      <c r="S43" s="3">
        <v>113.3</v>
      </c>
      <c r="T43" s="3">
        <v>115.9</v>
      </c>
      <c r="U43" s="3" t="s">
        <v>112</v>
      </c>
      <c r="V43" s="3">
        <v>112.4</v>
      </c>
      <c r="W43" s="3">
        <v>112.8</v>
      </c>
      <c r="X43" s="3">
        <v>110.7</v>
      </c>
      <c r="Y43" s="3">
        <v>111.1</v>
      </c>
      <c r="Z43" s="3">
        <v>110.1</v>
      </c>
      <c r="AA43" s="3">
        <v>111.8</v>
      </c>
      <c r="AB43" s="3">
        <v>108.7</v>
      </c>
      <c r="AC43" s="3">
        <v>110.9</v>
      </c>
      <c r="AD43" s="3">
        <v>113.6</v>
      </c>
    </row>
    <row r="44" spans="1:30" ht="15" customHeight="1" x14ac:dyDescent="0.2">
      <c r="A44" s="3" t="s">
        <v>84</v>
      </c>
      <c r="B44" s="3">
        <v>2014</v>
      </c>
      <c r="C44" s="3" t="s">
        <v>92</v>
      </c>
      <c r="D44" s="3">
        <v>120.1</v>
      </c>
      <c r="E44" s="3">
        <v>118.1</v>
      </c>
      <c r="F44" s="3">
        <v>120.7</v>
      </c>
      <c r="G44" s="3">
        <v>116.1</v>
      </c>
      <c r="H44" s="3">
        <v>109.3</v>
      </c>
      <c r="I44" s="3">
        <v>119.6</v>
      </c>
      <c r="J44" s="3">
        <v>117.9</v>
      </c>
      <c r="K44" s="3">
        <v>110.2</v>
      </c>
      <c r="L44" s="3">
        <v>101.2</v>
      </c>
      <c r="M44" s="3">
        <v>110.7</v>
      </c>
      <c r="N44" s="3">
        <v>113</v>
      </c>
      <c r="O44" s="3">
        <v>118.3</v>
      </c>
      <c r="P44" s="3">
        <v>116.2</v>
      </c>
      <c r="Q44" s="3">
        <v>114.6</v>
      </c>
      <c r="R44" s="3">
        <v>117.5</v>
      </c>
      <c r="S44" s="3">
        <v>114.9</v>
      </c>
      <c r="T44" s="3">
        <v>117.2</v>
      </c>
      <c r="V44" s="3">
        <v>113.4</v>
      </c>
      <c r="W44" s="3">
        <v>113.4</v>
      </c>
      <c r="X44" s="3">
        <v>111.4</v>
      </c>
      <c r="Y44" s="3">
        <v>111.2</v>
      </c>
      <c r="Z44" s="3">
        <v>110.2</v>
      </c>
      <c r="AA44" s="3">
        <v>112.4</v>
      </c>
      <c r="AB44" s="3">
        <v>108.9</v>
      </c>
      <c r="AC44" s="3">
        <v>111.3</v>
      </c>
      <c r="AD44" s="3">
        <v>114.6</v>
      </c>
    </row>
    <row r="45" spans="1:30" ht="15" customHeight="1" x14ac:dyDescent="0.2">
      <c r="A45" s="3" t="s">
        <v>87</v>
      </c>
      <c r="B45" s="3">
        <v>2014</v>
      </c>
      <c r="C45" s="3" t="s">
        <v>92</v>
      </c>
      <c r="D45" s="3">
        <v>122.1</v>
      </c>
      <c r="E45" s="3">
        <v>121.4</v>
      </c>
      <c r="F45" s="3">
        <v>121.5</v>
      </c>
      <c r="G45" s="3">
        <v>116.2</v>
      </c>
      <c r="H45" s="3">
        <v>102.8</v>
      </c>
      <c r="I45" s="3">
        <v>117.7</v>
      </c>
      <c r="J45" s="3">
        <v>113.3</v>
      </c>
      <c r="K45" s="3">
        <v>108.9</v>
      </c>
      <c r="L45" s="3">
        <v>96.3</v>
      </c>
      <c r="M45" s="3">
        <v>114.1</v>
      </c>
      <c r="N45" s="3">
        <v>112.2</v>
      </c>
      <c r="O45" s="3">
        <v>120.5</v>
      </c>
      <c r="P45" s="3">
        <v>116</v>
      </c>
      <c r="Q45" s="3">
        <v>116.7</v>
      </c>
      <c r="R45" s="3">
        <v>115.8</v>
      </c>
      <c r="S45" s="3">
        <v>112.1</v>
      </c>
      <c r="T45" s="3">
        <v>115.2</v>
      </c>
      <c r="U45" s="3" t="s">
        <v>113</v>
      </c>
      <c r="V45" s="3">
        <v>110.9</v>
      </c>
      <c r="W45" s="3">
        <v>113</v>
      </c>
      <c r="X45" s="3">
        <v>110.8</v>
      </c>
      <c r="Y45" s="3">
        <v>111.6</v>
      </c>
      <c r="Z45" s="3">
        <v>110.9</v>
      </c>
      <c r="AA45" s="3">
        <v>111.8</v>
      </c>
      <c r="AB45" s="3">
        <v>109.2</v>
      </c>
      <c r="AC45" s="3">
        <v>111.4</v>
      </c>
      <c r="AD45" s="3">
        <v>113.7</v>
      </c>
    </row>
    <row r="46" spans="1:30" ht="15" customHeight="1" x14ac:dyDescent="0.2">
      <c r="A46" s="3" t="s">
        <v>89</v>
      </c>
      <c r="B46" s="3">
        <v>2014</v>
      </c>
      <c r="C46" s="3" t="s">
        <v>114</v>
      </c>
      <c r="D46" s="3">
        <v>120.7</v>
      </c>
      <c r="E46" s="3">
        <v>119.3</v>
      </c>
      <c r="F46" s="3">
        <v>121</v>
      </c>
      <c r="G46" s="3">
        <v>116.1</v>
      </c>
      <c r="H46" s="3">
        <v>106.9</v>
      </c>
      <c r="I46" s="3">
        <v>118.7</v>
      </c>
      <c r="J46" s="3">
        <v>116.3</v>
      </c>
      <c r="K46" s="3">
        <v>109.8</v>
      </c>
      <c r="L46" s="3">
        <v>99.6</v>
      </c>
      <c r="M46" s="3">
        <v>111.8</v>
      </c>
      <c r="N46" s="3">
        <v>112.7</v>
      </c>
      <c r="O46" s="3">
        <v>119.3</v>
      </c>
      <c r="P46" s="3">
        <v>116.1</v>
      </c>
      <c r="Q46" s="3">
        <v>115.2</v>
      </c>
      <c r="R46" s="3">
        <v>116.8</v>
      </c>
      <c r="S46" s="3">
        <v>113.7</v>
      </c>
      <c r="T46" s="3">
        <v>116.4</v>
      </c>
      <c r="U46" s="3" t="s">
        <v>113</v>
      </c>
      <c r="V46" s="3">
        <v>112.5</v>
      </c>
      <c r="W46" s="3">
        <v>113.2</v>
      </c>
      <c r="X46" s="3">
        <v>111.2</v>
      </c>
      <c r="Y46" s="3">
        <v>111.4</v>
      </c>
      <c r="Z46" s="3">
        <v>110.6</v>
      </c>
      <c r="AA46" s="3">
        <v>112</v>
      </c>
      <c r="AB46" s="3">
        <v>109</v>
      </c>
      <c r="AC46" s="3">
        <v>111.3</v>
      </c>
      <c r="AD46" s="3">
        <v>114.2</v>
      </c>
    </row>
    <row r="47" spans="1:30" ht="15" customHeight="1" x14ac:dyDescent="0.2">
      <c r="A47" s="3" t="s">
        <v>84</v>
      </c>
      <c r="B47" s="3">
        <v>2014</v>
      </c>
      <c r="C47" s="3" t="s">
        <v>93</v>
      </c>
      <c r="D47" s="3">
        <v>120.2</v>
      </c>
      <c r="E47" s="3">
        <v>118.9</v>
      </c>
      <c r="F47" s="3">
        <v>118.1</v>
      </c>
      <c r="G47" s="3">
        <v>117</v>
      </c>
      <c r="H47" s="3">
        <v>109.7</v>
      </c>
      <c r="I47" s="3">
        <v>125.5</v>
      </c>
      <c r="J47" s="3">
        <v>120.5</v>
      </c>
      <c r="K47" s="3">
        <v>111</v>
      </c>
      <c r="L47" s="3">
        <v>102.6</v>
      </c>
      <c r="M47" s="3">
        <v>111.2</v>
      </c>
      <c r="N47" s="3">
        <v>113.5</v>
      </c>
      <c r="O47" s="3">
        <v>118.7</v>
      </c>
      <c r="P47" s="3">
        <v>117.2</v>
      </c>
      <c r="Q47" s="3">
        <v>115.4</v>
      </c>
      <c r="R47" s="3">
        <v>118.1</v>
      </c>
      <c r="S47" s="3">
        <v>116.1</v>
      </c>
      <c r="T47" s="3">
        <v>117.8</v>
      </c>
      <c r="V47" s="3">
        <v>113.4</v>
      </c>
      <c r="W47" s="3">
        <v>113.7</v>
      </c>
      <c r="X47" s="3">
        <v>111.8</v>
      </c>
      <c r="Y47" s="3">
        <v>111.2</v>
      </c>
      <c r="Z47" s="3">
        <v>110.5</v>
      </c>
      <c r="AA47" s="3">
        <v>113</v>
      </c>
      <c r="AB47" s="3">
        <v>108.9</v>
      </c>
      <c r="AC47" s="3">
        <v>111.5</v>
      </c>
      <c r="AD47" s="3">
        <v>115.4</v>
      </c>
    </row>
    <row r="48" spans="1:30" ht="15" customHeight="1" x14ac:dyDescent="0.2">
      <c r="A48" s="3" t="s">
        <v>87</v>
      </c>
      <c r="B48" s="3">
        <v>2014</v>
      </c>
      <c r="C48" s="3" t="s">
        <v>93</v>
      </c>
      <c r="D48" s="3">
        <v>122.5</v>
      </c>
      <c r="E48" s="3">
        <v>121.7</v>
      </c>
      <c r="F48" s="3">
        <v>113.3</v>
      </c>
      <c r="G48" s="3">
        <v>117</v>
      </c>
      <c r="H48" s="3">
        <v>103.1</v>
      </c>
      <c r="I48" s="3">
        <v>126.7</v>
      </c>
      <c r="J48" s="3">
        <v>121.2</v>
      </c>
      <c r="K48" s="3">
        <v>111</v>
      </c>
      <c r="L48" s="3">
        <v>100.3</v>
      </c>
      <c r="M48" s="3">
        <v>115.3</v>
      </c>
      <c r="N48" s="3">
        <v>112.7</v>
      </c>
      <c r="O48" s="3">
        <v>121</v>
      </c>
      <c r="P48" s="3">
        <v>118.2</v>
      </c>
      <c r="Q48" s="3">
        <v>117.6</v>
      </c>
      <c r="R48" s="3">
        <v>116.3</v>
      </c>
      <c r="S48" s="3">
        <v>112.5</v>
      </c>
      <c r="T48" s="3">
        <v>115.7</v>
      </c>
      <c r="U48" s="3" t="s">
        <v>115</v>
      </c>
      <c r="V48" s="3">
        <v>110.9</v>
      </c>
      <c r="W48" s="3">
        <v>113.4</v>
      </c>
      <c r="X48" s="3">
        <v>111</v>
      </c>
      <c r="Y48" s="3">
        <v>111.2</v>
      </c>
      <c r="Z48" s="3">
        <v>111.2</v>
      </c>
      <c r="AA48" s="3">
        <v>112.5</v>
      </c>
      <c r="AB48" s="3">
        <v>109.1</v>
      </c>
      <c r="AC48" s="3">
        <v>111.4</v>
      </c>
      <c r="AD48" s="3">
        <v>114.7</v>
      </c>
    </row>
    <row r="49" spans="1:30" ht="15" customHeight="1" x14ac:dyDescent="0.2">
      <c r="A49" s="3" t="s">
        <v>89</v>
      </c>
      <c r="B49" s="3">
        <v>2014</v>
      </c>
      <c r="C49" s="3" t="s">
        <v>93</v>
      </c>
      <c r="D49" s="3">
        <v>120.9</v>
      </c>
      <c r="E49" s="3">
        <v>119.9</v>
      </c>
      <c r="F49" s="3">
        <v>116.2</v>
      </c>
      <c r="G49" s="3">
        <v>117</v>
      </c>
      <c r="H49" s="3">
        <v>107.3</v>
      </c>
      <c r="I49" s="3">
        <v>126.1</v>
      </c>
      <c r="J49" s="3">
        <v>120.7</v>
      </c>
      <c r="K49" s="3">
        <v>111</v>
      </c>
      <c r="L49" s="3">
        <v>101.8</v>
      </c>
      <c r="M49" s="3">
        <v>112.6</v>
      </c>
      <c r="N49" s="3">
        <v>113.2</v>
      </c>
      <c r="O49" s="3">
        <v>119.8</v>
      </c>
      <c r="P49" s="3">
        <v>117.6</v>
      </c>
      <c r="Q49" s="3">
        <v>116</v>
      </c>
      <c r="R49" s="3">
        <v>117.4</v>
      </c>
      <c r="S49" s="3">
        <v>114.6</v>
      </c>
      <c r="T49" s="3">
        <v>117</v>
      </c>
      <c r="U49" s="3" t="s">
        <v>115</v>
      </c>
      <c r="V49" s="3">
        <v>112.5</v>
      </c>
      <c r="W49" s="3">
        <v>113.6</v>
      </c>
      <c r="X49" s="3">
        <v>111.5</v>
      </c>
      <c r="Y49" s="3">
        <v>111.2</v>
      </c>
      <c r="Z49" s="3">
        <v>110.9</v>
      </c>
      <c r="AA49" s="3">
        <v>112.7</v>
      </c>
      <c r="AB49" s="3">
        <v>109</v>
      </c>
      <c r="AC49" s="3">
        <v>111.5</v>
      </c>
      <c r="AD49" s="3">
        <v>115.1</v>
      </c>
    </row>
    <row r="50" spans="1:30" ht="15" customHeight="1" x14ac:dyDescent="0.2">
      <c r="A50" s="3" t="s">
        <v>84</v>
      </c>
      <c r="B50" s="3">
        <v>2014</v>
      </c>
      <c r="C50" s="3" t="s">
        <v>95</v>
      </c>
      <c r="D50" s="3">
        <v>120.3</v>
      </c>
      <c r="E50" s="3">
        <v>120.2</v>
      </c>
      <c r="F50" s="3">
        <v>116.9</v>
      </c>
      <c r="G50" s="3">
        <v>118</v>
      </c>
      <c r="H50" s="3">
        <v>110.1</v>
      </c>
      <c r="I50" s="3">
        <v>126.3</v>
      </c>
      <c r="J50" s="3">
        <v>123.9</v>
      </c>
      <c r="K50" s="3">
        <v>111.5</v>
      </c>
      <c r="L50" s="3">
        <v>103.5</v>
      </c>
      <c r="M50" s="3">
        <v>111.6</v>
      </c>
      <c r="N50" s="3">
        <v>114.2</v>
      </c>
      <c r="O50" s="3">
        <v>119.2</v>
      </c>
      <c r="P50" s="3">
        <v>118.2</v>
      </c>
      <c r="Q50" s="3">
        <v>116.3</v>
      </c>
      <c r="R50" s="3">
        <v>118.7</v>
      </c>
      <c r="S50" s="3">
        <v>116.8</v>
      </c>
      <c r="T50" s="3">
        <v>118.5</v>
      </c>
      <c r="V50" s="3">
        <v>113.4</v>
      </c>
      <c r="W50" s="3">
        <v>114.1</v>
      </c>
      <c r="X50" s="3">
        <v>112.1</v>
      </c>
      <c r="Y50" s="3">
        <v>111.4</v>
      </c>
      <c r="Z50" s="3">
        <v>110.9</v>
      </c>
      <c r="AA50" s="3">
        <v>113.1</v>
      </c>
      <c r="AB50" s="3">
        <v>108.9</v>
      </c>
      <c r="AC50" s="3">
        <v>111.8</v>
      </c>
      <c r="AD50" s="3">
        <v>116</v>
      </c>
    </row>
    <row r="51" spans="1:30" ht="15" customHeight="1" x14ac:dyDescent="0.2">
      <c r="A51" s="3" t="s">
        <v>87</v>
      </c>
      <c r="B51" s="3">
        <v>2014</v>
      </c>
      <c r="C51" s="3" t="s">
        <v>95</v>
      </c>
      <c r="D51" s="3">
        <v>122.7</v>
      </c>
      <c r="E51" s="3">
        <v>124.1</v>
      </c>
      <c r="F51" s="3">
        <v>114.2</v>
      </c>
      <c r="G51" s="3">
        <v>119.1</v>
      </c>
      <c r="H51" s="3">
        <v>103.5</v>
      </c>
      <c r="I51" s="3">
        <v>129.19999999999999</v>
      </c>
      <c r="J51" s="3">
        <v>127</v>
      </c>
      <c r="K51" s="3">
        <v>112.6</v>
      </c>
      <c r="L51" s="3">
        <v>101.3</v>
      </c>
      <c r="M51" s="3">
        <v>117</v>
      </c>
      <c r="N51" s="3">
        <v>112.9</v>
      </c>
      <c r="O51" s="3">
        <v>121.7</v>
      </c>
      <c r="P51" s="3">
        <v>120</v>
      </c>
      <c r="Q51" s="3">
        <v>118.3</v>
      </c>
      <c r="R51" s="3">
        <v>116.8</v>
      </c>
      <c r="S51" s="3">
        <v>112.9</v>
      </c>
      <c r="T51" s="3">
        <v>116.2</v>
      </c>
      <c r="U51" s="3" t="s">
        <v>116</v>
      </c>
      <c r="V51" s="3">
        <v>111.1</v>
      </c>
      <c r="W51" s="3">
        <v>114.1</v>
      </c>
      <c r="X51" s="3">
        <v>111.2</v>
      </c>
      <c r="Y51" s="3">
        <v>111.3</v>
      </c>
      <c r="Z51" s="3">
        <v>111.5</v>
      </c>
      <c r="AA51" s="3">
        <v>112.9</v>
      </c>
      <c r="AB51" s="3">
        <v>109.3</v>
      </c>
      <c r="AC51" s="3">
        <v>111.7</v>
      </c>
      <c r="AD51" s="3">
        <v>115.6</v>
      </c>
    </row>
    <row r="52" spans="1:30" ht="15" customHeight="1" x14ac:dyDescent="0.2">
      <c r="A52" s="3" t="s">
        <v>89</v>
      </c>
      <c r="B52" s="3">
        <v>2014</v>
      </c>
      <c r="C52" s="3" t="s">
        <v>95</v>
      </c>
      <c r="D52" s="3">
        <v>121.1</v>
      </c>
      <c r="E52" s="3">
        <v>121.6</v>
      </c>
      <c r="F52" s="3">
        <v>115.9</v>
      </c>
      <c r="G52" s="3">
        <v>118.4</v>
      </c>
      <c r="H52" s="3">
        <v>107.7</v>
      </c>
      <c r="I52" s="3">
        <v>127.7</v>
      </c>
      <c r="J52" s="3">
        <v>125</v>
      </c>
      <c r="K52" s="3">
        <v>111.9</v>
      </c>
      <c r="L52" s="3">
        <v>102.8</v>
      </c>
      <c r="M52" s="3">
        <v>113.4</v>
      </c>
      <c r="N52" s="3">
        <v>113.7</v>
      </c>
      <c r="O52" s="3">
        <v>120.4</v>
      </c>
      <c r="P52" s="3">
        <v>118.9</v>
      </c>
      <c r="Q52" s="3">
        <v>116.8</v>
      </c>
      <c r="R52" s="3">
        <v>118</v>
      </c>
      <c r="S52" s="3">
        <v>115.2</v>
      </c>
      <c r="T52" s="3">
        <v>117.6</v>
      </c>
      <c r="U52" s="3" t="s">
        <v>116</v>
      </c>
      <c r="V52" s="3">
        <v>112.5</v>
      </c>
      <c r="W52" s="3">
        <v>114.1</v>
      </c>
      <c r="X52" s="3">
        <v>111.8</v>
      </c>
      <c r="Y52" s="3">
        <v>111.3</v>
      </c>
      <c r="Z52" s="3">
        <v>111.2</v>
      </c>
      <c r="AA52" s="3">
        <v>113</v>
      </c>
      <c r="AB52" s="3">
        <v>109.1</v>
      </c>
      <c r="AC52" s="3">
        <v>111.8</v>
      </c>
      <c r="AD52" s="3">
        <v>115.8</v>
      </c>
    </row>
    <row r="53" spans="1:30" ht="15" customHeight="1" x14ac:dyDescent="0.2">
      <c r="A53" s="3" t="s">
        <v>84</v>
      </c>
      <c r="B53" s="3">
        <v>2014</v>
      </c>
      <c r="C53" s="3" t="s">
        <v>96</v>
      </c>
      <c r="D53" s="3">
        <v>120.7</v>
      </c>
      <c r="E53" s="3">
        <v>121.6</v>
      </c>
      <c r="F53" s="3">
        <v>116.1</v>
      </c>
      <c r="G53" s="3">
        <v>119.3</v>
      </c>
      <c r="H53" s="3">
        <v>110.3</v>
      </c>
      <c r="I53" s="3">
        <v>125.8</v>
      </c>
      <c r="J53" s="3">
        <v>129.30000000000001</v>
      </c>
      <c r="K53" s="3">
        <v>112.2</v>
      </c>
      <c r="L53" s="3">
        <v>103.6</v>
      </c>
      <c r="M53" s="3">
        <v>112.3</v>
      </c>
      <c r="N53" s="3">
        <v>114.9</v>
      </c>
      <c r="O53" s="3">
        <v>120.1</v>
      </c>
      <c r="P53" s="3">
        <v>119.5</v>
      </c>
      <c r="Q53" s="3">
        <v>117.3</v>
      </c>
      <c r="R53" s="3">
        <v>119.7</v>
      </c>
      <c r="S53" s="3">
        <v>117.3</v>
      </c>
      <c r="T53" s="3">
        <v>119.3</v>
      </c>
      <c r="V53" s="3">
        <v>114.4</v>
      </c>
      <c r="W53" s="3">
        <v>114.9</v>
      </c>
      <c r="X53" s="3">
        <v>112.8</v>
      </c>
      <c r="Y53" s="3">
        <v>112.2</v>
      </c>
      <c r="Z53" s="3">
        <v>111.4</v>
      </c>
      <c r="AA53" s="3">
        <v>114.3</v>
      </c>
      <c r="AB53" s="3">
        <v>108</v>
      </c>
      <c r="AC53" s="3">
        <v>112.3</v>
      </c>
      <c r="AD53" s="3">
        <v>117</v>
      </c>
    </row>
    <row r="54" spans="1:30" ht="15" customHeight="1" x14ac:dyDescent="0.2">
      <c r="A54" s="3" t="s">
        <v>87</v>
      </c>
      <c r="B54" s="3">
        <v>2014</v>
      </c>
      <c r="C54" s="3" t="s">
        <v>96</v>
      </c>
      <c r="D54" s="3">
        <v>123.1</v>
      </c>
      <c r="E54" s="3">
        <v>125.9</v>
      </c>
      <c r="F54" s="3">
        <v>115.4</v>
      </c>
      <c r="G54" s="3">
        <v>120.4</v>
      </c>
      <c r="H54" s="3">
        <v>103.4</v>
      </c>
      <c r="I54" s="3">
        <v>131.19999999999999</v>
      </c>
      <c r="J54" s="3">
        <v>137.5</v>
      </c>
      <c r="K54" s="3">
        <v>112.8</v>
      </c>
      <c r="L54" s="3">
        <v>101.4</v>
      </c>
      <c r="M54" s="3">
        <v>118.3</v>
      </c>
      <c r="N54" s="3">
        <v>113.2</v>
      </c>
      <c r="O54" s="3">
        <v>122.4</v>
      </c>
      <c r="P54" s="3">
        <v>122</v>
      </c>
      <c r="Q54" s="3">
        <v>119</v>
      </c>
      <c r="R54" s="3">
        <v>117.4</v>
      </c>
      <c r="S54" s="3">
        <v>113.2</v>
      </c>
      <c r="T54" s="3">
        <v>116.7</v>
      </c>
      <c r="U54" s="3" t="s">
        <v>115</v>
      </c>
      <c r="V54" s="3">
        <v>111.2</v>
      </c>
      <c r="W54" s="3">
        <v>114.3</v>
      </c>
      <c r="X54" s="3">
        <v>111.4</v>
      </c>
      <c r="Y54" s="3">
        <v>111.5</v>
      </c>
      <c r="Z54" s="3">
        <v>111.8</v>
      </c>
      <c r="AA54" s="3">
        <v>115.1</v>
      </c>
      <c r="AB54" s="3">
        <v>108.7</v>
      </c>
      <c r="AC54" s="3">
        <v>112.2</v>
      </c>
      <c r="AD54" s="3">
        <v>116.4</v>
      </c>
    </row>
    <row r="55" spans="1:30" ht="15" customHeight="1" x14ac:dyDescent="0.2">
      <c r="A55" s="3" t="s">
        <v>89</v>
      </c>
      <c r="B55" s="3">
        <v>2014</v>
      </c>
      <c r="C55" s="3" t="s">
        <v>96</v>
      </c>
      <c r="D55" s="3">
        <v>121.5</v>
      </c>
      <c r="E55" s="3">
        <v>123.1</v>
      </c>
      <c r="F55" s="3">
        <v>115.8</v>
      </c>
      <c r="G55" s="3">
        <v>119.7</v>
      </c>
      <c r="H55" s="3">
        <v>107.8</v>
      </c>
      <c r="I55" s="3">
        <v>128.30000000000001</v>
      </c>
      <c r="J55" s="3">
        <v>132.1</v>
      </c>
      <c r="K55" s="3">
        <v>112.4</v>
      </c>
      <c r="L55" s="3">
        <v>102.9</v>
      </c>
      <c r="M55" s="3">
        <v>114.3</v>
      </c>
      <c r="N55" s="3">
        <v>114.2</v>
      </c>
      <c r="O55" s="3">
        <v>121.2</v>
      </c>
      <c r="P55" s="3">
        <v>120.4</v>
      </c>
      <c r="Q55" s="3">
        <v>117.8</v>
      </c>
      <c r="R55" s="3">
        <v>118.8</v>
      </c>
      <c r="S55" s="3">
        <v>115.6</v>
      </c>
      <c r="T55" s="3">
        <v>118.3</v>
      </c>
      <c r="U55" s="3" t="s">
        <v>115</v>
      </c>
      <c r="V55" s="3">
        <v>113.2</v>
      </c>
      <c r="W55" s="3">
        <v>114.6</v>
      </c>
      <c r="X55" s="3">
        <v>112.3</v>
      </c>
      <c r="Y55" s="3">
        <v>111.8</v>
      </c>
      <c r="Z55" s="3">
        <v>111.6</v>
      </c>
      <c r="AA55" s="3">
        <v>114.8</v>
      </c>
      <c r="AB55" s="3">
        <v>108.3</v>
      </c>
      <c r="AC55" s="3">
        <v>112.3</v>
      </c>
      <c r="AD55" s="3">
        <v>116.7</v>
      </c>
    </row>
    <row r="56" spans="1:30" ht="15" customHeight="1" x14ac:dyDescent="0.2">
      <c r="A56" s="3" t="s">
        <v>84</v>
      </c>
      <c r="B56" s="3">
        <v>2014</v>
      </c>
      <c r="C56" s="3" t="s">
        <v>98</v>
      </c>
      <c r="D56" s="3">
        <v>121.7</v>
      </c>
      <c r="E56" s="3">
        <v>122.5</v>
      </c>
      <c r="F56" s="3">
        <v>117.7</v>
      </c>
      <c r="G56" s="3">
        <v>120.6</v>
      </c>
      <c r="H56" s="3">
        <v>110.4</v>
      </c>
      <c r="I56" s="3">
        <v>129.1</v>
      </c>
      <c r="J56" s="3">
        <v>150.1</v>
      </c>
      <c r="K56" s="3">
        <v>113.2</v>
      </c>
      <c r="L56" s="3">
        <v>104.8</v>
      </c>
      <c r="M56" s="3">
        <v>113.3</v>
      </c>
      <c r="N56" s="3">
        <v>115.6</v>
      </c>
      <c r="O56" s="3">
        <v>120.9</v>
      </c>
      <c r="P56" s="3">
        <v>123.3</v>
      </c>
      <c r="Q56" s="3">
        <v>118</v>
      </c>
      <c r="R56" s="3">
        <v>120.7</v>
      </c>
      <c r="S56" s="3">
        <v>118.3</v>
      </c>
      <c r="T56" s="3">
        <v>120.3</v>
      </c>
      <c r="V56" s="3">
        <v>115.3</v>
      </c>
      <c r="W56" s="3">
        <v>115.4</v>
      </c>
      <c r="X56" s="3">
        <v>113.4</v>
      </c>
      <c r="Y56" s="3">
        <v>113.2</v>
      </c>
      <c r="Z56" s="3">
        <v>111.8</v>
      </c>
      <c r="AA56" s="3">
        <v>115.5</v>
      </c>
      <c r="AB56" s="3">
        <v>108.8</v>
      </c>
      <c r="AC56" s="3">
        <v>113.1</v>
      </c>
      <c r="AD56" s="3">
        <v>119.5</v>
      </c>
    </row>
    <row r="57" spans="1:30" ht="15" customHeight="1" x14ac:dyDescent="0.2">
      <c r="A57" s="3" t="s">
        <v>87</v>
      </c>
      <c r="B57" s="3">
        <v>2014</v>
      </c>
      <c r="C57" s="3" t="s">
        <v>98</v>
      </c>
      <c r="D57" s="3">
        <v>123.8</v>
      </c>
      <c r="E57" s="3">
        <v>126.4</v>
      </c>
      <c r="F57" s="3">
        <v>118</v>
      </c>
      <c r="G57" s="3">
        <v>121.6</v>
      </c>
      <c r="H57" s="3">
        <v>103.5</v>
      </c>
      <c r="I57" s="3">
        <v>133.69999999999999</v>
      </c>
      <c r="J57" s="3">
        <v>172.4</v>
      </c>
      <c r="K57" s="3">
        <v>113.1</v>
      </c>
      <c r="L57" s="3">
        <v>102.7</v>
      </c>
      <c r="M57" s="3">
        <v>120</v>
      </c>
      <c r="N57" s="3">
        <v>113.8</v>
      </c>
      <c r="O57" s="3">
        <v>123.4</v>
      </c>
      <c r="P57" s="3">
        <v>127.1</v>
      </c>
      <c r="Q57" s="3">
        <v>121</v>
      </c>
      <c r="R57" s="3">
        <v>118</v>
      </c>
      <c r="S57" s="3">
        <v>113.6</v>
      </c>
      <c r="T57" s="3">
        <v>117.4</v>
      </c>
      <c r="U57" s="3" t="s">
        <v>117</v>
      </c>
      <c r="V57" s="3">
        <v>111.6</v>
      </c>
      <c r="W57" s="3">
        <v>114.9</v>
      </c>
      <c r="X57" s="3">
        <v>111.5</v>
      </c>
      <c r="Y57" s="3">
        <v>113</v>
      </c>
      <c r="Z57" s="3">
        <v>112.4</v>
      </c>
      <c r="AA57" s="3">
        <v>117.8</v>
      </c>
      <c r="AB57" s="3">
        <v>109.7</v>
      </c>
      <c r="AC57" s="3">
        <v>113.5</v>
      </c>
      <c r="AD57" s="3">
        <v>118.9</v>
      </c>
    </row>
    <row r="58" spans="1:30" ht="15" customHeight="1" x14ac:dyDescent="0.2">
      <c r="A58" s="3" t="s">
        <v>89</v>
      </c>
      <c r="B58" s="3">
        <v>2014</v>
      </c>
      <c r="C58" s="3" t="s">
        <v>98</v>
      </c>
      <c r="D58" s="3">
        <v>122.4</v>
      </c>
      <c r="E58" s="3">
        <v>123.9</v>
      </c>
      <c r="F58" s="3">
        <v>117.8</v>
      </c>
      <c r="G58" s="3">
        <v>121</v>
      </c>
      <c r="H58" s="3">
        <v>107.9</v>
      </c>
      <c r="I58" s="3">
        <v>131.19999999999999</v>
      </c>
      <c r="J58" s="3">
        <v>157.69999999999999</v>
      </c>
      <c r="K58" s="3">
        <v>113.2</v>
      </c>
      <c r="L58" s="3">
        <v>104.1</v>
      </c>
      <c r="M58" s="3">
        <v>115.5</v>
      </c>
      <c r="N58" s="3">
        <v>114.8</v>
      </c>
      <c r="O58" s="3">
        <v>122.1</v>
      </c>
      <c r="P58" s="3">
        <v>124.7</v>
      </c>
      <c r="Q58" s="3">
        <v>118.8</v>
      </c>
      <c r="R58" s="3">
        <v>119.6</v>
      </c>
      <c r="S58" s="3">
        <v>116.3</v>
      </c>
      <c r="T58" s="3">
        <v>119.1</v>
      </c>
      <c r="U58" s="3" t="s">
        <v>117</v>
      </c>
      <c r="V58" s="3">
        <v>113.9</v>
      </c>
      <c r="W58" s="3">
        <v>115.2</v>
      </c>
      <c r="X58" s="3">
        <v>112.7</v>
      </c>
      <c r="Y58" s="3">
        <v>113.1</v>
      </c>
      <c r="Z58" s="3">
        <v>112.1</v>
      </c>
      <c r="AA58" s="3">
        <v>116.8</v>
      </c>
      <c r="AB58" s="3">
        <v>109.2</v>
      </c>
      <c r="AC58" s="3">
        <v>113.3</v>
      </c>
      <c r="AD58" s="3">
        <v>119.2</v>
      </c>
    </row>
    <row r="59" spans="1:30" ht="15" customHeight="1" x14ac:dyDescent="0.2">
      <c r="A59" s="3" t="s">
        <v>84</v>
      </c>
      <c r="B59" s="3">
        <v>2014</v>
      </c>
      <c r="C59" s="3" t="s">
        <v>100</v>
      </c>
      <c r="D59" s="3">
        <v>121.8</v>
      </c>
      <c r="E59" s="3">
        <v>122.8</v>
      </c>
      <c r="F59" s="3">
        <v>117.8</v>
      </c>
      <c r="G59" s="3">
        <v>121.9</v>
      </c>
      <c r="H59" s="3">
        <v>110.6</v>
      </c>
      <c r="I59" s="3">
        <v>129.69999999999999</v>
      </c>
      <c r="J59" s="3">
        <v>161.1</v>
      </c>
      <c r="K59" s="3">
        <v>114.1</v>
      </c>
      <c r="L59" s="3">
        <v>105.1</v>
      </c>
      <c r="M59" s="3">
        <v>114.6</v>
      </c>
      <c r="N59" s="3">
        <v>115.8</v>
      </c>
      <c r="O59" s="3">
        <v>121.7</v>
      </c>
      <c r="P59" s="3">
        <v>125.3</v>
      </c>
      <c r="Q59" s="3">
        <v>118.8</v>
      </c>
      <c r="R59" s="3">
        <v>120.9</v>
      </c>
      <c r="S59" s="3">
        <v>118.8</v>
      </c>
      <c r="T59" s="3">
        <v>120.7</v>
      </c>
      <c r="V59" s="3">
        <v>115.4</v>
      </c>
      <c r="W59" s="3">
        <v>115.9</v>
      </c>
      <c r="X59" s="3">
        <v>114</v>
      </c>
      <c r="Y59" s="3">
        <v>113.2</v>
      </c>
      <c r="Z59" s="3">
        <v>112.2</v>
      </c>
      <c r="AA59" s="3">
        <v>116.2</v>
      </c>
      <c r="AB59" s="3">
        <v>109.4</v>
      </c>
      <c r="AC59" s="3">
        <v>113.5</v>
      </c>
      <c r="AD59" s="3">
        <v>120.7</v>
      </c>
    </row>
    <row r="60" spans="1:30" ht="15" customHeight="1" x14ac:dyDescent="0.2">
      <c r="A60" s="3" t="s">
        <v>87</v>
      </c>
      <c r="B60" s="3">
        <v>2014</v>
      </c>
      <c r="C60" s="3" t="s">
        <v>100</v>
      </c>
      <c r="D60" s="3">
        <v>124.8</v>
      </c>
      <c r="E60" s="3">
        <v>127.3</v>
      </c>
      <c r="F60" s="3">
        <v>116.5</v>
      </c>
      <c r="G60" s="3">
        <v>122.2</v>
      </c>
      <c r="H60" s="3">
        <v>103.6</v>
      </c>
      <c r="I60" s="3">
        <v>132.69999999999999</v>
      </c>
      <c r="J60" s="3">
        <v>181.9</v>
      </c>
      <c r="K60" s="3">
        <v>115.2</v>
      </c>
      <c r="L60" s="3">
        <v>102.7</v>
      </c>
      <c r="M60" s="3">
        <v>122.1</v>
      </c>
      <c r="N60" s="3">
        <v>114.4</v>
      </c>
      <c r="O60" s="3">
        <v>124.7</v>
      </c>
      <c r="P60" s="3">
        <v>128.9</v>
      </c>
      <c r="Q60" s="3">
        <v>123</v>
      </c>
      <c r="R60" s="3">
        <v>118.6</v>
      </c>
      <c r="S60" s="3">
        <v>114.1</v>
      </c>
      <c r="T60" s="3">
        <v>117.9</v>
      </c>
      <c r="U60" s="3" t="s">
        <v>118</v>
      </c>
      <c r="V60" s="3">
        <v>111.8</v>
      </c>
      <c r="W60" s="3">
        <v>115.3</v>
      </c>
      <c r="X60" s="3">
        <v>112.2</v>
      </c>
      <c r="Y60" s="3">
        <v>112.5</v>
      </c>
      <c r="Z60" s="3">
        <v>112.9</v>
      </c>
      <c r="AA60" s="3">
        <v>119.2</v>
      </c>
      <c r="AB60" s="3">
        <v>110.5</v>
      </c>
      <c r="AC60" s="3">
        <v>113.9</v>
      </c>
      <c r="AD60" s="3">
        <v>119.9</v>
      </c>
    </row>
    <row r="61" spans="1:30" ht="15" customHeight="1" x14ac:dyDescent="0.2">
      <c r="A61" s="3" t="s">
        <v>89</v>
      </c>
      <c r="B61" s="3">
        <v>2014</v>
      </c>
      <c r="C61" s="3" t="s">
        <v>100</v>
      </c>
      <c r="D61" s="3">
        <v>122.7</v>
      </c>
      <c r="E61" s="3">
        <v>124.4</v>
      </c>
      <c r="F61" s="3">
        <v>117.3</v>
      </c>
      <c r="G61" s="3">
        <v>122</v>
      </c>
      <c r="H61" s="3">
        <v>108</v>
      </c>
      <c r="I61" s="3">
        <v>131.1</v>
      </c>
      <c r="J61" s="3">
        <v>168.2</v>
      </c>
      <c r="K61" s="3">
        <v>114.5</v>
      </c>
      <c r="L61" s="3">
        <v>104.3</v>
      </c>
      <c r="M61" s="3">
        <v>117.1</v>
      </c>
      <c r="N61" s="3">
        <v>115.2</v>
      </c>
      <c r="O61" s="3">
        <v>123.1</v>
      </c>
      <c r="P61" s="3">
        <v>126.6</v>
      </c>
      <c r="Q61" s="3">
        <v>119.9</v>
      </c>
      <c r="R61" s="3">
        <v>120</v>
      </c>
      <c r="S61" s="3">
        <v>116.8</v>
      </c>
      <c r="T61" s="3">
        <v>119.6</v>
      </c>
      <c r="U61" s="3" t="s">
        <v>118</v>
      </c>
      <c r="V61" s="3">
        <v>114</v>
      </c>
      <c r="W61" s="3">
        <v>115.6</v>
      </c>
      <c r="X61" s="3">
        <v>113.3</v>
      </c>
      <c r="Y61" s="3">
        <v>112.8</v>
      </c>
      <c r="Z61" s="3">
        <v>112.6</v>
      </c>
      <c r="AA61" s="3">
        <v>118</v>
      </c>
      <c r="AB61" s="3">
        <v>109.9</v>
      </c>
      <c r="AC61" s="3">
        <v>113.7</v>
      </c>
      <c r="AD61" s="3">
        <v>120.3</v>
      </c>
    </row>
    <row r="62" spans="1:30" ht="15" customHeight="1" x14ac:dyDescent="0.2">
      <c r="A62" s="3" t="s">
        <v>84</v>
      </c>
      <c r="B62" s="3">
        <v>2014</v>
      </c>
      <c r="C62" s="3" t="s">
        <v>102</v>
      </c>
      <c r="D62" s="3">
        <v>122.3</v>
      </c>
      <c r="E62" s="3">
        <v>122.4</v>
      </c>
      <c r="F62" s="3">
        <v>117.8</v>
      </c>
      <c r="G62" s="3">
        <v>122.7</v>
      </c>
      <c r="H62" s="3">
        <v>110.4</v>
      </c>
      <c r="I62" s="3">
        <v>129.80000000000001</v>
      </c>
      <c r="J62" s="3">
        <v>158.80000000000001</v>
      </c>
      <c r="K62" s="3">
        <v>115</v>
      </c>
      <c r="L62" s="3">
        <v>104.7</v>
      </c>
      <c r="M62" s="3">
        <v>114.9</v>
      </c>
      <c r="N62" s="3">
        <v>116.5</v>
      </c>
      <c r="O62" s="3">
        <v>122.6</v>
      </c>
      <c r="P62" s="3">
        <v>125.3</v>
      </c>
      <c r="Q62" s="3">
        <v>119.5</v>
      </c>
      <c r="R62" s="3">
        <v>121.7</v>
      </c>
      <c r="S62" s="3">
        <v>119.2</v>
      </c>
      <c r="T62" s="3">
        <v>121.3</v>
      </c>
      <c r="V62" s="3">
        <v>115.8</v>
      </c>
      <c r="W62" s="3">
        <v>116.7</v>
      </c>
      <c r="X62" s="3">
        <v>114.5</v>
      </c>
      <c r="Y62" s="3">
        <v>112.8</v>
      </c>
      <c r="Z62" s="3">
        <v>112.6</v>
      </c>
      <c r="AA62" s="3">
        <v>116.6</v>
      </c>
      <c r="AB62" s="3">
        <v>109.1</v>
      </c>
      <c r="AC62" s="3">
        <v>113.7</v>
      </c>
      <c r="AD62" s="3">
        <v>120.9</v>
      </c>
    </row>
    <row r="63" spans="1:30" ht="15" customHeight="1" x14ac:dyDescent="0.2">
      <c r="A63" s="3" t="s">
        <v>87</v>
      </c>
      <c r="B63" s="3">
        <v>2014</v>
      </c>
      <c r="C63" s="3" t="s">
        <v>102</v>
      </c>
      <c r="D63" s="3">
        <v>124.2</v>
      </c>
      <c r="E63" s="3">
        <v>125.4</v>
      </c>
      <c r="F63" s="3">
        <v>116.4</v>
      </c>
      <c r="G63" s="3">
        <v>122.7</v>
      </c>
      <c r="H63" s="3">
        <v>103.5</v>
      </c>
      <c r="I63" s="3">
        <v>124.5</v>
      </c>
      <c r="J63" s="3">
        <v>168.6</v>
      </c>
      <c r="K63" s="3">
        <v>116.9</v>
      </c>
      <c r="L63" s="3">
        <v>101.9</v>
      </c>
      <c r="M63" s="3">
        <v>122.9</v>
      </c>
      <c r="N63" s="3">
        <v>114.8</v>
      </c>
      <c r="O63" s="3">
        <v>125.2</v>
      </c>
      <c r="P63" s="3">
        <v>126.7</v>
      </c>
      <c r="Q63" s="3">
        <v>124.3</v>
      </c>
      <c r="R63" s="3">
        <v>119.2</v>
      </c>
      <c r="S63" s="3">
        <v>114.5</v>
      </c>
      <c r="T63" s="3">
        <v>118.4</v>
      </c>
      <c r="U63" s="3" t="s">
        <v>119</v>
      </c>
      <c r="V63" s="3">
        <v>111.8</v>
      </c>
      <c r="W63" s="3">
        <v>115.5</v>
      </c>
      <c r="X63" s="3">
        <v>112.3</v>
      </c>
      <c r="Y63" s="3">
        <v>111.2</v>
      </c>
      <c r="Z63" s="3">
        <v>113.4</v>
      </c>
      <c r="AA63" s="3">
        <v>120</v>
      </c>
      <c r="AB63" s="3">
        <v>110</v>
      </c>
      <c r="AC63" s="3">
        <v>113.6</v>
      </c>
      <c r="AD63" s="3">
        <v>119.2</v>
      </c>
    </row>
    <row r="64" spans="1:30" ht="15" customHeight="1" x14ac:dyDescent="0.2">
      <c r="A64" s="3" t="s">
        <v>89</v>
      </c>
      <c r="B64" s="3">
        <v>2014</v>
      </c>
      <c r="C64" s="3" t="s">
        <v>102</v>
      </c>
      <c r="D64" s="3">
        <v>122.9</v>
      </c>
      <c r="E64" s="3">
        <v>123.5</v>
      </c>
      <c r="F64" s="3">
        <v>117.3</v>
      </c>
      <c r="G64" s="3">
        <v>122.7</v>
      </c>
      <c r="H64" s="3">
        <v>107.9</v>
      </c>
      <c r="I64" s="3">
        <v>127.3</v>
      </c>
      <c r="J64" s="3">
        <v>162.1</v>
      </c>
      <c r="K64" s="3">
        <v>115.6</v>
      </c>
      <c r="L64" s="3">
        <v>103.8</v>
      </c>
      <c r="M64" s="3">
        <v>117.6</v>
      </c>
      <c r="N64" s="3">
        <v>115.8</v>
      </c>
      <c r="O64" s="3">
        <v>123.8</v>
      </c>
      <c r="P64" s="3">
        <v>125.8</v>
      </c>
      <c r="Q64" s="3">
        <v>120.8</v>
      </c>
      <c r="R64" s="3">
        <v>120.7</v>
      </c>
      <c r="S64" s="3">
        <v>117.2</v>
      </c>
      <c r="T64" s="3">
        <v>120.1</v>
      </c>
      <c r="U64" s="3" t="s">
        <v>119</v>
      </c>
      <c r="V64" s="3">
        <v>114.3</v>
      </c>
      <c r="W64" s="3">
        <v>116.1</v>
      </c>
      <c r="X64" s="3">
        <v>113.7</v>
      </c>
      <c r="Y64" s="3">
        <v>112</v>
      </c>
      <c r="Z64" s="3">
        <v>113.1</v>
      </c>
      <c r="AA64" s="3">
        <v>118.6</v>
      </c>
      <c r="AB64" s="3">
        <v>109.5</v>
      </c>
      <c r="AC64" s="3">
        <v>113.7</v>
      </c>
      <c r="AD64" s="3">
        <v>120.1</v>
      </c>
    </row>
    <row r="65" spans="1:30" ht="15" customHeight="1" x14ac:dyDescent="0.2">
      <c r="A65" s="3" t="s">
        <v>84</v>
      </c>
      <c r="B65" s="3">
        <v>2014</v>
      </c>
      <c r="C65" s="3" t="s">
        <v>104</v>
      </c>
      <c r="D65" s="3">
        <v>122.6</v>
      </c>
      <c r="E65" s="3">
        <v>122.5</v>
      </c>
      <c r="F65" s="3">
        <v>118.3</v>
      </c>
      <c r="G65" s="3">
        <v>123.2</v>
      </c>
      <c r="H65" s="3">
        <v>110.5</v>
      </c>
      <c r="I65" s="3">
        <v>128.9</v>
      </c>
      <c r="J65" s="3">
        <v>155.30000000000001</v>
      </c>
      <c r="K65" s="3">
        <v>115.5</v>
      </c>
      <c r="L65" s="3">
        <v>104</v>
      </c>
      <c r="M65" s="3">
        <v>115.3</v>
      </c>
      <c r="N65" s="3">
        <v>116.8</v>
      </c>
      <c r="O65" s="3">
        <v>123.2</v>
      </c>
      <c r="P65" s="3">
        <v>125.1</v>
      </c>
      <c r="Q65" s="3">
        <v>120</v>
      </c>
      <c r="R65" s="3">
        <v>122.7</v>
      </c>
      <c r="S65" s="3">
        <v>120.3</v>
      </c>
      <c r="T65" s="3">
        <v>122.3</v>
      </c>
      <c r="V65" s="3">
        <v>116.4</v>
      </c>
      <c r="W65" s="3">
        <v>117.5</v>
      </c>
      <c r="X65" s="3">
        <v>115.3</v>
      </c>
      <c r="Y65" s="3">
        <v>112.6</v>
      </c>
      <c r="Z65" s="3">
        <v>113</v>
      </c>
      <c r="AA65" s="3">
        <v>116.9</v>
      </c>
      <c r="AB65" s="3">
        <v>109.3</v>
      </c>
      <c r="AC65" s="3">
        <v>114</v>
      </c>
      <c r="AD65" s="3">
        <v>121</v>
      </c>
    </row>
    <row r="66" spans="1:30" ht="15" customHeight="1" x14ac:dyDescent="0.2">
      <c r="A66" s="3" t="s">
        <v>87</v>
      </c>
      <c r="B66" s="3">
        <v>2014</v>
      </c>
      <c r="C66" s="3" t="s">
        <v>104</v>
      </c>
      <c r="D66" s="3">
        <v>124.6</v>
      </c>
      <c r="E66" s="3">
        <v>126.1</v>
      </c>
      <c r="F66" s="3">
        <v>117.8</v>
      </c>
      <c r="G66" s="3">
        <v>123.1</v>
      </c>
      <c r="H66" s="3">
        <v>103.5</v>
      </c>
      <c r="I66" s="3">
        <v>123.5</v>
      </c>
      <c r="J66" s="3">
        <v>159.6</v>
      </c>
      <c r="K66" s="3">
        <v>117.4</v>
      </c>
      <c r="L66" s="3">
        <v>101.2</v>
      </c>
      <c r="M66" s="3">
        <v>123.8</v>
      </c>
      <c r="N66" s="3">
        <v>115.2</v>
      </c>
      <c r="O66" s="3">
        <v>125.9</v>
      </c>
      <c r="P66" s="3">
        <v>125.8</v>
      </c>
      <c r="Q66" s="3">
        <v>124.3</v>
      </c>
      <c r="R66" s="3">
        <v>119.6</v>
      </c>
      <c r="S66" s="3">
        <v>114.9</v>
      </c>
      <c r="T66" s="3">
        <v>118.9</v>
      </c>
      <c r="U66" s="3" t="s">
        <v>120</v>
      </c>
      <c r="V66" s="3">
        <v>112</v>
      </c>
      <c r="W66" s="3">
        <v>115.8</v>
      </c>
      <c r="X66" s="3">
        <v>112.6</v>
      </c>
      <c r="Y66" s="3">
        <v>111</v>
      </c>
      <c r="Z66" s="3">
        <v>113.6</v>
      </c>
      <c r="AA66" s="3">
        <v>120.2</v>
      </c>
      <c r="AB66" s="3">
        <v>110.1</v>
      </c>
      <c r="AC66" s="3">
        <v>113.7</v>
      </c>
      <c r="AD66" s="3">
        <v>119.1</v>
      </c>
    </row>
    <row r="67" spans="1:30" ht="15" customHeight="1" x14ac:dyDescent="0.2">
      <c r="A67" s="3" t="s">
        <v>89</v>
      </c>
      <c r="B67" s="3">
        <v>2014</v>
      </c>
      <c r="C67" s="3" t="s">
        <v>104</v>
      </c>
      <c r="D67" s="3">
        <v>123.2</v>
      </c>
      <c r="E67" s="3">
        <v>123.8</v>
      </c>
      <c r="F67" s="3">
        <v>118.1</v>
      </c>
      <c r="G67" s="3">
        <v>123.2</v>
      </c>
      <c r="H67" s="3">
        <v>107.9</v>
      </c>
      <c r="I67" s="3">
        <v>126.4</v>
      </c>
      <c r="J67" s="3">
        <v>156.80000000000001</v>
      </c>
      <c r="K67" s="3">
        <v>116.1</v>
      </c>
      <c r="L67" s="3">
        <v>103.1</v>
      </c>
      <c r="M67" s="3">
        <v>118.1</v>
      </c>
      <c r="N67" s="3">
        <v>116.1</v>
      </c>
      <c r="O67" s="3">
        <v>124.5</v>
      </c>
      <c r="P67" s="3">
        <v>125.4</v>
      </c>
      <c r="Q67" s="3">
        <v>121.1</v>
      </c>
      <c r="R67" s="3">
        <v>121.5</v>
      </c>
      <c r="S67" s="3">
        <v>118.1</v>
      </c>
      <c r="T67" s="3">
        <v>121</v>
      </c>
      <c r="U67" s="3" t="s">
        <v>120</v>
      </c>
      <c r="V67" s="3">
        <v>114.7</v>
      </c>
      <c r="W67" s="3">
        <v>116.7</v>
      </c>
      <c r="X67" s="3">
        <v>114.3</v>
      </c>
      <c r="Y67" s="3">
        <v>111.8</v>
      </c>
      <c r="Z67" s="3">
        <v>113.3</v>
      </c>
      <c r="AA67" s="3">
        <v>118.8</v>
      </c>
      <c r="AB67" s="3">
        <v>109.6</v>
      </c>
      <c r="AC67" s="3">
        <v>113.9</v>
      </c>
      <c r="AD67" s="3">
        <v>120.1</v>
      </c>
    </row>
    <row r="68" spans="1:30" ht="15" customHeight="1" x14ac:dyDescent="0.2">
      <c r="A68" s="3" t="s">
        <v>84</v>
      </c>
      <c r="B68" s="3">
        <v>2014</v>
      </c>
      <c r="C68" s="3" t="s">
        <v>107</v>
      </c>
      <c r="D68" s="3">
        <v>122.7</v>
      </c>
      <c r="E68" s="3">
        <v>122.6</v>
      </c>
      <c r="F68" s="3">
        <v>119.9</v>
      </c>
      <c r="G68" s="3">
        <v>124</v>
      </c>
      <c r="H68" s="3">
        <v>110.5</v>
      </c>
      <c r="I68" s="3">
        <v>128.80000000000001</v>
      </c>
      <c r="J68" s="3">
        <v>152</v>
      </c>
      <c r="K68" s="3">
        <v>116.2</v>
      </c>
      <c r="L68" s="3">
        <v>103.3</v>
      </c>
      <c r="M68" s="3">
        <v>115.8</v>
      </c>
      <c r="N68" s="3">
        <v>116.8</v>
      </c>
      <c r="O68" s="3">
        <v>124.5</v>
      </c>
      <c r="P68" s="3">
        <v>124.9</v>
      </c>
      <c r="Q68" s="3">
        <v>120.8</v>
      </c>
      <c r="R68" s="3">
        <v>123.3</v>
      </c>
      <c r="S68" s="3">
        <v>120.5</v>
      </c>
      <c r="T68" s="3">
        <v>122.9</v>
      </c>
      <c r="V68" s="3">
        <v>117.3</v>
      </c>
      <c r="W68" s="3">
        <v>118.1</v>
      </c>
      <c r="X68" s="3">
        <v>115.9</v>
      </c>
      <c r="Y68" s="3">
        <v>112</v>
      </c>
      <c r="Z68" s="3">
        <v>113.3</v>
      </c>
      <c r="AA68" s="3">
        <v>117.2</v>
      </c>
      <c r="AB68" s="3">
        <v>108.8</v>
      </c>
      <c r="AC68" s="3">
        <v>114.1</v>
      </c>
      <c r="AD68" s="3">
        <v>121.1</v>
      </c>
    </row>
    <row r="69" spans="1:30" ht="15" customHeight="1" x14ac:dyDescent="0.2">
      <c r="A69" s="3" t="s">
        <v>87</v>
      </c>
      <c r="B69" s="3">
        <v>2014</v>
      </c>
      <c r="C69" s="3" t="s">
        <v>107</v>
      </c>
      <c r="D69" s="3">
        <v>124.5</v>
      </c>
      <c r="E69" s="3">
        <v>125.6</v>
      </c>
      <c r="F69" s="3">
        <v>122.7</v>
      </c>
      <c r="G69" s="3">
        <v>124.6</v>
      </c>
      <c r="H69" s="3">
        <v>103.2</v>
      </c>
      <c r="I69" s="3">
        <v>122.2</v>
      </c>
      <c r="J69" s="3">
        <v>153.19999999999999</v>
      </c>
      <c r="K69" s="3">
        <v>119.3</v>
      </c>
      <c r="L69" s="3">
        <v>99.8</v>
      </c>
      <c r="M69" s="3">
        <v>124.6</v>
      </c>
      <c r="N69" s="3">
        <v>115.8</v>
      </c>
      <c r="O69" s="3">
        <v>126.9</v>
      </c>
      <c r="P69" s="3">
        <v>125.4</v>
      </c>
      <c r="Q69" s="3">
        <v>125.8</v>
      </c>
      <c r="R69" s="3">
        <v>120.3</v>
      </c>
      <c r="S69" s="3">
        <v>115.4</v>
      </c>
      <c r="T69" s="3">
        <v>119.5</v>
      </c>
      <c r="U69" s="3" t="s">
        <v>121</v>
      </c>
      <c r="V69" s="3">
        <v>112.6</v>
      </c>
      <c r="W69" s="3">
        <v>116.4</v>
      </c>
      <c r="X69" s="3">
        <v>113</v>
      </c>
      <c r="Y69" s="3">
        <v>109.7</v>
      </c>
      <c r="Z69" s="3">
        <v>114</v>
      </c>
      <c r="AA69" s="3">
        <v>120.3</v>
      </c>
      <c r="AB69" s="3">
        <v>109.6</v>
      </c>
      <c r="AC69" s="3">
        <v>113.4</v>
      </c>
      <c r="AD69" s="3">
        <v>119</v>
      </c>
    </row>
    <row r="70" spans="1:30" ht="15" customHeight="1" x14ac:dyDescent="0.2">
      <c r="A70" s="3" t="s">
        <v>89</v>
      </c>
      <c r="B70" s="3">
        <v>2014</v>
      </c>
      <c r="C70" s="3" t="s">
        <v>107</v>
      </c>
      <c r="D70" s="3">
        <v>123.3</v>
      </c>
      <c r="E70" s="3">
        <v>123.7</v>
      </c>
      <c r="F70" s="3">
        <v>121</v>
      </c>
      <c r="G70" s="3">
        <v>124.2</v>
      </c>
      <c r="H70" s="3">
        <v>107.8</v>
      </c>
      <c r="I70" s="3">
        <v>125.7</v>
      </c>
      <c r="J70" s="3">
        <v>152.4</v>
      </c>
      <c r="K70" s="3">
        <v>117.2</v>
      </c>
      <c r="L70" s="3">
        <v>102.1</v>
      </c>
      <c r="M70" s="3">
        <v>118.7</v>
      </c>
      <c r="N70" s="3">
        <v>116.4</v>
      </c>
      <c r="O70" s="3">
        <v>125.6</v>
      </c>
      <c r="P70" s="3">
        <v>125.1</v>
      </c>
      <c r="Q70" s="3">
        <v>122.1</v>
      </c>
      <c r="R70" s="3">
        <v>122.1</v>
      </c>
      <c r="S70" s="3">
        <v>118.4</v>
      </c>
      <c r="T70" s="3">
        <v>121.6</v>
      </c>
      <c r="U70" s="3" t="s">
        <v>121</v>
      </c>
      <c r="V70" s="3">
        <v>115.5</v>
      </c>
      <c r="W70" s="3">
        <v>117.3</v>
      </c>
      <c r="X70" s="3">
        <v>114.8</v>
      </c>
      <c r="Y70" s="3">
        <v>110.8</v>
      </c>
      <c r="Z70" s="3">
        <v>113.7</v>
      </c>
      <c r="AA70" s="3">
        <v>119</v>
      </c>
      <c r="AB70" s="3">
        <v>109.1</v>
      </c>
      <c r="AC70" s="3">
        <v>113.8</v>
      </c>
      <c r="AD70" s="3">
        <v>120.1</v>
      </c>
    </row>
    <row r="71" spans="1:30" ht="15" customHeight="1" x14ac:dyDescent="0.2">
      <c r="A71" s="3" t="s">
        <v>84</v>
      </c>
      <c r="B71" s="3">
        <v>2014</v>
      </c>
      <c r="C71" s="3" t="s">
        <v>109</v>
      </c>
      <c r="D71" s="3">
        <v>122.4</v>
      </c>
      <c r="E71" s="3">
        <v>122.4</v>
      </c>
      <c r="F71" s="3">
        <v>121.8</v>
      </c>
      <c r="G71" s="3">
        <v>124.2</v>
      </c>
      <c r="H71" s="3">
        <v>110.2</v>
      </c>
      <c r="I71" s="3">
        <v>128.6</v>
      </c>
      <c r="J71" s="3">
        <v>140.30000000000001</v>
      </c>
      <c r="K71" s="3">
        <v>116.3</v>
      </c>
      <c r="L71" s="3">
        <v>102</v>
      </c>
      <c r="M71" s="3">
        <v>116</v>
      </c>
      <c r="N71" s="3">
        <v>117.3</v>
      </c>
      <c r="O71" s="3">
        <v>124.8</v>
      </c>
      <c r="P71" s="3">
        <v>123.3</v>
      </c>
      <c r="Q71" s="3">
        <v>121.7</v>
      </c>
      <c r="R71" s="3">
        <v>123.8</v>
      </c>
      <c r="S71" s="3">
        <v>120.6</v>
      </c>
      <c r="T71" s="3">
        <v>123.3</v>
      </c>
      <c r="V71" s="3">
        <v>117.4</v>
      </c>
      <c r="W71" s="3">
        <v>118.2</v>
      </c>
      <c r="X71" s="3">
        <v>116.2</v>
      </c>
      <c r="Y71" s="3">
        <v>111.5</v>
      </c>
      <c r="Z71" s="3">
        <v>113.3</v>
      </c>
      <c r="AA71" s="3">
        <v>117.7</v>
      </c>
      <c r="AB71" s="3">
        <v>109.4</v>
      </c>
      <c r="AC71" s="3">
        <v>114.2</v>
      </c>
      <c r="AD71" s="3">
        <v>120.3</v>
      </c>
    </row>
    <row r="72" spans="1:30" ht="15" customHeight="1" x14ac:dyDescent="0.2">
      <c r="A72" s="3" t="s">
        <v>87</v>
      </c>
      <c r="B72" s="3">
        <v>2014</v>
      </c>
      <c r="C72" s="3" t="s">
        <v>109</v>
      </c>
      <c r="D72" s="3">
        <v>124</v>
      </c>
      <c r="E72" s="3">
        <v>124.7</v>
      </c>
      <c r="F72" s="3">
        <v>126.3</v>
      </c>
      <c r="G72" s="3">
        <v>124.9</v>
      </c>
      <c r="H72" s="3">
        <v>103</v>
      </c>
      <c r="I72" s="3">
        <v>122.3</v>
      </c>
      <c r="J72" s="3">
        <v>141</v>
      </c>
      <c r="K72" s="3">
        <v>120.1</v>
      </c>
      <c r="L72" s="3">
        <v>97.8</v>
      </c>
      <c r="M72" s="3">
        <v>125.4</v>
      </c>
      <c r="N72" s="3">
        <v>116.1</v>
      </c>
      <c r="O72" s="3">
        <v>127.6</v>
      </c>
      <c r="P72" s="3">
        <v>124</v>
      </c>
      <c r="Q72" s="3">
        <v>126.4</v>
      </c>
      <c r="R72" s="3">
        <v>120.7</v>
      </c>
      <c r="S72" s="3">
        <v>115.8</v>
      </c>
      <c r="T72" s="3">
        <v>120</v>
      </c>
      <c r="U72" s="3" t="s">
        <v>122</v>
      </c>
      <c r="V72" s="3">
        <v>113</v>
      </c>
      <c r="W72" s="3">
        <v>116.8</v>
      </c>
      <c r="X72" s="3">
        <v>113.2</v>
      </c>
      <c r="Y72" s="3">
        <v>108.8</v>
      </c>
      <c r="Z72" s="3">
        <v>114.3</v>
      </c>
      <c r="AA72" s="3">
        <v>120.7</v>
      </c>
      <c r="AB72" s="3">
        <v>110.4</v>
      </c>
      <c r="AC72" s="3">
        <v>113.4</v>
      </c>
      <c r="AD72" s="3">
        <v>118.4</v>
      </c>
    </row>
    <row r="73" spans="1:30" ht="15" customHeight="1" x14ac:dyDescent="0.2">
      <c r="A73" s="3" t="s">
        <v>89</v>
      </c>
      <c r="B73" s="3">
        <v>2014</v>
      </c>
      <c r="C73" s="3" t="s">
        <v>109</v>
      </c>
      <c r="D73" s="3">
        <v>122.9</v>
      </c>
      <c r="E73" s="3">
        <v>123.2</v>
      </c>
      <c r="F73" s="3">
        <v>123.5</v>
      </c>
      <c r="G73" s="3">
        <v>124.5</v>
      </c>
      <c r="H73" s="3">
        <v>107.6</v>
      </c>
      <c r="I73" s="3">
        <v>125.7</v>
      </c>
      <c r="J73" s="3">
        <v>140.5</v>
      </c>
      <c r="K73" s="3">
        <v>117.6</v>
      </c>
      <c r="L73" s="3">
        <v>100.6</v>
      </c>
      <c r="M73" s="3">
        <v>119.1</v>
      </c>
      <c r="N73" s="3">
        <v>116.8</v>
      </c>
      <c r="O73" s="3">
        <v>126.1</v>
      </c>
      <c r="P73" s="3">
        <v>123.6</v>
      </c>
      <c r="Q73" s="3">
        <v>123</v>
      </c>
      <c r="R73" s="3">
        <v>122.6</v>
      </c>
      <c r="S73" s="3">
        <v>118.6</v>
      </c>
      <c r="T73" s="3">
        <v>122</v>
      </c>
      <c r="U73" s="3" t="s">
        <v>122</v>
      </c>
      <c r="V73" s="3">
        <v>115.7</v>
      </c>
      <c r="W73" s="3">
        <v>117.5</v>
      </c>
      <c r="X73" s="3">
        <v>115.1</v>
      </c>
      <c r="Y73" s="3">
        <v>110.1</v>
      </c>
      <c r="Z73" s="3">
        <v>113.9</v>
      </c>
      <c r="AA73" s="3">
        <v>119.5</v>
      </c>
      <c r="AB73" s="3">
        <v>109.8</v>
      </c>
      <c r="AC73" s="3">
        <v>113.8</v>
      </c>
      <c r="AD73" s="3">
        <v>119.4</v>
      </c>
    </row>
    <row r="74" spans="1:30" ht="15" customHeight="1" x14ac:dyDescent="0.2">
      <c r="A74" s="3" t="s">
        <v>84</v>
      </c>
      <c r="B74" s="3">
        <v>2015</v>
      </c>
      <c r="C74" s="3" t="s">
        <v>85</v>
      </c>
      <c r="D74" s="3">
        <v>123.1</v>
      </c>
      <c r="E74" s="3">
        <v>123.1</v>
      </c>
      <c r="F74" s="3">
        <v>122.1</v>
      </c>
      <c r="G74" s="3">
        <v>124.9</v>
      </c>
      <c r="H74" s="3">
        <v>111</v>
      </c>
      <c r="I74" s="3">
        <v>130.4</v>
      </c>
      <c r="J74" s="3">
        <v>132.30000000000001</v>
      </c>
      <c r="K74" s="3">
        <v>117.2</v>
      </c>
      <c r="L74" s="3">
        <v>100.5</v>
      </c>
      <c r="M74" s="3">
        <v>117.2</v>
      </c>
      <c r="N74" s="3">
        <v>117.9</v>
      </c>
      <c r="O74" s="3">
        <v>125.6</v>
      </c>
      <c r="P74" s="3">
        <v>122.8</v>
      </c>
      <c r="Q74" s="3">
        <v>122.7</v>
      </c>
      <c r="R74" s="3">
        <v>124.4</v>
      </c>
      <c r="S74" s="3">
        <v>121.6</v>
      </c>
      <c r="T74" s="3">
        <v>124</v>
      </c>
      <c r="V74" s="3">
        <v>118.4</v>
      </c>
      <c r="W74" s="3">
        <v>118.9</v>
      </c>
      <c r="X74" s="3">
        <v>116.6</v>
      </c>
      <c r="Y74" s="3">
        <v>111</v>
      </c>
      <c r="Z74" s="3">
        <v>114</v>
      </c>
      <c r="AA74" s="3">
        <v>118.2</v>
      </c>
      <c r="AB74" s="3">
        <v>110.2</v>
      </c>
      <c r="AC74" s="3">
        <v>114.5</v>
      </c>
      <c r="AD74" s="3">
        <v>120.3</v>
      </c>
    </row>
    <row r="75" spans="1:30" ht="15" customHeight="1" x14ac:dyDescent="0.2">
      <c r="A75" s="3" t="s">
        <v>87</v>
      </c>
      <c r="B75" s="3">
        <v>2015</v>
      </c>
      <c r="C75" s="3" t="s">
        <v>85</v>
      </c>
      <c r="D75" s="3">
        <v>124</v>
      </c>
      <c r="E75" s="3">
        <v>125.5</v>
      </c>
      <c r="F75" s="3">
        <v>126.6</v>
      </c>
      <c r="G75" s="3">
        <v>125.2</v>
      </c>
      <c r="H75" s="3">
        <v>104.3</v>
      </c>
      <c r="I75" s="3">
        <v>121.3</v>
      </c>
      <c r="J75" s="3">
        <v>134.4</v>
      </c>
      <c r="K75" s="3">
        <v>122.9</v>
      </c>
      <c r="L75" s="3">
        <v>96.1</v>
      </c>
      <c r="M75" s="3">
        <v>126.6</v>
      </c>
      <c r="N75" s="3">
        <v>116.5</v>
      </c>
      <c r="O75" s="3">
        <v>128</v>
      </c>
      <c r="P75" s="3">
        <v>123.5</v>
      </c>
      <c r="Q75" s="3">
        <v>127.4</v>
      </c>
      <c r="R75" s="3">
        <v>121</v>
      </c>
      <c r="S75" s="3">
        <v>116.1</v>
      </c>
      <c r="T75" s="3">
        <v>120.2</v>
      </c>
      <c r="U75" s="3" t="s">
        <v>123</v>
      </c>
      <c r="V75" s="3">
        <v>113.4</v>
      </c>
      <c r="W75" s="3">
        <v>117.2</v>
      </c>
      <c r="X75" s="3">
        <v>113.7</v>
      </c>
      <c r="Y75" s="3">
        <v>107.9</v>
      </c>
      <c r="Z75" s="3">
        <v>114.6</v>
      </c>
      <c r="AA75" s="3">
        <v>120.8</v>
      </c>
      <c r="AB75" s="3">
        <v>111.4</v>
      </c>
      <c r="AC75" s="3">
        <v>113.4</v>
      </c>
      <c r="AD75" s="3">
        <v>118.5</v>
      </c>
    </row>
    <row r="76" spans="1:30" ht="15" customHeight="1" x14ac:dyDescent="0.2">
      <c r="A76" s="3" t="s">
        <v>89</v>
      </c>
      <c r="B76" s="3">
        <v>2015</v>
      </c>
      <c r="C76" s="3" t="s">
        <v>85</v>
      </c>
      <c r="D76" s="3">
        <v>123.4</v>
      </c>
      <c r="E76" s="3">
        <v>123.9</v>
      </c>
      <c r="F76" s="3">
        <v>123.8</v>
      </c>
      <c r="G76" s="3">
        <v>125</v>
      </c>
      <c r="H76" s="3">
        <v>108.5</v>
      </c>
      <c r="I76" s="3">
        <v>126.2</v>
      </c>
      <c r="J76" s="3">
        <v>133</v>
      </c>
      <c r="K76" s="3">
        <v>119.1</v>
      </c>
      <c r="L76" s="3">
        <v>99</v>
      </c>
      <c r="M76" s="3">
        <v>120.3</v>
      </c>
      <c r="N76" s="3">
        <v>117.3</v>
      </c>
      <c r="O76" s="3">
        <v>126.7</v>
      </c>
      <c r="P76" s="3">
        <v>123.1</v>
      </c>
      <c r="Q76" s="3">
        <v>124</v>
      </c>
      <c r="R76" s="3">
        <v>123.1</v>
      </c>
      <c r="S76" s="3">
        <v>119.3</v>
      </c>
      <c r="T76" s="3">
        <v>122.5</v>
      </c>
      <c r="U76" s="3" t="s">
        <v>123</v>
      </c>
      <c r="V76" s="3">
        <v>116.5</v>
      </c>
      <c r="W76" s="3">
        <v>118.1</v>
      </c>
      <c r="X76" s="3">
        <v>115.5</v>
      </c>
      <c r="Y76" s="3">
        <v>109.4</v>
      </c>
      <c r="Z76" s="3">
        <v>114.3</v>
      </c>
      <c r="AA76" s="3">
        <v>119.7</v>
      </c>
      <c r="AB76" s="3">
        <v>110.7</v>
      </c>
      <c r="AC76" s="3">
        <v>114</v>
      </c>
      <c r="AD76" s="3">
        <v>119.5</v>
      </c>
    </row>
    <row r="77" spans="1:30" ht="15" customHeight="1" x14ac:dyDescent="0.2">
      <c r="A77" s="3" t="s">
        <v>84</v>
      </c>
      <c r="B77" s="3">
        <v>2015</v>
      </c>
      <c r="C77" s="3" t="s">
        <v>90</v>
      </c>
      <c r="D77" s="3">
        <v>123.4</v>
      </c>
      <c r="E77" s="3">
        <v>124.4</v>
      </c>
      <c r="F77" s="3">
        <v>122.1</v>
      </c>
      <c r="G77" s="3">
        <v>125.8</v>
      </c>
      <c r="H77" s="3">
        <v>111.5</v>
      </c>
      <c r="I77" s="3">
        <v>129.4</v>
      </c>
      <c r="J77" s="3">
        <v>128.19999999999999</v>
      </c>
      <c r="K77" s="3">
        <v>118.8</v>
      </c>
      <c r="L77" s="3">
        <v>100</v>
      </c>
      <c r="M77" s="3">
        <v>118.6</v>
      </c>
      <c r="N77" s="3">
        <v>118.8</v>
      </c>
      <c r="O77" s="3">
        <v>126.8</v>
      </c>
      <c r="P77" s="3">
        <v>122.8</v>
      </c>
      <c r="Q77" s="3">
        <v>124.2</v>
      </c>
      <c r="R77" s="3">
        <v>125.4</v>
      </c>
      <c r="S77" s="3">
        <v>122.7</v>
      </c>
      <c r="T77" s="3">
        <v>125</v>
      </c>
      <c r="V77" s="3">
        <v>120</v>
      </c>
      <c r="W77" s="3">
        <v>119.6</v>
      </c>
      <c r="X77" s="3">
        <v>117.7</v>
      </c>
      <c r="Y77" s="3">
        <v>110.9</v>
      </c>
      <c r="Z77" s="3">
        <v>114.8</v>
      </c>
      <c r="AA77" s="3">
        <v>118.7</v>
      </c>
      <c r="AB77" s="3">
        <v>110.8</v>
      </c>
      <c r="AC77" s="3">
        <v>115</v>
      </c>
      <c r="AD77" s="3">
        <v>120.6</v>
      </c>
    </row>
    <row r="78" spans="1:30" ht="15" customHeight="1" x14ac:dyDescent="0.2">
      <c r="A78" s="3" t="s">
        <v>87</v>
      </c>
      <c r="B78" s="3">
        <v>2015</v>
      </c>
      <c r="C78" s="3" t="s">
        <v>90</v>
      </c>
      <c r="D78" s="3">
        <v>124.3</v>
      </c>
      <c r="E78" s="3">
        <v>126.5</v>
      </c>
      <c r="F78" s="3">
        <v>119.5</v>
      </c>
      <c r="G78" s="3">
        <v>125.6</v>
      </c>
      <c r="H78" s="3">
        <v>104.9</v>
      </c>
      <c r="I78" s="3">
        <v>121.6</v>
      </c>
      <c r="J78" s="3">
        <v>131.80000000000001</v>
      </c>
      <c r="K78" s="3">
        <v>125.1</v>
      </c>
      <c r="L78" s="3">
        <v>95</v>
      </c>
      <c r="M78" s="3">
        <v>127.7</v>
      </c>
      <c r="N78" s="3">
        <v>116.8</v>
      </c>
      <c r="O78" s="3">
        <v>128.6</v>
      </c>
      <c r="P78" s="3">
        <v>123.7</v>
      </c>
      <c r="Q78" s="3">
        <v>128.1</v>
      </c>
      <c r="R78" s="3">
        <v>121.3</v>
      </c>
      <c r="S78" s="3">
        <v>116.5</v>
      </c>
      <c r="T78" s="3">
        <v>120.6</v>
      </c>
      <c r="U78" s="3" t="s">
        <v>124</v>
      </c>
      <c r="V78" s="3">
        <v>114</v>
      </c>
      <c r="W78" s="3">
        <v>117.7</v>
      </c>
      <c r="X78" s="3">
        <v>114.1</v>
      </c>
      <c r="Y78" s="3">
        <v>106.8</v>
      </c>
      <c r="Z78" s="3">
        <v>114.9</v>
      </c>
      <c r="AA78" s="3">
        <v>120.4</v>
      </c>
      <c r="AB78" s="3">
        <v>111.7</v>
      </c>
      <c r="AC78" s="3">
        <v>113.2</v>
      </c>
      <c r="AD78" s="3">
        <v>118.7</v>
      </c>
    </row>
    <row r="79" spans="1:30" ht="15" customHeight="1" x14ac:dyDescent="0.2">
      <c r="A79" s="3" t="s">
        <v>89</v>
      </c>
      <c r="B79" s="3">
        <v>2015</v>
      </c>
      <c r="C79" s="3" t="s">
        <v>90</v>
      </c>
      <c r="D79" s="3">
        <v>123.7</v>
      </c>
      <c r="E79" s="3">
        <v>125.1</v>
      </c>
      <c r="F79" s="3">
        <v>121.1</v>
      </c>
      <c r="G79" s="3">
        <v>125.7</v>
      </c>
      <c r="H79" s="3">
        <v>109.1</v>
      </c>
      <c r="I79" s="3">
        <v>125.8</v>
      </c>
      <c r="J79" s="3">
        <v>129.4</v>
      </c>
      <c r="K79" s="3">
        <v>120.9</v>
      </c>
      <c r="L79" s="3">
        <v>98.3</v>
      </c>
      <c r="M79" s="3">
        <v>121.6</v>
      </c>
      <c r="N79" s="3">
        <v>118</v>
      </c>
      <c r="O79" s="3">
        <v>127.6</v>
      </c>
      <c r="P79" s="3">
        <v>123.1</v>
      </c>
      <c r="Q79" s="3">
        <v>125.2</v>
      </c>
      <c r="R79" s="3">
        <v>123.8</v>
      </c>
      <c r="S79" s="3">
        <v>120.1</v>
      </c>
      <c r="T79" s="3">
        <v>123.3</v>
      </c>
      <c r="U79" s="3" t="s">
        <v>124</v>
      </c>
      <c r="V79" s="3">
        <v>117.7</v>
      </c>
      <c r="W79" s="3">
        <v>118.7</v>
      </c>
      <c r="X79" s="3">
        <v>116.3</v>
      </c>
      <c r="Y79" s="3">
        <v>108.7</v>
      </c>
      <c r="Z79" s="3">
        <v>114.9</v>
      </c>
      <c r="AA79" s="3">
        <v>119.7</v>
      </c>
      <c r="AB79" s="3">
        <v>111.2</v>
      </c>
      <c r="AC79" s="3">
        <v>114.1</v>
      </c>
      <c r="AD79" s="3">
        <v>119.7</v>
      </c>
    </row>
    <row r="80" spans="1:30" ht="15" customHeight="1" x14ac:dyDescent="0.2">
      <c r="A80" s="3" t="s">
        <v>84</v>
      </c>
      <c r="B80" s="3">
        <v>2015</v>
      </c>
      <c r="C80" s="3" t="s">
        <v>92</v>
      </c>
      <c r="D80" s="3">
        <v>123.3</v>
      </c>
      <c r="E80" s="3">
        <v>124.7</v>
      </c>
      <c r="F80" s="3">
        <v>118.9</v>
      </c>
      <c r="G80" s="3">
        <v>126</v>
      </c>
      <c r="H80" s="3">
        <v>111.8</v>
      </c>
      <c r="I80" s="3">
        <v>130.9</v>
      </c>
      <c r="J80" s="3">
        <v>128</v>
      </c>
      <c r="K80" s="3">
        <v>119.9</v>
      </c>
      <c r="L80" s="3">
        <v>98.9</v>
      </c>
      <c r="M80" s="3">
        <v>119.4</v>
      </c>
      <c r="N80" s="3">
        <v>118.9</v>
      </c>
      <c r="O80" s="3">
        <v>127.7</v>
      </c>
      <c r="P80" s="3">
        <v>123.1</v>
      </c>
      <c r="Q80" s="3">
        <v>124.7</v>
      </c>
      <c r="R80" s="3">
        <v>126</v>
      </c>
      <c r="S80" s="3">
        <v>122.9</v>
      </c>
      <c r="T80" s="3">
        <v>125.5</v>
      </c>
      <c r="V80" s="3">
        <v>120.6</v>
      </c>
      <c r="W80" s="3">
        <v>120.2</v>
      </c>
      <c r="X80" s="3">
        <v>118.2</v>
      </c>
      <c r="Y80" s="3">
        <v>111.6</v>
      </c>
      <c r="Z80" s="3">
        <v>115.5</v>
      </c>
      <c r="AA80" s="3">
        <v>119.4</v>
      </c>
      <c r="AB80" s="3">
        <v>110.8</v>
      </c>
      <c r="AC80" s="3">
        <v>115.5</v>
      </c>
      <c r="AD80" s="3">
        <v>121.1</v>
      </c>
    </row>
    <row r="81" spans="1:30" ht="15" customHeight="1" x14ac:dyDescent="0.2">
      <c r="A81" s="3" t="s">
        <v>87</v>
      </c>
      <c r="B81" s="3">
        <v>2015</v>
      </c>
      <c r="C81" s="3" t="s">
        <v>92</v>
      </c>
      <c r="D81" s="3">
        <v>124</v>
      </c>
      <c r="E81" s="3">
        <v>126.7</v>
      </c>
      <c r="F81" s="3">
        <v>113.5</v>
      </c>
      <c r="G81" s="3">
        <v>125.9</v>
      </c>
      <c r="H81" s="3">
        <v>104.8</v>
      </c>
      <c r="I81" s="3">
        <v>123.8</v>
      </c>
      <c r="J81" s="3">
        <v>131.4</v>
      </c>
      <c r="K81" s="3">
        <v>127.2</v>
      </c>
      <c r="L81" s="3">
        <v>93.2</v>
      </c>
      <c r="M81" s="3">
        <v>127.4</v>
      </c>
      <c r="N81" s="3">
        <v>117</v>
      </c>
      <c r="O81" s="3">
        <v>129.19999999999999</v>
      </c>
      <c r="P81" s="3">
        <v>123.9</v>
      </c>
      <c r="Q81" s="3">
        <v>128.80000000000001</v>
      </c>
      <c r="R81" s="3">
        <v>121.7</v>
      </c>
      <c r="S81" s="3">
        <v>116.9</v>
      </c>
      <c r="T81" s="3">
        <v>120.9</v>
      </c>
      <c r="U81" s="3" t="s">
        <v>125</v>
      </c>
      <c r="V81" s="3">
        <v>114.4</v>
      </c>
      <c r="W81" s="3">
        <v>118</v>
      </c>
      <c r="X81" s="3">
        <v>114.3</v>
      </c>
      <c r="Y81" s="3">
        <v>108.4</v>
      </c>
      <c r="Z81" s="3">
        <v>115.4</v>
      </c>
      <c r="AA81" s="3">
        <v>120.6</v>
      </c>
      <c r="AB81" s="3">
        <v>111.3</v>
      </c>
      <c r="AC81" s="3">
        <v>113.8</v>
      </c>
      <c r="AD81" s="3">
        <v>119.1</v>
      </c>
    </row>
    <row r="82" spans="1:30" ht="15" customHeight="1" x14ac:dyDescent="0.2">
      <c r="A82" s="3" t="s">
        <v>89</v>
      </c>
      <c r="B82" s="3">
        <v>2015</v>
      </c>
      <c r="C82" s="3" t="s">
        <v>92</v>
      </c>
      <c r="D82" s="3">
        <v>123.5</v>
      </c>
      <c r="E82" s="3">
        <v>125.4</v>
      </c>
      <c r="F82" s="3">
        <v>116.8</v>
      </c>
      <c r="G82" s="3">
        <v>126</v>
      </c>
      <c r="H82" s="3">
        <v>109.2</v>
      </c>
      <c r="I82" s="3">
        <v>127.6</v>
      </c>
      <c r="J82" s="3">
        <v>129.19999999999999</v>
      </c>
      <c r="K82" s="3">
        <v>122.4</v>
      </c>
      <c r="L82" s="3">
        <v>97</v>
      </c>
      <c r="M82" s="3">
        <v>122.1</v>
      </c>
      <c r="N82" s="3">
        <v>118.1</v>
      </c>
      <c r="O82" s="3">
        <v>128.4</v>
      </c>
      <c r="P82" s="3">
        <v>123.4</v>
      </c>
      <c r="Q82" s="3">
        <v>125.8</v>
      </c>
      <c r="R82" s="3">
        <v>124.3</v>
      </c>
      <c r="S82" s="3">
        <v>120.4</v>
      </c>
      <c r="T82" s="3">
        <v>123.7</v>
      </c>
      <c r="U82" s="3" t="s">
        <v>125</v>
      </c>
      <c r="V82" s="3">
        <v>118.3</v>
      </c>
      <c r="W82" s="3">
        <v>119.2</v>
      </c>
      <c r="X82" s="3">
        <v>116.7</v>
      </c>
      <c r="Y82" s="3">
        <v>109.9</v>
      </c>
      <c r="Z82" s="3">
        <v>115.4</v>
      </c>
      <c r="AA82" s="3">
        <v>120.1</v>
      </c>
      <c r="AB82" s="3">
        <v>111</v>
      </c>
      <c r="AC82" s="3">
        <v>114.7</v>
      </c>
      <c r="AD82" s="3">
        <v>120.2</v>
      </c>
    </row>
    <row r="83" spans="1:30" ht="15" customHeight="1" x14ac:dyDescent="0.2">
      <c r="A83" s="3" t="s">
        <v>84</v>
      </c>
      <c r="B83" s="3">
        <v>2015</v>
      </c>
      <c r="C83" s="3" t="s">
        <v>93</v>
      </c>
      <c r="D83" s="3">
        <v>123.3</v>
      </c>
      <c r="E83" s="3">
        <v>125.5</v>
      </c>
      <c r="F83" s="3">
        <v>117.2</v>
      </c>
      <c r="G83" s="3">
        <v>126.8</v>
      </c>
      <c r="H83" s="3">
        <v>111.9</v>
      </c>
      <c r="I83" s="3">
        <v>134.19999999999999</v>
      </c>
      <c r="J83" s="3">
        <v>127.5</v>
      </c>
      <c r="K83" s="3">
        <v>121.5</v>
      </c>
      <c r="L83" s="3">
        <v>97.8</v>
      </c>
      <c r="M83" s="3">
        <v>119.8</v>
      </c>
      <c r="N83" s="3">
        <v>119.4</v>
      </c>
      <c r="O83" s="3">
        <v>128.69999999999999</v>
      </c>
      <c r="P83" s="3">
        <v>123.6</v>
      </c>
      <c r="Q83" s="3">
        <v>125.7</v>
      </c>
      <c r="R83" s="3">
        <v>126.4</v>
      </c>
      <c r="S83" s="3">
        <v>123.3</v>
      </c>
      <c r="T83" s="3">
        <v>126</v>
      </c>
      <c r="V83" s="3">
        <v>121.2</v>
      </c>
      <c r="W83" s="3">
        <v>120.9</v>
      </c>
      <c r="X83" s="3">
        <v>118.6</v>
      </c>
      <c r="Y83" s="3">
        <v>111.9</v>
      </c>
      <c r="Z83" s="3">
        <v>116.2</v>
      </c>
      <c r="AA83" s="3">
        <v>119.9</v>
      </c>
      <c r="AB83" s="3">
        <v>111.6</v>
      </c>
      <c r="AC83" s="3">
        <v>116</v>
      </c>
      <c r="AD83" s="3">
        <v>121.5</v>
      </c>
    </row>
    <row r="84" spans="1:30" ht="15" customHeight="1" x14ac:dyDescent="0.2">
      <c r="A84" s="3" t="s">
        <v>87</v>
      </c>
      <c r="B84" s="3">
        <v>2015</v>
      </c>
      <c r="C84" s="3" t="s">
        <v>93</v>
      </c>
      <c r="D84" s="3">
        <v>123.8</v>
      </c>
      <c r="E84" s="3">
        <v>128.19999999999999</v>
      </c>
      <c r="F84" s="3">
        <v>110</v>
      </c>
      <c r="G84" s="3">
        <v>126.3</v>
      </c>
      <c r="H84" s="3">
        <v>104.5</v>
      </c>
      <c r="I84" s="3">
        <v>130.6</v>
      </c>
      <c r="J84" s="3">
        <v>130.80000000000001</v>
      </c>
      <c r="K84" s="3">
        <v>131.30000000000001</v>
      </c>
      <c r="L84" s="3">
        <v>91.6</v>
      </c>
      <c r="M84" s="3">
        <v>127.7</v>
      </c>
      <c r="N84" s="3">
        <v>117.2</v>
      </c>
      <c r="O84" s="3">
        <v>129.5</v>
      </c>
      <c r="P84" s="3">
        <v>124.6</v>
      </c>
      <c r="Q84" s="3">
        <v>130.1</v>
      </c>
      <c r="R84" s="3">
        <v>122.1</v>
      </c>
      <c r="S84" s="3">
        <v>117.2</v>
      </c>
      <c r="T84" s="3">
        <v>121.3</v>
      </c>
      <c r="U84" s="3" t="s">
        <v>126</v>
      </c>
      <c r="V84" s="3">
        <v>114.7</v>
      </c>
      <c r="W84" s="3">
        <v>118.4</v>
      </c>
      <c r="X84" s="3">
        <v>114.6</v>
      </c>
      <c r="Y84" s="3">
        <v>108.4</v>
      </c>
      <c r="Z84" s="3">
        <v>115.6</v>
      </c>
      <c r="AA84" s="3">
        <v>121.7</v>
      </c>
      <c r="AB84" s="3">
        <v>111.8</v>
      </c>
      <c r="AC84" s="3">
        <v>114.2</v>
      </c>
      <c r="AD84" s="3">
        <v>119.7</v>
      </c>
    </row>
    <row r="85" spans="1:30" ht="15" customHeight="1" x14ac:dyDescent="0.2">
      <c r="A85" s="3" t="s">
        <v>89</v>
      </c>
      <c r="B85" s="3">
        <v>2015</v>
      </c>
      <c r="C85" s="3" t="s">
        <v>93</v>
      </c>
      <c r="D85" s="3">
        <v>123.5</v>
      </c>
      <c r="E85" s="3">
        <v>126.4</v>
      </c>
      <c r="F85" s="3">
        <v>114.4</v>
      </c>
      <c r="G85" s="3">
        <v>126.6</v>
      </c>
      <c r="H85" s="3">
        <v>109.2</v>
      </c>
      <c r="I85" s="3">
        <v>132.5</v>
      </c>
      <c r="J85" s="3">
        <v>128.6</v>
      </c>
      <c r="K85" s="3">
        <v>124.8</v>
      </c>
      <c r="L85" s="3">
        <v>95.7</v>
      </c>
      <c r="M85" s="3">
        <v>122.4</v>
      </c>
      <c r="N85" s="3">
        <v>118.5</v>
      </c>
      <c r="O85" s="3">
        <v>129.1</v>
      </c>
      <c r="P85" s="3">
        <v>124</v>
      </c>
      <c r="Q85" s="3">
        <v>126.9</v>
      </c>
      <c r="R85" s="3">
        <v>124.7</v>
      </c>
      <c r="S85" s="3">
        <v>120.8</v>
      </c>
      <c r="T85" s="3">
        <v>124.1</v>
      </c>
      <c r="U85" s="3" t="s">
        <v>126</v>
      </c>
      <c r="V85" s="3">
        <v>118.7</v>
      </c>
      <c r="W85" s="3">
        <v>119.7</v>
      </c>
      <c r="X85" s="3">
        <v>117.1</v>
      </c>
      <c r="Y85" s="3">
        <v>110.1</v>
      </c>
      <c r="Z85" s="3">
        <v>115.9</v>
      </c>
      <c r="AA85" s="3">
        <v>121</v>
      </c>
      <c r="AB85" s="3">
        <v>111.7</v>
      </c>
      <c r="AC85" s="3">
        <v>115.1</v>
      </c>
      <c r="AD85" s="3">
        <v>120.7</v>
      </c>
    </row>
    <row r="86" spans="1:30" ht="15" customHeight="1" x14ac:dyDescent="0.2">
      <c r="A86" s="3" t="s">
        <v>84</v>
      </c>
      <c r="B86" s="3">
        <v>2015</v>
      </c>
      <c r="C86" s="3" t="s">
        <v>95</v>
      </c>
      <c r="D86" s="3">
        <v>123.5</v>
      </c>
      <c r="E86" s="3">
        <v>127.1</v>
      </c>
      <c r="F86" s="3">
        <v>117.3</v>
      </c>
      <c r="G86" s="3">
        <v>127.7</v>
      </c>
      <c r="H86" s="3">
        <v>112.5</v>
      </c>
      <c r="I86" s="3">
        <v>134.1</v>
      </c>
      <c r="J86" s="3">
        <v>128.5</v>
      </c>
      <c r="K86" s="3">
        <v>124.3</v>
      </c>
      <c r="L86" s="3">
        <v>97.6</v>
      </c>
      <c r="M86" s="3">
        <v>120.7</v>
      </c>
      <c r="N86" s="3">
        <v>120.2</v>
      </c>
      <c r="O86" s="3">
        <v>129.80000000000001</v>
      </c>
      <c r="P86" s="3">
        <v>124.4</v>
      </c>
      <c r="Q86" s="3">
        <v>126.7</v>
      </c>
      <c r="R86" s="3">
        <v>127.3</v>
      </c>
      <c r="S86" s="3">
        <v>124.1</v>
      </c>
      <c r="T86" s="3">
        <v>126.8</v>
      </c>
      <c r="V86" s="3">
        <v>121.9</v>
      </c>
      <c r="W86" s="3">
        <v>121.5</v>
      </c>
      <c r="X86" s="3">
        <v>119.4</v>
      </c>
      <c r="Y86" s="3">
        <v>113.3</v>
      </c>
      <c r="Z86" s="3">
        <v>116.7</v>
      </c>
      <c r="AA86" s="3">
        <v>120.5</v>
      </c>
      <c r="AB86" s="3">
        <v>112.3</v>
      </c>
      <c r="AC86" s="3">
        <v>116.9</v>
      </c>
      <c r="AD86" s="3">
        <v>122.4</v>
      </c>
    </row>
    <row r="87" spans="1:30" ht="15" customHeight="1" x14ac:dyDescent="0.2">
      <c r="A87" s="3" t="s">
        <v>87</v>
      </c>
      <c r="B87" s="3">
        <v>2015</v>
      </c>
      <c r="C87" s="3" t="s">
        <v>95</v>
      </c>
      <c r="D87" s="3">
        <v>123.8</v>
      </c>
      <c r="E87" s="3">
        <v>129.69999999999999</v>
      </c>
      <c r="F87" s="3">
        <v>111.3</v>
      </c>
      <c r="G87" s="3">
        <v>126.6</v>
      </c>
      <c r="H87" s="3">
        <v>105.2</v>
      </c>
      <c r="I87" s="3">
        <v>130.80000000000001</v>
      </c>
      <c r="J87" s="3">
        <v>135.6</v>
      </c>
      <c r="K87" s="3">
        <v>142.6</v>
      </c>
      <c r="L87" s="3">
        <v>90.8</v>
      </c>
      <c r="M87" s="3">
        <v>128.80000000000001</v>
      </c>
      <c r="N87" s="3">
        <v>117.7</v>
      </c>
      <c r="O87" s="3">
        <v>129.9</v>
      </c>
      <c r="P87" s="3">
        <v>126.1</v>
      </c>
      <c r="Q87" s="3">
        <v>131.30000000000001</v>
      </c>
      <c r="R87" s="3">
        <v>122.4</v>
      </c>
      <c r="S87" s="3">
        <v>117.4</v>
      </c>
      <c r="T87" s="3">
        <v>121.6</v>
      </c>
      <c r="U87" s="3" t="s">
        <v>127</v>
      </c>
      <c r="V87" s="3">
        <v>114.9</v>
      </c>
      <c r="W87" s="3">
        <v>118.7</v>
      </c>
      <c r="X87" s="3">
        <v>114.9</v>
      </c>
      <c r="Y87" s="3">
        <v>110.8</v>
      </c>
      <c r="Z87" s="3">
        <v>116</v>
      </c>
      <c r="AA87" s="3">
        <v>122</v>
      </c>
      <c r="AB87" s="3">
        <v>112.4</v>
      </c>
      <c r="AC87" s="3">
        <v>115.2</v>
      </c>
      <c r="AD87" s="3">
        <v>120.7</v>
      </c>
    </row>
    <row r="88" spans="1:30" ht="15" customHeight="1" x14ac:dyDescent="0.2">
      <c r="A88" s="3" t="s">
        <v>89</v>
      </c>
      <c r="B88" s="3">
        <v>2015</v>
      </c>
      <c r="C88" s="3" t="s">
        <v>95</v>
      </c>
      <c r="D88" s="3">
        <v>123.6</v>
      </c>
      <c r="E88" s="3">
        <v>128</v>
      </c>
      <c r="F88" s="3">
        <v>115</v>
      </c>
      <c r="G88" s="3">
        <v>127.3</v>
      </c>
      <c r="H88" s="3">
        <v>109.8</v>
      </c>
      <c r="I88" s="3">
        <v>132.6</v>
      </c>
      <c r="J88" s="3">
        <v>130.9</v>
      </c>
      <c r="K88" s="3">
        <v>130.5</v>
      </c>
      <c r="L88" s="3">
        <v>95.3</v>
      </c>
      <c r="M88" s="3">
        <v>123.4</v>
      </c>
      <c r="N88" s="3">
        <v>119.2</v>
      </c>
      <c r="O88" s="3">
        <v>129.80000000000001</v>
      </c>
      <c r="P88" s="3">
        <v>125</v>
      </c>
      <c r="Q88" s="3">
        <v>127.9</v>
      </c>
      <c r="R88" s="3">
        <v>125.4</v>
      </c>
      <c r="S88" s="3">
        <v>121.3</v>
      </c>
      <c r="T88" s="3">
        <v>124.7</v>
      </c>
      <c r="U88" s="3" t="s">
        <v>127</v>
      </c>
      <c r="V88" s="3">
        <v>119.2</v>
      </c>
      <c r="W88" s="3">
        <v>120.2</v>
      </c>
      <c r="X88" s="3">
        <v>117.7</v>
      </c>
      <c r="Y88" s="3">
        <v>112</v>
      </c>
      <c r="Z88" s="3">
        <v>116.3</v>
      </c>
      <c r="AA88" s="3">
        <v>121.4</v>
      </c>
      <c r="AB88" s="3">
        <v>112.3</v>
      </c>
      <c r="AC88" s="3">
        <v>116.1</v>
      </c>
      <c r="AD88" s="3">
        <v>121.6</v>
      </c>
    </row>
    <row r="89" spans="1:30" ht="15" customHeight="1" x14ac:dyDescent="0.2">
      <c r="A89" s="3" t="s">
        <v>84</v>
      </c>
      <c r="B89" s="3">
        <v>2015</v>
      </c>
      <c r="C89" s="3" t="s">
        <v>96</v>
      </c>
      <c r="D89" s="3">
        <v>124.1</v>
      </c>
      <c r="E89" s="3">
        <v>130.4</v>
      </c>
      <c r="F89" s="3">
        <v>122.1</v>
      </c>
      <c r="G89" s="3">
        <v>128.69999999999999</v>
      </c>
      <c r="H89" s="3">
        <v>114.1</v>
      </c>
      <c r="I89" s="3">
        <v>133.19999999999999</v>
      </c>
      <c r="J89" s="3">
        <v>135.19999999999999</v>
      </c>
      <c r="K89" s="3">
        <v>131.9</v>
      </c>
      <c r="L89" s="3">
        <v>96.3</v>
      </c>
      <c r="M89" s="3">
        <v>123</v>
      </c>
      <c r="N89" s="3">
        <v>121.1</v>
      </c>
      <c r="O89" s="3">
        <v>131.19999999999999</v>
      </c>
      <c r="P89" s="3">
        <v>126.6</v>
      </c>
      <c r="Q89" s="3">
        <v>128.19999999999999</v>
      </c>
      <c r="R89" s="3">
        <v>128.4</v>
      </c>
      <c r="S89" s="3">
        <v>125.1</v>
      </c>
      <c r="T89" s="3">
        <v>128</v>
      </c>
      <c r="V89" s="3">
        <v>122.6</v>
      </c>
      <c r="W89" s="3">
        <v>122.8</v>
      </c>
      <c r="X89" s="3">
        <v>120.4</v>
      </c>
      <c r="Y89" s="3">
        <v>114.2</v>
      </c>
      <c r="Z89" s="3">
        <v>117.9</v>
      </c>
      <c r="AA89" s="3">
        <v>122</v>
      </c>
      <c r="AB89" s="3">
        <v>113</v>
      </c>
      <c r="AC89" s="3">
        <v>117.9</v>
      </c>
      <c r="AD89" s="3">
        <v>124.1</v>
      </c>
    </row>
    <row r="90" spans="1:30" ht="15" customHeight="1" x14ac:dyDescent="0.2">
      <c r="A90" s="3" t="s">
        <v>87</v>
      </c>
      <c r="B90" s="3">
        <v>2015</v>
      </c>
      <c r="C90" s="3" t="s">
        <v>96</v>
      </c>
      <c r="D90" s="3">
        <v>123.6</v>
      </c>
      <c r="E90" s="3">
        <v>134.4</v>
      </c>
      <c r="F90" s="3">
        <v>120.9</v>
      </c>
      <c r="G90" s="3">
        <v>127.3</v>
      </c>
      <c r="H90" s="3">
        <v>106</v>
      </c>
      <c r="I90" s="3">
        <v>132.30000000000001</v>
      </c>
      <c r="J90" s="3">
        <v>146.69999999999999</v>
      </c>
      <c r="K90" s="3">
        <v>148.1</v>
      </c>
      <c r="L90" s="3">
        <v>89.8</v>
      </c>
      <c r="M90" s="3">
        <v>130.5</v>
      </c>
      <c r="N90" s="3">
        <v>118</v>
      </c>
      <c r="O90" s="3">
        <v>130.5</v>
      </c>
      <c r="P90" s="3">
        <v>128.5</v>
      </c>
      <c r="Q90" s="3">
        <v>132.1</v>
      </c>
      <c r="R90" s="3">
        <v>123.2</v>
      </c>
      <c r="S90" s="3">
        <v>117.6</v>
      </c>
      <c r="T90" s="3">
        <v>122.3</v>
      </c>
      <c r="U90" s="3" t="s">
        <v>128</v>
      </c>
      <c r="V90" s="3">
        <v>115.1</v>
      </c>
      <c r="W90" s="3">
        <v>119.2</v>
      </c>
      <c r="X90" s="3">
        <v>115.4</v>
      </c>
      <c r="Y90" s="3">
        <v>111.7</v>
      </c>
      <c r="Z90" s="3">
        <v>116.2</v>
      </c>
      <c r="AA90" s="3">
        <v>123.8</v>
      </c>
      <c r="AB90" s="3">
        <v>112.5</v>
      </c>
      <c r="AC90" s="3">
        <v>116</v>
      </c>
      <c r="AD90" s="3">
        <v>121.7</v>
      </c>
    </row>
    <row r="91" spans="1:30" ht="15" customHeight="1" x14ac:dyDescent="0.2">
      <c r="A91" s="3" t="s">
        <v>89</v>
      </c>
      <c r="B91" s="3">
        <v>2015</v>
      </c>
      <c r="C91" s="3" t="s">
        <v>96</v>
      </c>
      <c r="D91" s="3">
        <v>123.9</v>
      </c>
      <c r="E91" s="3">
        <v>131.80000000000001</v>
      </c>
      <c r="F91" s="3">
        <v>121.6</v>
      </c>
      <c r="G91" s="3">
        <v>128.19999999999999</v>
      </c>
      <c r="H91" s="3">
        <v>111.1</v>
      </c>
      <c r="I91" s="3">
        <v>132.80000000000001</v>
      </c>
      <c r="J91" s="3">
        <v>139.1</v>
      </c>
      <c r="K91" s="3">
        <v>137.4</v>
      </c>
      <c r="L91" s="3">
        <v>94.1</v>
      </c>
      <c r="M91" s="3">
        <v>125.5</v>
      </c>
      <c r="N91" s="3">
        <v>119.8</v>
      </c>
      <c r="O91" s="3">
        <v>130.9</v>
      </c>
      <c r="P91" s="3">
        <v>127.3</v>
      </c>
      <c r="Q91" s="3">
        <v>129.19999999999999</v>
      </c>
      <c r="R91" s="3">
        <v>126.4</v>
      </c>
      <c r="S91" s="3">
        <v>122</v>
      </c>
      <c r="T91" s="3">
        <v>125.7</v>
      </c>
      <c r="U91" s="3" t="s">
        <v>128</v>
      </c>
      <c r="V91" s="3">
        <v>119.8</v>
      </c>
      <c r="W91" s="3">
        <v>121.1</v>
      </c>
      <c r="X91" s="3">
        <v>118.5</v>
      </c>
      <c r="Y91" s="3">
        <v>112.9</v>
      </c>
      <c r="Z91" s="3">
        <v>116.9</v>
      </c>
      <c r="AA91" s="3">
        <v>123.1</v>
      </c>
      <c r="AB91" s="3">
        <v>112.8</v>
      </c>
      <c r="AC91" s="3">
        <v>117</v>
      </c>
      <c r="AD91" s="3">
        <v>123</v>
      </c>
    </row>
    <row r="92" spans="1:30" ht="15" customHeight="1" x14ac:dyDescent="0.2">
      <c r="A92" s="3" t="s">
        <v>84</v>
      </c>
      <c r="B92" s="3">
        <v>2015</v>
      </c>
      <c r="C92" s="3" t="s">
        <v>98</v>
      </c>
      <c r="D92" s="3">
        <v>124</v>
      </c>
      <c r="E92" s="3">
        <v>131.5</v>
      </c>
      <c r="F92" s="3">
        <v>122</v>
      </c>
      <c r="G92" s="3">
        <v>128.69999999999999</v>
      </c>
      <c r="H92" s="3">
        <v>113.5</v>
      </c>
      <c r="I92" s="3">
        <v>133.30000000000001</v>
      </c>
      <c r="J92" s="3">
        <v>140.80000000000001</v>
      </c>
      <c r="K92" s="3">
        <v>133.80000000000001</v>
      </c>
      <c r="L92" s="3">
        <v>94.1</v>
      </c>
      <c r="M92" s="3">
        <v>123.4</v>
      </c>
      <c r="N92" s="3">
        <v>121</v>
      </c>
      <c r="O92" s="3">
        <v>131.69999999999999</v>
      </c>
      <c r="P92" s="3">
        <v>127.5</v>
      </c>
      <c r="Q92" s="3">
        <v>129.4</v>
      </c>
      <c r="R92" s="3">
        <v>128.80000000000001</v>
      </c>
      <c r="S92" s="3">
        <v>125.5</v>
      </c>
      <c r="T92" s="3">
        <v>128.30000000000001</v>
      </c>
      <c r="V92" s="3">
        <v>123</v>
      </c>
      <c r="W92" s="3">
        <v>123</v>
      </c>
      <c r="X92" s="3">
        <v>120.8</v>
      </c>
      <c r="Y92" s="3">
        <v>114.1</v>
      </c>
      <c r="Z92" s="3">
        <v>118</v>
      </c>
      <c r="AA92" s="3">
        <v>122.9</v>
      </c>
      <c r="AB92" s="3">
        <v>112.7</v>
      </c>
      <c r="AC92" s="3">
        <v>118.1</v>
      </c>
      <c r="AD92" s="3">
        <v>124.7</v>
      </c>
    </row>
    <row r="93" spans="1:30" ht="15" customHeight="1" x14ac:dyDescent="0.2">
      <c r="A93" s="3" t="s">
        <v>87</v>
      </c>
      <c r="B93" s="3">
        <v>2015</v>
      </c>
      <c r="C93" s="3" t="s">
        <v>98</v>
      </c>
      <c r="D93" s="3">
        <v>123.2</v>
      </c>
      <c r="E93" s="3">
        <v>134.30000000000001</v>
      </c>
      <c r="F93" s="3">
        <v>119.5</v>
      </c>
      <c r="G93" s="3">
        <v>127.7</v>
      </c>
      <c r="H93" s="3">
        <v>106.3</v>
      </c>
      <c r="I93" s="3">
        <v>132.80000000000001</v>
      </c>
      <c r="J93" s="3">
        <v>153.5</v>
      </c>
      <c r="K93" s="3">
        <v>149.5</v>
      </c>
      <c r="L93" s="3">
        <v>85.7</v>
      </c>
      <c r="M93" s="3">
        <v>131.5</v>
      </c>
      <c r="N93" s="3">
        <v>118.3</v>
      </c>
      <c r="O93" s="3">
        <v>131.1</v>
      </c>
      <c r="P93" s="3">
        <v>129.5</v>
      </c>
      <c r="Q93" s="3">
        <v>133.1</v>
      </c>
      <c r="R93" s="3">
        <v>123.5</v>
      </c>
      <c r="S93" s="3">
        <v>117.9</v>
      </c>
      <c r="T93" s="3">
        <v>122.7</v>
      </c>
      <c r="U93" s="3" t="s">
        <v>129</v>
      </c>
      <c r="V93" s="3">
        <v>115.3</v>
      </c>
      <c r="W93" s="3">
        <v>119.5</v>
      </c>
      <c r="X93" s="3">
        <v>116</v>
      </c>
      <c r="Y93" s="3">
        <v>111.5</v>
      </c>
      <c r="Z93" s="3">
        <v>116.6</v>
      </c>
      <c r="AA93" s="3">
        <v>125.4</v>
      </c>
      <c r="AB93" s="3">
        <v>111.7</v>
      </c>
      <c r="AC93" s="3">
        <v>116.3</v>
      </c>
      <c r="AD93" s="3">
        <v>122.4</v>
      </c>
    </row>
    <row r="94" spans="1:30" ht="15" customHeight="1" x14ac:dyDescent="0.2">
      <c r="A94" s="3" t="s">
        <v>89</v>
      </c>
      <c r="B94" s="3">
        <v>2015</v>
      </c>
      <c r="C94" s="3" t="s">
        <v>98</v>
      </c>
      <c r="D94" s="3">
        <v>123.7</v>
      </c>
      <c r="E94" s="3">
        <v>132.5</v>
      </c>
      <c r="F94" s="3">
        <v>121</v>
      </c>
      <c r="G94" s="3">
        <v>128.30000000000001</v>
      </c>
      <c r="H94" s="3">
        <v>110.9</v>
      </c>
      <c r="I94" s="3">
        <v>133.1</v>
      </c>
      <c r="J94" s="3">
        <v>145.1</v>
      </c>
      <c r="K94" s="3">
        <v>139.1</v>
      </c>
      <c r="L94" s="3">
        <v>91.3</v>
      </c>
      <c r="M94" s="3">
        <v>126.1</v>
      </c>
      <c r="N94" s="3">
        <v>119.9</v>
      </c>
      <c r="O94" s="3">
        <v>131.4</v>
      </c>
      <c r="P94" s="3">
        <v>128.19999999999999</v>
      </c>
      <c r="Q94" s="3">
        <v>130.4</v>
      </c>
      <c r="R94" s="3">
        <v>126.7</v>
      </c>
      <c r="S94" s="3">
        <v>122.3</v>
      </c>
      <c r="T94" s="3">
        <v>126.1</v>
      </c>
      <c r="U94" s="3" t="s">
        <v>129</v>
      </c>
      <c r="V94" s="3">
        <v>120.1</v>
      </c>
      <c r="W94" s="3">
        <v>121.3</v>
      </c>
      <c r="X94" s="3">
        <v>119</v>
      </c>
      <c r="Y94" s="3">
        <v>112.7</v>
      </c>
      <c r="Z94" s="3">
        <v>117.2</v>
      </c>
      <c r="AA94" s="3">
        <v>124.4</v>
      </c>
      <c r="AB94" s="3">
        <v>112.3</v>
      </c>
      <c r="AC94" s="3">
        <v>117.2</v>
      </c>
      <c r="AD94" s="3">
        <v>123.6</v>
      </c>
    </row>
    <row r="95" spans="1:30" ht="15" customHeight="1" x14ac:dyDescent="0.2">
      <c r="A95" s="3" t="s">
        <v>84</v>
      </c>
      <c r="B95" s="3">
        <v>2015</v>
      </c>
      <c r="C95" s="3" t="s">
        <v>100</v>
      </c>
      <c r="D95" s="3">
        <v>124.7</v>
      </c>
      <c r="E95" s="3">
        <v>131.30000000000001</v>
      </c>
      <c r="F95" s="3">
        <v>121.3</v>
      </c>
      <c r="G95" s="3">
        <v>128.80000000000001</v>
      </c>
      <c r="H95" s="3">
        <v>114</v>
      </c>
      <c r="I95" s="3">
        <v>134.19999999999999</v>
      </c>
      <c r="J95" s="3">
        <v>153.6</v>
      </c>
      <c r="K95" s="3">
        <v>137.9</v>
      </c>
      <c r="L95" s="3">
        <v>93.1</v>
      </c>
      <c r="M95" s="3">
        <v>123.9</v>
      </c>
      <c r="N95" s="3">
        <v>121.5</v>
      </c>
      <c r="O95" s="3">
        <v>132.5</v>
      </c>
      <c r="P95" s="3">
        <v>129.80000000000001</v>
      </c>
      <c r="Q95" s="3">
        <v>130.1</v>
      </c>
      <c r="R95" s="3">
        <v>129.5</v>
      </c>
      <c r="S95" s="3">
        <v>126.3</v>
      </c>
      <c r="T95" s="3">
        <v>129</v>
      </c>
      <c r="V95" s="3">
        <v>123.8</v>
      </c>
      <c r="W95" s="3">
        <v>123.7</v>
      </c>
      <c r="X95" s="3">
        <v>121.1</v>
      </c>
      <c r="Y95" s="3">
        <v>113.6</v>
      </c>
      <c r="Z95" s="3">
        <v>118.5</v>
      </c>
      <c r="AA95" s="3">
        <v>123.6</v>
      </c>
      <c r="AB95" s="3">
        <v>112.5</v>
      </c>
      <c r="AC95" s="3">
        <v>118.2</v>
      </c>
      <c r="AD95" s="3">
        <v>126.1</v>
      </c>
    </row>
    <row r="96" spans="1:30" ht="15" customHeight="1" x14ac:dyDescent="0.2">
      <c r="A96" s="3" t="s">
        <v>87</v>
      </c>
      <c r="B96" s="3">
        <v>2015</v>
      </c>
      <c r="C96" s="3" t="s">
        <v>100</v>
      </c>
      <c r="D96" s="3">
        <v>123.1</v>
      </c>
      <c r="E96" s="3">
        <v>131.69999999999999</v>
      </c>
      <c r="F96" s="3">
        <v>118.1</v>
      </c>
      <c r="G96" s="3">
        <v>128</v>
      </c>
      <c r="H96" s="3">
        <v>106.8</v>
      </c>
      <c r="I96" s="3">
        <v>130.1</v>
      </c>
      <c r="J96" s="3">
        <v>165.5</v>
      </c>
      <c r="K96" s="3">
        <v>156</v>
      </c>
      <c r="L96" s="3">
        <v>85.3</v>
      </c>
      <c r="M96" s="3">
        <v>132.69999999999999</v>
      </c>
      <c r="N96" s="3">
        <v>118.8</v>
      </c>
      <c r="O96" s="3">
        <v>131.69999999999999</v>
      </c>
      <c r="P96" s="3">
        <v>131.1</v>
      </c>
      <c r="Q96" s="3">
        <v>134.19999999999999</v>
      </c>
      <c r="R96" s="3">
        <v>123.7</v>
      </c>
      <c r="S96" s="3">
        <v>118.2</v>
      </c>
      <c r="T96" s="3">
        <v>122.9</v>
      </c>
      <c r="U96" s="3" t="s">
        <v>130</v>
      </c>
      <c r="V96" s="3">
        <v>115.3</v>
      </c>
      <c r="W96" s="3">
        <v>120</v>
      </c>
      <c r="X96" s="3">
        <v>116.6</v>
      </c>
      <c r="Y96" s="3">
        <v>109.9</v>
      </c>
      <c r="Z96" s="3">
        <v>117.2</v>
      </c>
      <c r="AA96" s="3">
        <v>126.2</v>
      </c>
      <c r="AB96" s="3">
        <v>112</v>
      </c>
      <c r="AC96" s="3">
        <v>116.2</v>
      </c>
      <c r="AD96" s="3">
        <v>123.2</v>
      </c>
    </row>
    <row r="97" spans="1:30" ht="15" customHeight="1" x14ac:dyDescent="0.2">
      <c r="A97" s="3" t="s">
        <v>89</v>
      </c>
      <c r="B97" s="3">
        <v>2015</v>
      </c>
      <c r="C97" s="3" t="s">
        <v>100</v>
      </c>
      <c r="D97" s="3">
        <v>124.2</v>
      </c>
      <c r="E97" s="3">
        <v>131.4</v>
      </c>
      <c r="F97" s="3">
        <v>120.1</v>
      </c>
      <c r="G97" s="3">
        <v>128.5</v>
      </c>
      <c r="H97" s="3">
        <v>111.4</v>
      </c>
      <c r="I97" s="3">
        <v>132.30000000000001</v>
      </c>
      <c r="J97" s="3">
        <v>157.6</v>
      </c>
      <c r="K97" s="3">
        <v>144</v>
      </c>
      <c r="L97" s="3">
        <v>90.5</v>
      </c>
      <c r="M97" s="3">
        <v>126.8</v>
      </c>
      <c r="N97" s="3">
        <v>120.4</v>
      </c>
      <c r="O97" s="3">
        <v>132.1</v>
      </c>
      <c r="P97" s="3">
        <v>130.30000000000001</v>
      </c>
      <c r="Q97" s="3">
        <v>131.19999999999999</v>
      </c>
      <c r="R97" s="3">
        <v>127.2</v>
      </c>
      <c r="S97" s="3">
        <v>122.9</v>
      </c>
      <c r="T97" s="3">
        <v>126.6</v>
      </c>
      <c r="U97" s="3" t="s">
        <v>130</v>
      </c>
      <c r="V97" s="3">
        <v>120.6</v>
      </c>
      <c r="W97" s="3">
        <v>122</v>
      </c>
      <c r="X97" s="3">
        <v>119.4</v>
      </c>
      <c r="Y97" s="3">
        <v>111.7</v>
      </c>
      <c r="Z97" s="3">
        <v>117.8</v>
      </c>
      <c r="AA97" s="3">
        <v>125.1</v>
      </c>
      <c r="AB97" s="3">
        <v>112.3</v>
      </c>
      <c r="AC97" s="3">
        <v>117.2</v>
      </c>
      <c r="AD97" s="3">
        <v>124.8</v>
      </c>
    </row>
    <row r="98" spans="1:30" ht="15" customHeight="1" x14ac:dyDescent="0.2">
      <c r="A98" s="3" t="s">
        <v>84</v>
      </c>
      <c r="B98" s="3">
        <v>2015</v>
      </c>
      <c r="C98" s="3" t="s">
        <v>102</v>
      </c>
      <c r="D98" s="3">
        <v>125.1</v>
      </c>
      <c r="E98" s="3">
        <v>131.1</v>
      </c>
      <c r="F98" s="3">
        <v>120.7</v>
      </c>
      <c r="G98" s="3">
        <v>129.19999999999999</v>
      </c>
      <c r="H98" s="3">
        <v>114.7</v>
      </c>
      <c r="I98" s="3">
        <v>132.30000000000001</v>
      </c>
      <c r="J98" s="3">
        <v>158.9</v>
      </c>
      <c r="K98" s="3">
        <v>142.1</v>
      </c>
      <c r="L98" s="3">
        <v>92.5</v>
      </c>
      <c r="M98" s="3">
        <v>125.4</v>
      </c>
      <c r="N98" s="3">
        <v>121.9</v>
      </c>
      <c r="O98" s="3">
        <v>132.69999999999999</v>
      </c>
      <c r="P98" s="3">
        <v>131</v>
      </c>
      <c r="Q98" s="3">
        <v>131</v>
      </c>
      <c r="R98" s="3">
        <v>130.4</v>
      </c>
      <c r="S98" s="3">
        <v>126.8</v>
      </c>
      <c r="T98" s="3">
        <v>129.9</v>
      </c>
      <c r="V98" s="3">
        <v>123.7</v>
      </c>
      <c r="W98" s="3">
        <v>124.5</v>
      </c>
      <c r="X98" s="3">
        <v>121.4</v>
      </c>
      <c r="Y98" s="3">
        <v>113.8</v>
      </c>
      <c r="Z98" s="3">
        <v>119.6</v>
      </c>
      <c r="AA98" s="3">
        <v>124.5</v>
      </c>
      <c r="AB98" s="3">
        <v>113.7</v>
      </c>
      <c r="AC98" s="3">
        <v>118.8</v>
      </c>
      <c r="AD98" s="3">
        <v>127</v>
      </c>
    </row>
    <row r="99" spans="1:30" ht="15" customHeight="1" x14ac:dyDescent="0.2">
      <c r="A99" s="3" t="s">
        <v>87</v>
      </c>
      <c r="B99" s="3">
        <v>2015</v>
      </c>
      <c r="C99" s="3" t="s">
        <v>102</v>
      </c>
      <c r="D99" s="3">
        <v>123.4</v>
      </c>
      <c r="E99" s="3">
        <v>129</v>
      </c>
      <c r="F99" s="3">
        <v>115.6</v>
      </c>
      <c r="G99" s="3">
        <v>128.30000000000001</v>
      </c>
      <c r="H99" s="3">
        <v>107</v>
      </c>
      <c r="I99" s="3">
        <v>124</v>
      </c>
      <c r="J99" s="3">
        <v>168.5</v>
      </c>
      <c r="K99" s="3">
        <v>165.4</v>
      </c>
      <c r="L99" s="3">
        <v>86.3</v>
      </c>
      <c r="M99" s="3">
        <v>134.4</v>
      </c>
      <c r="N99" s="3">
        <v>119.1</v>
      </c>
      <c r="O99" s="3">
        <v>132.30000000000001</v>
      </c>
      <c r="P99" s="3">
        <v>131.5</v>
      </c>
      <c r="Q99" s="3">
        <v>134.69999999999999</v>
      </c>
      <c r="R99" s="3">
        <v>124</v>
      </c>
      <c r="S99" s="3">
        <v>118.6</v>
      </c>
      <c r="T99" s="3">
        <v>123.2</v>
      </c>
      <c r="U99" s="3" t="s">
        <v>131</v>
      </c>
      <c r="V99" s="3">
        <v>115.1</v>
      </c>
      <c r="W99" s="3">
        <v>120.4</v>
      </c>
      <c r="X99" s="3">
        <v>117.1</v>
      </c>
      <c r="Y99" s="3">
        <v>109.1</v>
      </c>
      <c r="Z99" s="3">
        <v>117.3</v>
      </c>
      <c r="AA99" s="3">
        <v>126.5</v>
      </c>
      <c r="AB99" s="3">
        <v>112.9</v>
      </c>
      <c r="AC99" s="3">
        <v>116.2</v>
      </c>
      <c r="AD99" s="3">
        <v>123.5</v>
      </c>
    </row>
    <row r="100" spans="1:30" ht="15" customHeight="1" x14ac:dyDescent="0.2">
      <c r="A100" s="3" t="s">
        <v>89</v>
      </c>
      <c r="B100" s="3">
        <v>2015</v>
      </c>
      <c r="C100" s="3" t="s">
        <v>102</v>
      </c>
      <c r="D100" s="3">
        <v>124.6</v>
      </c>
      <c r="E100" s="3">
        <v>130.4</v>
      </c>
      <c r="F100" s="3">
        <v>118.7</v>
      </c>
      <c r="G100" s="3">
        <v>128.9</v>
      </c>
      <c r="H100" s="3">
        <v>111.9</v>
      </c>
      <c r="I100" s="3">
        <v>128.4</v>
      </c>
      <c r="J100" s="3">
        <v>162.19999999999999</v>
      </c>
      <c r="K100" s="3">
        <v>150</v>
      </c>
      <c r="L100" s="3">
        <v>90.4</v>
      </c>
      <c r="M100" s="3">
        <v>128.4</v>
      </c>
      <c r="N100" s="3">
        <v>120.7</v>
      </c>
      <c r="O100" s="3">
        <v>132.5</v>
      </c>
      <c r="P100" s="3">
        <v>131.19999999999999</v>
      </c>
      <c r="Q100" s="3">
        <v>132</v>
      </c>
      <c r="R100" s="3">
        <v>127.9</v>
      </c>
      <c r="S100" s="3">
        <v>123.4</v>
      </c>
      <c r="T100" s="3">
        <v>127.2</v>
      </c>
      <c r="U100" s="3" t="s">
        <v>131</v>
      </c>
      <c r="V100" s="3">
        <v>120.4</v>
      </c>
      <c r="W100" s="3">
        <v>122.6</v>
      </c>
      <c r="X100" s="3">
        <v>119.8</v>
      </c>
      <c r="Y100" s="3">
        <v>111.3</v>
      </c>
      <c r="Z100" s="3">
        <v>118.3</v>
      </c>
      <c r="AA100" s="3">
        <v>125.7</v>
      </c>
      <c r="AB100" s="3">
        <v>113.4</v>
      </c>
      <c r="AC100" s="3">
        <v>117.5</v>
      </c>
      <c r="AD100" s="3">
        <v>125.4</v>
      </c>
    </row>
    <row r="101" spans="1:30" ht="15" customHeight="1" x14ac:dyDescent="0.2">
      <c r="A101" s="3" t="s">
        <v>84</v>
      </c>
      <c r="B101" s="3">
        <v>2015</v>
      </c>
      <c r="C101" s="3" t="s">
        <v>104</v>
      </c>
      <c r="D101" s="3">
        <v>125.6</v>
      </c>
      <c r="E101" s="3">
        <v>130.4</v>
      </c>
      <c r="F101" s="3">
        <v>120.8</v>
      </c>
      <c r="G101" s="3">
        <v>129.4</v>
      </c>
      <c r="H101" s="3">
        <v>115.8</v>
      </c>
      <c r="I101" s="3">
        <v>133.19999999999999</v>
      </c>
      <c r="J101" s="3">
        <v>157.69999999999999</v>
      </c>
      <c r="K101" s="3">
        <v>154.19999999999999</v>
      </c>
      <c r="L101" s="3">
        <v>93.7</v>
      </c>
      <c r="M101" s="3">
        <v>126.6</v>
      </c>
      <c r="N101" s="3">
        <v>122.3</v>
      </c>
      <c r="O101" s="3">
        <v>133.1</v>
      </c>
      <c r="P101" s="3">
        <v>131.80000000000001</v>
      </c>
      <c r="Q101" s="3">
        <v>131.5</v>
      </c>
      <c r="R101" s="3">
        <v>131.1</v>
      </c>
      <c r="S101" s="3">
        <v>127.3</v>
      </c>
      <c r="T101" s="3">
        <v>130.6</v>
      </c>
      <c r="V101" s="3">
        <v>124.4</v>
      </c>
      <c r="W101" s="3">
        <v>125.1</v>
      </c>
      <c r="X101" s="3">
        <v>122</v>
      </c>
      <c r="Y101" s="3">
        <v>113.8</v>
      </c>
      <c r="Z101" s="3">
        <v>120.1</v>
      </c>
      <c r="AA101" s="3">
        <v>125.1</v>
      </c>
      <c r="AB101" s="3">
        <v>114.2</v>
      </c>
      <c r="AC101" s="3">
        <v>119.2</v>
      </c>
      <c r="AD101" s="3">
        <v>127.7</v>
      </c>
    </row>
    <row r="102" spans="1:30" ht="15" customHeight="1" x14ac:dyDescent="0.2">
      <c r="A102" s="3" t="s">
        <v>87</v>
      </c>
      <c r="B102" s="3">
        <v>2015</v>
      </c>
      <c r="C102" s="3" t="s">
        <v>104</v>
      </c>
      <c r="D102" s="3">
        <v>123.6</v>
      </c>
      <c r="E102" s="3">
        <v>128.6</v>
      </c>
      <c r="F102" s="3">
        <v>115.9</v>
      </c>
      <c r="G102" s="3">
        <v>128.5</v>
      </c>
      <c r="H102" s="3">
        <v>109</v>
      </c>
      <c r="I102" s="3">
        <v>124.1</v>
      </c>
      <c r="J102" s="3">
        <v>165.8</v>
      </c>
      <c r="K102" s="3">
        <v>187.2</v>
      </c>
      <c r="L102" s="3">
        <v>89.4</v>
      </c>
      <c r="M102" s="3">
        <v>135.80000000000001</v>
      </c>
      <c r="N102" s="3">
        <v>119.4</v>
      </c>
      <c r="O102" s="3">
        <v>132.9</v>
      </c>
      <c r="P102" s="3">
        <v>132.6</v>
      </c>
      <c r="Q102" s="3">
        <v>135.30000000000001</v>
      </c>
      <c r="R102" s="3">
        <v>124.4</v>
      </c>
      <c r="S102" s="3">
        <v>118.8</v>
      </c>
      <c r="T102" s="3">
        <v>123.6</v>
      </c>
      <c r="U102" s="3" t="s">
        <v>132</v>
      </c>
      <c r="V102" s="3">
        <v>114.9</v>
      </c>
      <c r="W102" s="3">
        <v>120.7</v>
      </c>
      <c r="X102" s="3">
        <v>117.7</v>
      </c>
      <c r="Y102" s="3">
        <v>109.3</v>
      </c>
      <c r="Z102" s="3">
        <v>117.7</v>
      </c>
      <c r="AA102" s="3">
        <v>126.5</v>
      </c>
      <c r="AB102" s="3">
        <v>113.5</v>
      </c>
      <c r="AC102" s="3">
        <v>116.5</v>
      </c>
      <c r="AD102" s="3">
        <v>124.2</v>
      </c>
    </row>
    <row r="103" spans="1:30" ht="15" customHeight="1" x14ac:dyDescent="0.2">
      <c r="A103" s="3" t="s">
        <v>89</v>
      </c>
      <c r="B103" s="3">
        <v>2015</v>
      </c>
      <c r="C103" s="3" t="s">
        <v>104</v>
      </c>
      <c r="D103" s="3">
        <v>125</v>
      </c>
      <c r="E103" s="3">
        <v>129.80000000000001</v>
      </c>
      <c r="F103" s="3">
        <v>118.9</v>
      </c>
      <c r="G103" s="3">
        <v>129.1</v>
      </c>
      <c r="H103" s="3">
        <v>113.3</v>
      </c>
      <c r="I103" s="3">
        <v>129</v>
      </c>
      <c r="J103" s="3">
        <v>160.4</v>
      </c>
      <c r="K103" s="3">
        <v>165.3</v>
      </c>
      <c r="L103" s="3">
        <v>92.3</v>
      </c>
      <c r="M103" s="3">
        <v>129.69999999999999</v>
      </c>
      <c r="N103" s="3">
        <v>121.1</v>
      </c>
      <c r="O103" s="3">
        <v>133</v>
      </c>
      <c r="P103" s="3">
        <v>132.1</v>
      </c>
      <c r="Q103" s="3">
        <v>132.5</v>
      </c>
      <c r="R103" s="3">
        <v>128.5</v>
      </c>
      <c r="S103" s="3">
        <v>123.8</v>
      </c>
      <c r="T103" s="3">
        <v>127.8</v>
      </c>
      <c r="U103" s="3" t="s">
        <v>132</v>
      </c>
      <c r="V103" s="3">
        <v>120.8</v>
      </c>
      <c r="W103" s="3">
        <v>123</v>
      </c>
      <c r="X103" s="3">
        <v>120.4</v>
      </c>
      <c r="Y103" s="3">
        <v>111.4</v>
      </c>
      <c r="Z103" s="3">
        <v>118.7</v>
      </c>
      <c r="AA103" s="3">
        <v>125.9</v>
      </c>
      <c r="AB103" s="3">
        <v>113.9</v>
      </c>
      <c r="AC103" s="3">
        <v>117.9</v>
      </c>
      <c r="AD103" s="3">
        <v>126.1</v>
      </c>
    </row>
    <row r="104" spans="1:30" ht="15" customHeight="1" x14ac:dyDescent="0.2">
      <c r="A104" s="3" t="s">
        <v>84</v>
      </c>
      <c r="B104" s="3">
        <v>2015</v>
      </c>
      <c r="C104" s="3" t="s">
        <v>107</v>
      </c>
      <c r="D104" s="3">
        <v>126.1</v>
      </c>
      <c r="E104" s="3">
        <v>130.6</v>
      </c>
      <c r="F104" s="3">
        <v>121.7</v>
      </c>
      <c r="G104" s="3">
        <v>129.5</v>
      </c>
      <c r="H104" s="3">
        <v>117.8</v>
      </c>
      <c r="I104" s="3">
        <v>132.1</v>
      </c>
      <c r="J104" s="3">
        <v>155.19999999999999</v>
      </c>
      <c r="K104" s="3">
        <v>160.80000000000001</v>
      </c>
      <c r="L104" s="3">
        <v>94.5</v>
      </c>
      <c r="M104" s="3">
        <v>128.30000000000001</v>
      </c>
      <c r="N104" s="3">
        <v>123.1</v>
      </c>
      <c r="O104" s="3">
        <v>134.19999999999999</v>
      </c>
      <c r="P104" s="3">
        <v>132.4</v>
      </c>
      <c r="Q104" s="3">
        <v>132.19999999999999</v>
      </c>
      <c r="R104" s="3">
        <v>132.1</v>
      </c>
      <c r="S104" s="3">
        <v>128.19999999999999</v>
      </c>
      <c r="T104" s="3">
        <v>131.5</v>
      </c>
      <c r="V104" s="3">
        <v>125.6</v>
      </c>
      <c r="W104" s="3">
        <v>125.6</v>
      </c>
      <c r="X104" s="3">
        <v>122.6</v>
      </c>
      <c r="Y104" s="3">
        <v>114</v>
      </c>
      <c r="Z104" s="3">
        <v>120.9</v>
      </c>
      <c r="AA104" s="3">
        <v>125.8</v>
      </c>
      <c r="AB104" s="3">
        <v>114.2</v>
      </c>
      <c r="AC104" s="3">
        <v>119.6</v>
      </c>
      <c r="AD104" s="3">
        <v>128.30000000000001</v>
      </c>
    </row>
    <row r="105" spans="1:30" ht="15" customHeight="1" x14ac:dyDescent="0.2">
      <c r="A105" s="3" t="s">
        <v>87</v>
      </c>
      <c r="B105" s="3">
        <v>2015</v>
      </c>
      <c r="C105" s="3" t="s">
        <v>107</v>
      </c>
      <c r="D105" s="3">
        <v>124</v>
      </c>
      <c r="E105" s="3">
        <v>129.80000000000001</v>
      </c>
      <c r="F105" s="3">
        <v>121.5</v>
      </c>
      <c r="G105" s="3">
        <v>128.6</v>
      </c>
      <c r="H105" s="3">
        <v>110</v>
      </c>
      <c r="I105" s="3">
        <v>123.7</v>
      </c>
      <c r="J105" s="3">
        <v>164.6</v>
      </c>
      <c r="K105" s="3">
        <v>191.6</v>
      </c>
      <c r="L105" s="3">
        <v>90.8</v>
      </c>
      <c r="M105" s="3">
        <v>137.1</v>
      </c>
      <c r="N105" s="3">
        <v>119.8</v>
      </c>
      <c r="O105" s="3">
        <v>133.69999999999999</v>
      </c>
      <c r="P105" s="3">
        <v>133.30000000000001</v>
      </c>
      <c r="Q105" s="3">
        <v>137.6</v>
      </c>
      <c r="R105" s="3">
        <v>125</v>
      </c>
      <c r="S105" s="3">
        <v>119.3</v>
      </c>
      <c r="T105" s="3">
        <v>124.2</v>
      </c>
      <c r="U105" s="3" t="s">
        <v>133</v>
      </c>
      <c r="V105" s="3">
        <v>115.1</v>
      </c>
      <c r="W105" s="3">
        <v>121</v>
      </c>
      <c r="X105" s="3">
        <v>118.1</v>
      </c>
      <c r="Y105" s="3">
        <v>109.3</v>
      </c>
      <c r="Z105" s="3">
        <v>117.9</v>
      </c>
      <c r="AA105" s="3">
        <v>126.6</v>
      </c>
      <c r="AB105" s="3">
        <v>113.3</v>
      </c>
      <c r="AC105" s="3">
        <v>116.6</v>
      </c>
      <c r="AD105" s="3">
        <v>124.6</v>
      </c>
    </row>
    <row r="106" spans="1:30" ht="15" customHeight="1" x14ac:dyDescent="0.2">
      <c r="A106" s="3" t="s">
        <v>89</v>
      </c>
      <c r="B106" s="3">
        <v>2015</v>
      </c>
      <c r="C106" s="3" t="s">
        <v>107</v>
      </c>
      <c r="D106" s="3">
        <v>125.4</v>
      </c>
      <c r="E106" s="3">
        <v>130.30000000000001</v>
      </c>
      <c r="F106" s="3">
        <v>121.6</v>
      </c>
      <c r="G106" s="3">
        <v>129.19999999999999</v>
      </c>
      <c r="H106" s="3">
        <v>114.9</v>
      </c>
      <c r="I106" s="3">
        <v>128.19999999999999</v>
      </c>
      <c r="J106" s="3">
        <v>158.4</v>
      </c>
      <c r="K106" s="3">
        <v>171.2</v>
      </c>
      <c r="L106" s="3">
        <v>93.3</v>
      </c>
      <c r="M106" s="3">
        <v>131.19999999999999</v>
      </c>
      <c r="N106" s="3">
        <v>121.7</v>
      </c>
      <c r="O106" s="3">
        <v>134</v>
      </c>
      <c r="P106" s="3">
        <v>132.69999999999999</v>
      </c>
      <c r="Q106" s="3">
        <v>133.6</v>
      </c>
      <c r="R106" s="3">
        <v>129.30000000000001</v>
      </c>
      <c r="S106" s="3">
        <v>124.5</v>
      </c>
      <c r="T106" s="3">
        <v>128.6</v>
      </c>
      <c r="U106" s="3" t="s">
        <v>133</v>
      </c>
      <c r="V106" s="3">
        <v>121.6</v>
      </c>
      <c r="W106" s="3">
        <v>123.4</v>
      </c>
      <c r="X106" s="3">
        <v>120.9</v>
      </c>
      <c r="Y106" s="3">
        <v>111.5</v>
      </c>
      <c r="Z106" s="3">
        <v>119.2</v>
      </c>
      <c r="AA106" s="3">
        <v>126.3</v>
      </c>
      <c r="AB106" s="3">
        <v>113.8</v>
      </c>
      <c r="AC106" s="3">
        <v>118.1</v>
      </c>
      <c r="AD106" s="3">
        <v>126.6</v>
      </c>
    </row>
    <row r="107" spans="1:30" ht="15" customHeight="1" x14ac:dyDescent="0.2">
      <c r="A107" s="3" t="s">
        <v>84</v>
      </c>
      <c r="B107" s="3">
        <v>2015</v>
      </c>
      <c r="C107" s="3" t="s">
        <v>109</v>
      </c>
      <c r="D107" s="3">
        <v>126.3</v>
      </c>
      <c r="E107" s="3">
        <v>131.30000000000001</v>
      </c>
      <c r="F107" s="3">
        <v>123.3</v>
      </c>
      <c r="G107" s="3">
        <v>129.80000000000001</v>
      </c>
      <c r="H107" s="3">
        <v>118.3</v>
      </c>
      <c r="I107" s="3">
        <v>131.6</v>
      </c>
      <c r="J107" s="3">
        <v>145.5</v>
      </c>
      <c r="K107" s="3">
        <v>162.1</v>
      </c>
      <c r="L107" s="3">
        <v>95.4</v>
      </c>
      <c r="M107" s="3">
        <v>128.9</v>
      </c>
      <c r="N107" s="3">
        <v>123.3</v>
      </c>
      <c r="O107" s="3">
        <v>135.1</v>
      </c>
      <c r="P107" s="3">
        <v>131.4</v>
      </c>
      <c r="Q107" s="3">
        <v>133.1</v>
      </c>
      <c r="R107" s="3">
        <v>132.5</v>
      </c>
      <c r="S107" s="3">
        <v>128.5</v>
      </c>
      <c r="T107" s="3">
        <v>131.9</v>
      </c>
      <c r="V107" s="3">
        <v>125.7</v>
      </c>
      <c r="W107" s="3">
        <v>126</v>
      </c>
      <c r="X107" s="3">
        <v>123.1</v>
      </c>
      <c r="Y107" s="3">
        <v>114</v>
      </c>
      <c r="Z107" s="3">
        <v>121.6</v>
      </c>
      <c r="AA107" s="3">
        <v>125.6</v>
      </c>
      <c r="AB107" s="3">
        <v>114.1</v>
      </c>
      <c r="AC107" s="3">
        <v>119.8</v>
      </c>
      <c r="AD107" s="3">
        <v>127.9</v>
      </c>
    </row>
    <row r="108" spans="1:30" ht="15" customHeight="1" x14ac:dyDescent="0.2">
      <c r="A108" s="3" t="s">
        <v>87</v>
      </c>
      <c r="B108" s="3">
        <v>2015</v>
      </c>
      <c r="C108" s="3" t="s">
        <v>109</v>
      </c>
      <c r="D108" s="3">
        <v>124.3</v>
      </c>
      <c r="E108" s="3">
        <v>131.69999999999999</v>
      </c>
      <c r="F108" s="3">
        <v>127.1</v>
      </c>
      <c r="G108" s="3">
        <v>128.6</v>
      </c>
      <c r="H108" s="3">
        <v>110</v>
      </c>
      <c r="I108" s="3">
        <v>120.8</v>
      </c>
      <c r="J108" s="3">
        <v>149</v>
      </c>
      <c r="K108" s="3">
        <v>190.1</v>
      </c>
      <c r="L108" s="3">
        <v>92.7</v>
      </c>
      <c r="M108" s="3">
        <v>138.6</v>
      </c>
      <c r="N108" s="3">
        <v>120.2</v>
      </c>
      <c r="O108" s="3">
        <v>134.19999999999999</v>
      </c>
      <c r="P108" s="3">
        <v>131.5</v>
      </c>
      <c r="Q108" s="3">
        <v>138.19999999999999</v>
      </c>
      <c r="R108" s="3">
        <v>125.4</v>
      </c>
      <c r="S108" s="3">
        <v>119.5</v>
      </c>
      <c r="T108" s="3">
        <v>124.5</v>
      </c>
      <c r="U108" s="3" t="s">
        <v>132</v>
      </c>
      <c r="V108" s="3">
        <v>116</v>
      </c>
      <c r="W108" s="3">
        <v>121</v>
      </c>
      <c r="X108" s="3">
        <v>118.6</v>
      </c>
      <c r="Y108" s="3">
        <v>109.3</v>
      </c>
      <c r="Z108" s="3">
        <v>118.1</v>
      </c>
      <c r="AA108" s="3">
        <v>126.6</v>
      </c>
      <c r="AB108" s="3">
        <v>113.2</v>
      </c>
      <c r="AC108" s="3">
        <v>116.7</v>
      </c>
      <c r="AD108" s="3">
        <v>124</v>
      </c>
    </row>
    <row r="109" spans="1:30" ht="15" customHeight="1" x14ac:dyDescent="0.2">
      <c r="A109" s="3" t="s">
        <v>89</v>
      </c>
      <c r="B109" s="3">
        <v>2015</v>
      </c>
      <c r="C109" s="3" t="s">
        <v>109</v>
      </c>
      <c r="D109" s="3">
        <v>125.7</v>
      </c>
      <c r="E109" s="3">
        <v>131.4</v>
      </c>
      <c r="F109" s="3">
        <v>124.8</v>
      </c>
      <c r="G109" s="3">
        <v>129.4</v>
      </c>
      <c r="H109" s="3">
        <v>115.3</v>
      </c>
      <c r="I109" s="3">
        <v>126.6</v>
      </c>
      <c r="J109" s="3">
        <v>146.69999999999999</v>
      </c>
      <c r="K109" s="3">
        <v>171.5</v>
      </c>
      <c r="L109" s="3">
        <v>94.5</v>
      </c>
      <c r="M109" s="3">
        <v>132.1</v>
      </c>
      <c r="N109" s="3">
        <v>122</v>
      </c>
      <c r="O109" s="3">
        <v>134.69999999999999</v>
      </c>
      <c r="P109" s="3">
        <v>131.4</v>
      </c>
      <c r="Q109" s="3">
        <v>134.5</v>
      </c>
      <c r="R109" s="3">
        <v>129.69999999999999</v>
      </c>
      <c r="S109" s="3">
        <v>124.8</v>
      </c>
      <c r="T109" s="3">
        <v>129</v>
      </c>
      <c r="U109" s="3" t="s">
        <v>132</v>
      </c>
      <c r="V109" s="3">
        <v>122</v>
      </c>
      <c r="W109" s="3">
        <v>123.6</v>
      </c>
      <c r="X109" s="3">
        <v>121.4</v>
      </c>
      <c r="Y109" s="3">
        <v>111.5</v>
      </c>
      <c r="Z109" s="3">
        <v>119.6</v>
      </c>
      <c r="AA109" s="3">
        <v>126.2</v>
      </c>
      <c r="AB109" s="3">
        <v>113.7</v>
      </c>
      <c r="AC109" s="3">
        <v>118.3</v>
      </c>
      <c r="AD109" s="3">
        <v>126.1</v>
      </c>
    </row>
    <row r="110" spans="1:30" ht="15" customHeight="1" x14ac:dyDescent="0.2">
      <c r="A110" s="3" t="s">
        <v>84</v>
      </c>
      <c r="B110" s="3">
        <v>2016</v>
      </c>
      <c r="C110" s="3" t="s">
        <v>85</v>
      </c>
      <c r="D110" s="3">
        <v>126.8</v>
      </c>
      <c r="E110" s="3">
        <v>133.19999999999999</v>
      </c>
      <c r="F110" s="3">
        <v>126.5</v>
      </c>
      <c r="G110" s="3">
        <v>130.30000000000001</v>
      </c>
      <c r="H110" s="3">
        <v>118.9</v>
      </c>
      <c r="I110" s="3">
        <v>131.6</v>
      </c>
      <c r="J110" s="3">
        <v>140.1</v>
      </c>
      <c r="K110" s="3">
        <v>163.80000000000001</v>
      </c>
      <c r="L110" s="3">
        <v>97.7</v>
      </c>
      <c r="M110" s="3">
        <v>129.6</v>
      </c>
      <c r="N110" s="3">
        <v>124.3</v>
      </c>
      <c r="O110" s="3">
        <v>135.9</v>
      </c>
      <c r="P110" s="3">
        <v>131.4</v>
      </c>
      <c r="Q110" s="3">
        <v>133.6</v>
      </c>
      <c r="R110" s="3">
        <v>133.19999999999999</v>
      </c>
      <c r="S110" s="3">
        <v>128.9</v>
      </c>
      <c r="T110" s="3">
        <v>132.6</v>
      </c>
      <c r="V110" s="3">
        <v>126.2</v>
      </c>
      <c r="W110" s="3">
        <v>126.6</v>
      </c>
      <c r="X110" s="3">
        <v>123.7</v>
      </c>
      <c r="Y110" s="3">
        <v>113.6</v>
      </c>
      <c r="Z110" s="3">
        <v>121.4</v>
      </c>
      <c r="AA110" s="3">
        <v>126.2</v>
      </c>
      <c r="AB110" s="3">
        <v>114.9</v>
      </c>
      <c r="AC110" s="3">
        <v>120.1</v>
      </c>
      <c r="AD110" s="3">
        <v>128.1</v>
      </c>
    </row>
    <row r="111" spans="1:30" ht="15" customHeight="1" x14ac:dyDescent="0.2">
      <c r="A111" s="3" t="s">
        <v>87</v>
      </c>
      <c r="B111" s="3">
        <v>2016</v>
      </c>
      <c r="C111" s="3" t="s">
        <v>85</v>
      </c>
      <c r="D111" s="3">
        <v>124.7</v>
      </c>
      <c r="E111" s="3">
        <v>135.9</v>
      </c>
      <c r="F111" s="3">
        <v>132</v>
      </c>
      <c r="G111" s="3">
        <v>129.19999999999999</v>
      </c>
      <c r="H111" s="3">
        <v>109.7</v>
      </c>
      <c r="I111" s="3">
        <v>119</v>
      </c>
      <c r="J111" s="3">
        <v>144.1</v>
      </c>
      <c r="K111" s="3">
        <v>184.2</v>
      </c>
      <c r="L111" s="3">
        <v>96.7</v>
      </c>
      <c r="M111" s="3">
        <v>139.5</v>
      </c>
      <c r="N111" s="3">
        <v>120.5</v>
      </c>
      <c r="O111" s="3">
        <v>134.69999999999999</v>
      </c>
      <c r="P111" s="3">
        <v>131.19999999999999</v>
      </c>
      <c r="Q111" s="3">
        <v>139.5</v>
      </c>
      <c r="R111" s="3">
        <v>125.8</v>
      </c>
      <c r="S111" s="3">
        <v>119.8</v>
      </c>
      <c r="T111" s="3">
        <v>124.9</v>
      </c>
      <c r="U111" s="3" t="s">
        <v>134</v>
      </c>
      <c r="V111" s="3">
        <v>116.9</v>
      </c>
      <c r="W111" s="3">
        <v>121.6</v>
      </c>
      <c r="X111" s="3">
        <v>119.1</v>
      </c>
      <c r="Y111" s="3">
        <v>108.9</v>
      </c>
      <c r="Z111" s="3">
        <v>118.5</v>
      </c>
      <c r="AA111" s="3">
        <v>126.4</v>
      </c>
      <c r="AB111" s="3">
        <v>114</v>
      </c>
      <c r="AC111" s="3">
        <v>116.8</v>
      </c>
      <c r="AD111" s="3">
        <v>124.2</v>
      </c>
    </row>
    <row r="112" spans="1:30" ht="15" customHeight="1" x14ac:dyDescent="0.2">
      <c r="A112" s="3" t="s">
        <v>89</v>
      </c>
      <c r="B112" s="3">
        <v>2016</v>
      </c>
      <c r="C112" s="3" t="s">
        <v>85</v>
      </c>
      <c r="D112" s="3">
        <v>126.1</v>
      </c>
      <c r="E112" s="3">
        <v>134.1</v>
      </c>
      <c r="F112" s="3">
        <v>128.6</v>
      </c>
      <c r="G112" s="3">
        <v>129.9</v>
      </c>
      <c r="H112" s="3">
        <v>115.5</v>
      </c>
      <c r="I112" s="3">
        <v>125.7</v>
      </c>
      <c r="J112" s="3">
        <v>141.5</v>
      </c>
      <c r="K112" s="3">
        <v>170.7</v>
      </c>
      <c r="L112" s="3">
        <v>97.4</v>
      </c>
      <c r="M112" s="3">
        <v>132.9</v>
      </c>
      <c r="N112" s="3">
        <v>122.7</v>
      </c>
      <c r="O112" s="3">
        <v>135.30000000000001</v>
      </c>
      <c r="P112" s="3">
        <v>131.30000000000001</v>
      </c>
      <c r="Q112" s="3">
        <v>135.19999999999999</v>
      </c>
      <c r="R112" s="3">
        <v>130.30000000000001</v>
      </c>
      <c r="S112" s="3">
        <v>125.1</v>
      </c>
      <c r="T112" s="3">
        <v>129.5</v>
      </c>
      <c r="U112" s="3" t="s">
        <v>134</v>
      </c>
      <c r="V112" s="3">
        <v>122.7</v>
      </c>
      <c r="W112" s="3">
        <v>124.2</v>
      </c>
      <c r="X112" s="3">
        <v>122</v>
      </c>
      <c r="Y112" s="3">
        <v>111.1</v>
      </c>
      <c r="Z112" s="3">
        <v>119.8</v>
      </c>
      <c r="AA112" s="3">
        <v>126.3</v>
      </c>
      <c r="AB112" s="3">
        <v>114.5</v>
      </c>
      <c r="AC112" s="3">
        <v>118.5</v>
      </c>
      <c r="AD112" s="3">
        <v>126.3</v>
      </c>
    </row>
    <row r="113" spans="1:30" ht="15" customHeight="1" x14ac:dyDescent="0.2">
      <c r="A113" s="3" t="s">
        <v>84</v>
      </c>
      <c r="B113" s="3">
        <v>2016</v>
      </c>
      <c r="C113" s="3" t="s">
        <v>90</v>
      </c>
      <c r="D113" s="3">
        <v>127.1</v>
      </c>
      <c r="E113" s="3">
        <v>133.69999999999999</v>
      </c>
      <c r="F113" s="3">
        <v>127.7</v>
      </c>
      <c r="G113" s="3">
        <v>130.69999999999999</v>
      </c>
      <c r="H113" s="3">
        <v>118.5</v>
      </c>
      <c r="I113" s="3">
        <v>130.4</v>
      </c>
      <c r="J113" s="3">
        <v>130.9</v>
      </c>
      <c r="K113" s="3">
        <v>162.80000000000001</v>
      </c>
      <c r="L113" s="3">
        <v>98.7</v>
      </c>
      <c r="M113" s="3">
        <v>130.6</v>
      </c>
      <c r="N113" s="3">
        <v>124.8</v>
      </c>
      <c r="O113" s="3">
        <v>136.4</v>
      </c>
      <c r="P113" s="3">
        <v>130.30000000000001</v>
      </c>
      <c r="Q113" s="3">
        <v>134.4</v>
      </c>
      <c r="R113" s="3">
        <v>133.9</v>
      </c>
      <c r="S113" s="3">
        <v>129.80000000000001</v>
      </c>
      <c r="T113" s="3">
        <v>133.4</v>
      </c>
      <c r="V113" s="3">
        <v>127.5</v>
      </c>
      <c r="W113" s="3">
        <v>127.1</v>
      </c>
      <c r="X113" s="3">
        <v>124.3</v>
      </c>
      <c r="Y113" s="3">
        <v>113.9</v>
      </c>
      <c r="Z113" s="3">
        <v>122.3</v>
      </c>
      <c r="AA113" s="3">
        <v>127.1</v>
      </c>
      <c r="AB113" s="3">
        <v>116.8</v>
      </c>
      <c r="AC113" s="3">
        <v>120.9</v>
      </c>
      <c r="AD113" s="3">
        <v>127.9</v>
      </c>
    </row>
    <row r="114" spans="1:30" ht="15" customHeight="1" x14ac:dyDescent="0.2">
      <c r="A114" s="3" t="s">
        <v>87</v>
      </c>
      <c r="B114" s="3">
        <v>2016</v>
      </c>
      <c r="C114" s="3" t="s">
        <v>90</v>
      </c>
      <c r="D114" s="3">
        <v>124.8</v>
      </c>
      <c r="E114" s="3">
        <v>135.1</v>
      </c>
      <c r="F114" s="3">
        <v>130.30000000000001</v>
      </c>
      <c r="G114" s="3">
        <v>129.6</v>
      </c>
      <c r="H114" s="3">
        <v>108.4</v>
      </c>
      <c r="I114" s="3">
        <v>118.6</v>
      </c>
      <c r="J114" s="3">
        <v>129.19999999999999</v>
      </c>
      <c r="K114" s="3">
        <v>176.4</v>
      </c>
      <c r="L114" s="3">
        <v>99.1</v>
      </c>
      <c r="M114" s="3">
        <v>139.69999999999999</v>
      </c>
      <c r="N114" s="3">
        <v>120.6</v>
      </c>
      <c r="O114" s="3">
        <v>135.19999999999999</v>
      </c>
      <c r="P114" s="3">
        <v>129.1</v>
      </c>
      <c r="Q114" s="3">
        <v>140</v>
      </c>
      <c r="R114" s="3">
        <v>126.2</v>
      </c>
      <c r="S114" s="3">
        <v>120.1</v>
      </c>
      <c r="T114" s="3">
        <v>125.3</v>
      </c>
      <c r="U114" s="3" t="s">
        <v>135</v>
      </c>
      <c r="V114" s="3">
        <v>116</v>
      </c>
      <c r="W114" s="3">
        <v>121.8</v>
      </c>
      <c r="X114" s="3">
        <v>119.5</v>
      </c>
      <c r="Y114" s="3">
        <v>109.1</v>
      </c>
      <c r="Z114" s="3">
        <v>118.8</v>
      </c>
      <c r="AA114" s="3">
        <v>126.3</v>
      </c>
      <c r="AB114" s="3">
        <v>116.2</v>
      </c>
      <c r="AC114" s="3">
        <v>117.2</v>
      </c>
      <c r="AD114" s="3">
        <v>123.8</v>
      </c>
    </row>
    <row r="115" spans="1:30" ht="15" customHeight="1" x14ac:dyDescent="0.2">
      <c r="A115" s="3" t="s">
        <v>89</v>
      </c>
      <c r="B115" s="3">
        <v>2016</v>
      </c>
      <c r="C115" s="3" t="s">
        <v>90</v>
      </c>
      <c r="D115" s="3">
        <v>126.4</v>
      </c>
      <c r="E115" s="3">
        <v>134.19999999999999</v>
      </c>
      <c r="F115" s="3">
        <v>128.69999999999999</v>
      </c>
      <c r="G115" s="3">
        <v>130.30000000000001</v>
      </c>
      <c r="H115" s="3">
        <v>114.8</v>
      </c>
      <c r="I115" s="3">
        <v>124.9</v>
      </c>
      <c r="J115" s="3">
        <v>130.30000000000001</v>
      </c>
      <c r="K115" s="3">
        <v>167.4</v>
      </c>
      <c r="L115" s="3">
        <v>98.8</v>
      </c>
      <c r="M115" s="3">
        <v>133.6</v>
      </c>
      <c r="N115" s="3">
        <v>123</v>
      </c>
      <c r="O115" s="3">
        <v>135.80000000000001</v>
      </c>
      <c r="P115" s="3">
        <v>129.9</v>
      </c>
      <c r="Q115" s="3">
        <v>135.9</v>
      </c>
      <c r="R115" s="3">
        <v>130.9</v>
      </c>
      <c r="S115" s="3">
        <v>125.8</v>
      </c>
      <c r="T115" s="3">
        <v>130.19999999999999</v>
      </c>
      <c r="U115" s="3" t="s">
        <v>135</v>
      </c>
      <c r="V115" s="3">
        <v>123.1</v>
      </c>
      <c r="W115" s="3">
        <v>124.6</v>
      </c>
      <c r="X115" s="3">
        <v>122.5</v>
      </c>
      <c r="Y115" s="3">
        <v>111.4</v>
      </c>
      <c r="Z115" s="3">
        <v>120.3</v>
      </c>
      <c r="AA115" s="3">
        <v>126.6</v>
      </c>
      <c r="AB115" s="3">
        <v>116.6</v>
      </c>
      <c r="AC115" s="3">
        <v>119.1</v>
      </c>
      <c r="AD115" s="3">
        <v>126</v>
      </c>
    </row>
    <row r="116" spans="1:30" ht="15" customHeight="1" x14ac:dyDescent="0.2">
      <c r="A116" s="3" t="s">
        <v>84</v>
      </c>
      <c r="B116" s="3">
        <v>2016</v>
      </c>
      <c r="C116" s="3" t="s">
        <v>92</v>
      </c>
      <c r="D116" s="3">
        <v>127.3</v>
      </c>
      <c r="E116" s="3">
        <v>134.4</v>
      </c>
      <c r="F116" s="3">
        <v>125.1</v>
      </c>
      <c r="G116" s="3">
        <v>130.5</v>
      </c>
      <c r="H116" s="3">
        <v>118.3</v>
      </c>
      <c r="I116" s="3">
        <v>131.69999999999999</v>
      </c>
      <c r="J116" s="3">
        <v>130.69999999999999</v>
      </c>
      <c r="K116" s="3">
        <v>161.19999999999999</v>
      </c>
      <c r="L116" s="3">
        <v>100.4</v>
      </c>
      <c r="M116" s="3">
        <v>130.80000000000001</v>
      </c>
      <c r="N116" s="3">
        <v>124.9</v>
      </c>
      <c r="O116" s="3">
        <v>137</v>
      </c>
      <c r="P116" s="3">
        <v>130.4</v>
      </c>
      <c r="Q116" s="3">
        <v>135</v>
      </c>
      <c r="R116" s="3">
        <v>134.4</v>
      </c>
      <c r="S116" s="3">
        <v>130.19999999999999</v>
      </c>
      <c r="T116" s="3">
        <v>133.80000000000001</v>
      </c>
      <c r="V116" s="3">
        <v>127</v>
      </c>
      <c r="W116" s="3">
        <v>127.7</v>
      </c>
      <c r="X116" s="3">
        <v>124.8</v>
      </c>
      <c r="Y116" s="3">
        <v>113.6</v>
      </c>
      <c r="Z116" s="3">
        <v>122.5</v>
      </c>
      <c r="AA116" s="3">
        <v>127.5</v>
      </c>
      <c r="AB116" s="3">
        <v>117.4</v>
      </c>
      <c r="AC116" s="3">
        <v>121.1</v>
      </c>
      <c r="AD116" s="3">
        <v>128</v>
      </c>
    </row>
    <row r="117" spans="1:30" ht="15" customHeight="1" x14ac:dyDescent="0.2">
      <c r="A117" s="3" t="s">
        <v>87</v>
      </c>
      <c r="B117" s="3">
        <v>2016</v>
      </c>
      <c r="C117" s="3" t="s">
        <v>92</v>
      </c>
      <c r="D117" s="3">
        <v>124.8</v>
      </c>
      <c r="E117" s="3">
        <v>136.30000000000001</v>
      </c>
      <c r="F117" s="3">
        <v>123.7</v>
      </c>
      <c r="G117" s="3">
        <v>129.69999999999999</v>
      </c>
      <c r="H117" s="3">
        <v>107.9</v>
      </c>
      <c r="I117" s="3">
        <v>119.9</v>
      </c>
      <c r="J117" s="3">
        <v>128.1</v>
      </c>
      <c r="K117" s="3">
        <v>170.3</v>
      </c>
      <c r="L117" s="3">
        <v>101.8</v>
      </c>
      <c r="M117" s="3">
        <v>140.1</v>
      </c>
      <c r="N117" s="3">
        <v>120.7</v>
      </c>
      <c r="O117" s="3">
        <v>135.4</v>
      </c>
      <c r="P117" s="3">
        <v>128.9</v>
      </c>
      <c r="Q117" s="3">
        <v>140.6</v>
      </c>
      <c r="R117" s="3">
        <v>126.4</v>
      </c>
      <c r="S117" s="3">
        <v>120.3</v>
      </c>
      <c r="T117" s="3">
        <v>125.5</v>
      </c>
      <c r="U117" s="3" t="s">
        <v>136</v>
      </c>
      <c r="V117" s="3">
        <v>114.8</v>
      </c>
      <c r="W117" s="3">
        <v>122.3</v>
      </c>
      <c r="X117" s="3">
        <v>119.7</v>
      </c>
      <c r="Y117" s="3">
        <v>108.5</v>
      </c>
      <c r="Z117" s="3">
        <v>119.1</v>
      </c>
      <c r="AA117" s="3">
        <v>126.4</v>
      </c>
      <c r="AB117" s="3">
        <v>117.1</v>
      </c>
      <c r="AC117" s="3">
        <v>117.3</v>
      </c>
      <c r="AD117" s="3">
        <v>123.8</v>
      </c>
    </row>
    <row r="118" spans="1:30" ht="15" customHeight="1" x14ac:dyDescent="0.2">
      <c r="A118" s="3" t="s">
        <v>89</v>
      </c>
      <c r="B118" s="3">
        <v>2016</v>
      </c>
      <c r="C118" s="3" t="s">
        <v>92</v>
      </c>
      <c r="D118" s="3">
        <v>126.5</v>
      </c>
      <c r="E118" s="3">
        <v>135.1</v>
      </c>
      <c r="F118" s="3">
        <v>124.6</v>
      </c>
      <c r="G118" s="3">
        <v>130.19999999999999</v>
      </c>
      <c r="H118" s="3">
        <v>114.5</v>
      </c>
      <c r="I118" s="3">
        <v>126.2</v>
      </c>
      <c r="J118" s="3">
        <v>129.80000000000001</v>
      </c>
      <c r="K118" s="3">
        <v>164.3</v>
      </c>
      <c r="L118" s="3">
        <v>100.9</v>
      </c>
      <c r="M118" s="3">
        <v>133.9</v>
      </c>
      <c r="N118" s="3">
        <v>123.1</v>
      </c>
      <c r="O118" s="3">
        <v>136.30000000000001</v>
      </c>
      <c r="P118" s="3">
        <v>129.80000000000001</v>
      </c>
      <c r="Q118" s="3">
        <v>136.5</v>
      </c>
      <c r="R118" s="3">
        <v>131.30000000000001</v>
      </c>
      <c r="S118" s="3">
        <v>126.1</v>
      </c>
      <c r="T118" s="3">
        <v>130.5</v>
      </c>
      <c r="U118" s="3" t="s">
        <v>136</v>
      </c>
      <c r="V118" s="3">
        <v>122.4</v>
      </c>
      <c r="W118" s="3">
        <v>125.1</v>
      </c>
      <c r="X118" s="3">
        <v>122.9</v>
      </c>
      <c r="Y118" s="3">
        <v>110.9</v>
      </c>
      <c r="Z118" s="3">
        <v>120.6</v>
      </c>
      <c r="AA118" s="3">
        <v>126.9</v>
      </c>
      <c r="AB118" s="3">
        <v>117.3</v>
      </c>
      <c r="AC118" s="3">
        <v>119.3</v>
      </c>
      <c r="AD118" s="3">
        <v>126</v>
      </c>
    </row>
    <row r="119" spans="1:30" ht="15" customHeight="1" x14ac:dyDescent="0.2">
      <c r="A119" s="3" t="s">
        <v>84</v>
      </c>
      <c r="B119" s="3">
        <v>2016</v>
      </c>
      <c r="C119" s="3" t="s">
        <v>93</v>
      </c>
      <c r="D119" s="3">
        <v>127.4</v>
      </c>
      <c r="E119" s="3">
        <v>135.4</v>
      </c>
      <c r="F119" s="3">
        <v>123.4</v>
      </c>
      <c r="G119" s="3">
        <v>131.30000000000001</v>
      </c>
      <c r="H119" s="3">
        <v>118.2</v>
      </c>
      <c r="I119" s="3">
        <v>138.1</v>
      </c>
      <c r="J119" s="3">
        <v>134.1</v>
      </c>
      <c r="K119" s="3">
        <v>162.69999999999999</v>
      </c>
      <c r="L119" s="3">
        <v>105</v>
      </c>
      <c r="M119" s="3">
        <v>131.4</v>
      </c>
      <c r="N119" s="3">
        <v>125.4</v>
      </c>
      <c r="O119" s="3">
        <v>137.4</v>
      </c>
      <c r="P119" s="3">
        <v>131.80000000000001</v>
      </c>
      <c r="Q119" s="3">
        <v>135.5</v>
      </c>
      <c r="R119" s="3">
        <v>135</v>
      </c>
      <c r="S119" s="3">
        <v>130.6</v>
      </c>
      <c r="T119" s="3">
        <v>134.4</v>
      </c>
      <c r="V119" s="3">
        <v>127</v>
      </c>
      <c r="W119" s="3">
        <v>128</v>
      </c>
      <c r="X119" s="3">
        <v>125.2</v>
      </c>
      <c r="Y119" s="3">
        <v>114.4</v>
      </c>
      <c r="Z119" s="3">
        <v>123.2</v>
      </c>
      <c r="AA119" s="3">
        <v>127.9</v>
      </c>
      <c r="AB119" s="3">
        <v>118.4</v>
      </c>
      <c r="AC119" s="3">
        <v>121.7</v>
      </c>
      <c r="AD119" s="3">
        <v>129</v>
      </c>
    </row>
    <row r="120" spans="1:30" ht="15" customHeight="1" x14ac:dyDescent="0.2">
      <c r="A120" s="3" t="s">
        <v>87</v>
      </c>
      <c r="B120" s="3">
        <v>2016</v>
      </c>
      <c r="C120" s="3" t="s">
        <v>93</v>
      </c>
      <c r="D120" s="3">
        <v>124.9</v>
      </c>
      <c r="E120" s="3">
        <v>139.30000000000001</v>
      </c>
      <c r="F120" s="3">
        <v>119.9</v>
      </c>
      <c r="G120" s="3">
        <v>130.19999999999999</v>
      </c>
      <c r="H120" s="3">
        <v>108.9</v>
      </c>
      <c r="I120" s="3">
        <v>131.1</v>
      </c>
      <c r="J120" s="3">
        <v>136.80000000000001</v>
      </c>
      <c r="K120" s="3">
        <v>176.9</v>
      </c>
      <c r="L120" s="3">
        <v>109.1</v>
      </c>
      <c r="M120" s="3">
        <v>140.4</v>
      </c>
      <c r="N120" s="3">
        <v>121.1</v>
      </c>
      <c r="O120" s="3">
        <v>135.9</v>
      </c>
      <c r="P120" s="3">
        <v>131.80000000000001</v>
      </c>
      <c r="Q120" s="3">
        <v>141.5</v>
      </c>
      <c r="R120" s="3">
        <v>126.8</v>
      </c>
      <c r="S120" s="3">
        <v>120.5</v>
      </c>
      <c r="T120" s="3">
        <v>125.8</v>
      </c>
      <c r="U120" s="3" t="s">
        <v>137</v>
      </c>
      <c r="V120" s="3">
        <v>114.6</v>
      </c>
      <c r="W120" s="3">
        <v>122.8</v>
      </c>
      <c r="X120" s="3">
        <v>120</v>
      </c>
      <c r="Y120" s="3">
        <v>110</v>
      </c>
      <c r="Z120" s="3">
        <v>119.5</v>
      </c>
      <c r="AA120" s="3">
        <v>127.6</v>
      </c>
      <c r="AB120" s="3">
        <v>117.6</v>
      </c>
      <c r="AC120" s="3">
        <v>118.2</v>
      </c>
      <c r="AD120" s="3">
        <v>125.3</v>
      </c>
    </row>
    <row r="121" spans="1:30" ht="15" customHeight="1" x14ac:dyDescent="0.2">
      <c r="A121" s="3" t="s">
        <v>89</v>
      </c>
      <c r="B121" s="3">
        <v>2016</v>
      </c>
      <c r="C121" s="3" t="s">
        <v>93</v>
      </c>
      <c r="D121" s="3">
        <v>126.6</v>
      </c>
      <c r="E121" s="3">
        <v>136.80000000000001</v>
      </c>
      <c r="F121" s="3">
        <v>122</v>
      </c>
      <c r="G121" s="3">
        <v>130.9</v>
      </c>
      <c r="H121" s="3">
        <v>114.8</v>
      </c>
      <c r="I121" s="3">
        <v>134.80000000000001</v>
      </c>
      <c r="J121" s="3">
        <v>135</v>
      </c>
      <c r="K121" s="3">
        <v>167.5</v>
      </c>
      <c r="L121" s="3">
        <v>106.4</v>
      </c>
      <c r="M121" s="3">
        <v>134.4</v>
      </c>
      <c r="N121" s="3">
        <v>123.6</v>
      </c>
      <c r="O121" s="3">
        <v>136.69999999999999</v>
      </c>
      <c r="P121" s="3">
        <v>131.80000000000001</v>
      </c>
      <c r="Q121" s="3">
        <v>137.1</v>
      </c>
      <c r="R121" s="3">
        <v>131.80000000000001</v>
      </c>
      <c r="S121" s="3">
        <v>126.4</v>
      </c>
      <c r="T121" s="3">
        <v>131</v>
      </c>
      <c r="U121" s="3" t="s">
        <v>137</v>
      </c>
      <c r="V121" s="3">
        <v>122.3</v>
      </c>
      <c r="W121" s="3">
        <v>125.5</v>
      </c>
      <c r="X121" s="3">
        <v>123.2</v>
      </c>
      <c r="Y121" s="3">
        <v>112.1</v>
      </c>
      <c r="Z121" s="3">
        <v>121.1</v>
      </c>
      <c r="AA121" s="3">
        <v>127.7</v>
      </c>
      <c r="AB121" s="3">
        <v>118.1</v>
      </c>
      <c r="AC121" s="3">
        <v>120</v>
      </c>
      <c r="AD121" s="3">
        <v>127.3</v>
      </c>
    </row>
    <row r="122" spans="1:30" ht="15" customHeight="1" x14ac:dyDescent="0.2">
      <c r="A122" s="3" t="s">
        <v>84</v>
      </c>
      <c r="B122" s="3">
        <v>2016</v>
      </c>
      <c r="C122" s="3" t="s">
        <v>95</v>
      </c>
      <c r="D122" s="3">
        <v>127.6</v>
      </c>
      <c r="E122" s="3">
        <v>137.5</v>
      </c>
      <c r="F122" s="3">
        <v>124.4</v>
      </c>
      <c r="G122" s="3">
        <v>132.4</v>
      </c>
      <c r="H122" s="3">
        <v>118.2</v>
      </c>
      <c r="I122" s="3">
        <v>138.1</v>
      </c>
      <c r="J122" s="3">
        <v>141.80000000000001</v>
      </c>
      <c r="K122" s="3">
        <v>166</v>
      </c>
      <c r="L122" s="3">
        <v>107.5</v>
      </c>
      <c r="M122" s="3">
        <v>132.19999999999999</v>
      </c>
      <c r="N122" s="3">
        <v>126.1</v>
      </c>
      <c r="O122" s="3">
        <v>138.30000000000001</v>
      </c>
      <c r="P122" s="3">
        <v>133.6</v>
      </c>
      <c r="Q122" s="3">
        <v>136</v>
      </c>
      <c r="R122" s="3">
        <v>135.4</v>
      </c>
      <c r="S122" s="3">
        <v>131.1</v>
      </c>
      <c r="T122" s="3">
        <v>134.80000000000001</v>
      </c>
      <c r="V122" s="3">
        <v>127.4</v>
      </c>
      <c r="W122" s="3">
        <v>128.5</v>
      </c>
      <c r="X122" s="3">
        <v>125.8</v>
      </c>
      <c r="Y122" s="3">
        <v>115.1</v>
      </c>
      <c r="Z122" s="3">
        <v>123.6</v>
      </c>
      <c r="AA122" s="3">
        <v>129.1</v>
      </c>
      <c r="AB122" s="3">
        <v>119.7</v>
      </c>
      <c r="AC122" s="3">
        <v>122.5</v>
      </c>
      <c r="AD122" s="3">
        <v>130.30000000000001</v>
      </c>
    </row>
    <row r="123" spans="1:30" ht="15" customHeight="1" x14ac:dyDescent="0.2">
      <c r="A123" s="3" t="s">
        <v>87</v>
      </c>
      <c r="B123" s="3">
        <v>2016</v>
      </c>
      <c r="C123" s="3" t="s">
        <v>95</v>
      </c>
      <c r="D123" s="3">
        <v>125</v>
      </c>
      <c r="E123" s="3">
        <v>142.1</v>
      </c>
      <c r="F123" s="3">
        <v>127</v>
      </c>
      <c r="G123" s="3">
        <v>130.4</v>
      </c>
      <c r="H123" s="3">
        <v>109.6</v>
      </c>
      <c r="I123" s="3">
        <v>133.5</v>
      </c>
      <c r="J123" s="3">
        <v>151.4</v>
      </c>
      <c r="K123" s="3">
        <v>182.8</v>
      </c>
      <c r="L123" s="3">
        <v>111.1</v>
      </c>
      <c r="M123" s="3">
        <v>141.5</v>
      </c>
      <c r="N123" s="3">
        <v>121.5</v>
      </c>
      <c r="O123" s="3">
        <v>136.30000000000001</v>
      </c>
      <c r="P123" s="3">
        <v>134.6</v>
      </c>
      <c r="Q123" s="3">
        <v>142.19999999999999</v>
      </c>
      <c r="R123" s="3">
        <v>127.2</v>
      </c>
      <c r="S123" s="3">
        <v>120.7</v>
      </c>
      <c r="T123" s="3">
        <v>126.2</v>
      </c>
      <c r="U123" s="3" t="s">
        <v>138</v>
      </c>
      <c r="V123" s="3">
        <v>115</v>
      </c>
      <c r="W123" s="3">
        <v>123.2</v>
      </c>
      <c r="X123" s="3">
        <v>120.3</v>
      </c>
      <c r="Y123" s="3">
        <v>110.7</v>
      </c>
      <c r="Z123" s="3">
        <v>119.8</v>
      </c>
      <c r="AA123" s="3">
        <v>128</v>
      </c>
      <c r="AB123" s="3">
        <v>118.5</v>
      </c>
      <c r="AC123" s="3">
        <v>118.7</v>
      </c>
      <c r="AD123" s="3">
        <v>126.6</v>
      </c>
    </row>
    <row r="124" spans="1:30" ht="15" customHeight="1" x14ac:dyDescent="0.2">
      <c r="A124" s="3" t="s">
        <v>89</v>
      </c>
      <c r="B124" s="3">
        <v>2016</v>
      </c>
      <c r="C124" s="3" t="s">
        <v>95</v>
      </c>
      <c r="D124" s="3">
        <v>126.8</v>
      </c>
      <c r="E124" s="3">
        <v>139.1</v>
      </c>
      <c r="F124" s="3">
        <v>125.4</v>
      </c>
      <c r="G124" s="3">
        <v>131.69999999999999</v>
      </c>
      <c r="H124" s="3">
        <v>115</v>
      </c>
      <c r="I124" s="3">
        <v>136</v>
      </c>
      <c r="J124" s="3">
        <v>145.1</v>
      </c>
      <c r="K124" s="3">
        <v>171.7</v>
      </c>
      <c r="L124" s="3">
        <v>108.7</v>
      </c>
      <c r="M124" s="3">
        <v>135.30000000000001</v>
      </c>
      <c r="N124" s="3">
        <v>124.2</v>
      </c>
      <c r="O124" s="3">
        <v>137.4</v>
      </c>
      <c r="P124" s="3">
        <v>134</v>
      </c>
      <c r="Q124" s="3">
        <v>137.69999999999999</v>
      </c>
      <c r="R124" s="3">
        <v>132.19999999999999</v>
      </c>
      <c r="S124" s="3">
        <v>126.8</v>
      </c>
      <c r="T124" s="3">
        <v>131.4</v>
      </c>
      <c r="U124" s="3" t="s">
        <v>138</v>
      </c>
      <c r="V124" s="3">
        <v>122.7</v>
      </c>
      <c r="W124" s="3">
        <v>126</v>
      </c>
      <c r="X124" s="3">
        <v>123.7</v>
      </c>
      <c r="Y124" s="3">
        <v>112.8</v>
      </c>
      <c r="Z124" s="3">
        <v>121.5</v>
      </c>
      <c r="AA124" s="3">
        <v>128.5</v>
      </c>
      <c r="AB124" s="3">
        <v>119.2</v>
      </c>
      <c r="AC124" s="3">
        <v>120.7</v>
      </c>
      <c r="AD124" s="3">
        <v>128.6</v>
      </c>
    </row>
    <row r="125" spans="1:30" ht="15" customHeight="1" x14ac:dyDescent="0.2">
      <c r="A125" s="3" t="s">
        <v>84</v>
      </c>
      <c r="B125" s="3">
        <v>2016</v>
      </c>
      <c r="C125" s="3" t="s">
        <v>96</v>
      </c>
      <c r="D125" s="3">
        <v>128.6</v>
      </c>
      <c r="E125" s="3">
        <v>138.6</v>
      </c>
      <c r="F125" s="3">
        <v>126.6</v>
      </c>
      <c r="G125" s="3">
        <v>133.6</v>
      </c>
      <c r="H125" s="3">
        <v>118.6</v>
      </c>
      <c r="I125" s="3">
        <v>137.4</v>
      </c>
      <c r="J125" s="3">
        <v>152.5</v>
      </c>
      <c r="K125" s="3">
        <v>169.2</v>
      </c>
      <c r="L125" s="3">
        <v>108.8</v>
      </c>
      <c r="M125" s="3">
        <v>133.1</v>
      </c>
      <c r="N125" s="3">
        <v>126.4</v>
      </c>
      <c r="O125" s="3">
        <v>139.19999999999999</v>
      </c>
      <c r="P125" s="3">
        <v>136</v>
      </c>
      <c r="Q125" s="3">
        <v>137.19999999999999</v>
      </c>
      <c r="R125" s="3">
        <v>136.30000000000001</v>
      </c>
      <c r="S125" s="3">
        <v>131.6</v>
      </c>
      <c r="T125" s="3">
        <v>135.6</v>
      </c>
      <c r="V125" s="3">
        <v>128</v>
      </c>
      <c r="W125" s="3">
        <v>129.30000000000001</v>
      </c>
      <c r="X125" s="3">
        <v>126.2</v>
      </c>
      <c r="Y125" s="3">
        <v>116.3</v>
      </c>
      <c r="Z125" s="3">
        <v>124.1</v>
      </c>
      <c r="AA125" s="3">
        <v>130.19999999999999</v>
      </c>
      <c r="AB125" s="3">
        <v>119.9</v>
      </c>
      <c r="AC125" s="3">
        <v>123.3</v>
      </c>
      <c r="AD125" s="3">
        <v>131.9</v>
      </c>
    </row>
    <row r="126" spans="1:30" ht="15" customHeight="1" x14ac:dyDescent="0.2">
      <c r="A126" s="3" t="s">
        <v>87</v>
      </c>
      <c r="B126" s="3">
        <v>2016</v>
      </c>
      <c r="C126" s="3" t="s">
        <v>96</v>
      </c>
      <c r="D126" s="3">
        <v>125.9</v>
      </c>
      <c r="E126" s="3">
        <v>143.9</v>
      </c>
      <c r="F126" s="3">
        <v>130.9</v>
      </c>
      <c r="G126" s="3">
        <v>131</v>
      </c>
      <c r="H126" s="3">
        <v>110.2</v>
      </c>
      <c r="I126" s="3">
        <v>135.5</v>
      </c>
      <c r="J126" s="3">
        <v>173.7</v>
      </c>
      <c r="K126" s="3">
        <v>184.4</v>
      </c>
      <c r="L126" s="3">
        <v>112</v>
      </c>
      <c r="M126" s="3">
        <v>142.80000000000001</v>
      </c>
      <c r="N126" s="3">
        <v>121.6</v>
      </c>
      <c r="O126" s="3">
        <v>136.9</v>
      </c>
      <c r="P126" s="3">
        <v>138.19999999999999</v>
      </c>
      <c r="Q126" s="3">
        <v>142.69999999999999</v>
      </c>
      <c r="R126" s="3">
        <v>127.6</v>
      </c>
      <c r="S126" s="3">
        <v>121.1</v>
      </c>
      <c r="T126" s="3">
        <v>126.6</v>
      </c>
      <c r="U126" s="3" t="s">
        <v>139</v>
      </c>
      <c r="V126" s="3">
        <v>115.5</v>
      </c>
      <c r="W126" s="3">
        <v>123.2</v>
      </c>
      <c r="X126" s="3">
        <v>120.6</v>
      </c>
      <c r="Y126" s="3">
        <v>112.3</v>
      </c>
      <c r="Z126" s="3">
        <v>119.9</v>
      </c>
      <c r="AA126" s="3">
        <v>129.30000000000001</v>
      </c>
      <c r="AB126" s="3">
        <v>118.8</v>
      </c>
      <c r="AC126" s="3">
        <v>119.6</v>
      </c>
      <c r="AD126" s="3">
        <v>128.1</v>
      </c>
    </row>
    <row r="127" spans="1:30" ht="15" customHeight="1" x14ac:dyDescent="0.2">
      <c r="A127" s="3" t="s">
        <v>89</v>
      </c>
      <c r="B127" s="3">
        <v>2016</v>
      </c>
      <c r="C127" s="3" t="s">
        <v>96</v>
      </c>
      <c r="D127" s="3">
        <v>127.7</v>
      </c>
      <c r="E127" s="3">
        <v>140.5</v>
      </c>
      <c r="F127" s="3">
        <v>128.30000000000001</v>
      </c>
      <c r="G127" s="3">
        <v>132.6</v>
      </c>
      <c r="H127" s="3">
        <v>115.5</v>
      </c>
      <c r="I127" s="3">
        <v>136.5</v>
      </c>
      <c r="J127" s="3">
        <v>159.69999999999999</v>
      </c>
      <c r="K127" s="3">
        <v>174.3</v>
      </c>
      <c r="L127" s="3">
        <v>109.9</v>
      </c>
      <c r="M127" s="3">
        <v>136.30000000000001</v>
      </c>
      <c r="N127" s="3">
        <v>124.4</v>
      </c>
      <c r="O127" s="3">
        <v>138.1</v>
      </c>
      <c r="P127" s="3">
        <v>136.80000000000001</v>
      </c>
      <c r="Q127" s="3">
        <v>138.69999999999999</v>
      </c>
      <c r="R127" s="3">
        <v>132.9</v>
      </c>
      <c r="S127" s="3">
        <v>127.2</v>
      </c>
      <c r="T127" s="3">
        <v>132</v>
      </c>
      <c r="U127" s="3" t="s">
        <v>139</v>
      </c>
      <c r="V127" s="3">
        <v>123.3</v>
      </c>
      <c r="W127" s="3">
        <v>126.4</v>
      </c>
      <c r="X127" s="3">
        <v>124.1</v>
      </c>
      <c r="Y127" s="3">
        <v>114.2</v>
      </c>
      <c r="Z127" s="3">
        <v>121.7</v>
      </c>
      <c r="AA127" s="3">
        <v>129.69999999999999</v>
      </c>
      <c r="AB127" s="3">
        <v>119.4</v>
      </c>
      <c r="AC127" s="3">
        <v>121.5</v>
      </c>
      <c r="AD127" s="3">
        <v>130.1</v>
      </c>
    </row>
    <row r="128" spans="1:30" ht="15" customHeight="1" x14ac:dyDescent="0.2">
      <c r="A128" s="3" t="s">
        <v>84</v>
      </c>
      <c r="B128" s="3">
        <v>2016</v>
      </c>
      <c r="C128" s="3" t="s">
        <v>98</v>
      </c>
      <c r="D128" s="3">
        <v>129.30000000000001</v>
      </c>
      <c r="E128" s="3">
        <v>139.5</v>
      </c>
      <c r="F128" s="3">
        <v>129.6</v>
      </c>
      <c r="G128" s="3">
        <v>134.5</v>
      </c>
      <c r="H128" s="3">
        <v>119.5</v>
      </c>
      <c r="I128" s="3">
        <v>138.5</v>
      </c>
      <c r="J128" s="3">
        <v>158.19999999999999</v>
      </c>
      <c r="K128" s="3">
        <v>171.8</v>
      </c>
      <c r="L128" s="3">
        <v>110.3</v>
      </c>
      <c r="M128" s="3">
        <v>134.30000000000001</v>
      </c>
      <c r="N128" s="3">
        <v>127.3</v>
      </c>
      <c r="O128" s="3">
        <v>139.9</v>
      </c>
      <c r="P128" s="3">
        <v>137.6</v>
      </c>
      <c r="Q128" s="3">
        <v>138</v>
      </c>
      <c r="R128" s="3">
        <v>137.19999999999999</v>
      </c>
      <c r="S128" s="3">
        <v>132.19999999999999</v>
      </c>
      <c r="T128" s="3">
        <v>136.5</v>
      </c>
      <c r="V128" s="3">
        <v>128.19999999999999</v>
      </c>
      <c r="W128" s="3">
        <v>130</v>
      </c>
      <c r="X128" s="3">
        <v>126.7</v>
      </c>
      <c r="Y128" s="3">
        <v>116.4</v>
      </c>
      <c r="Z128" s="3">
        <v>125.2</v>
      </c>
      <c r="AA128" s="3">
        <v>130.80000000000001</v>
      </c>
      <c r="AB128" s="3">
        <v>120.9</v>
      </c>
      <c r="AC128" s="3">
        <v>123.8</v>
      </c>
      <c r="AD128" s="3">
        <v>133</v>
      </c>
    </row>
    <row r="129" spans="1:30" ht="15" customHeight="1" x14ac:dyDescent="0.2">
      <c r="A129" s="3" t="s">
        <v>87</v>
      </c>
      <c r="B129" s="3">
        <v>2016</v>
      </c>
      <c r="C129" s="3" t="s">
        <v>98</v>
      </c>
      <c r="D129" s="3">
        <v>126.8</v>
      </c>
      <c r="E129" s="3">
        <v>144.19999999999999</v>
      </c>
      <c r="F129" s="3">
        <v>136.6</v>
      </c>
      <c r="G129" s="3">
        <v>131.80000000000001</v>
      </c>
      <c r="H129" s="3">
        <v>111</v>
      </c>
      <c r="I129" s="3">
        <v>137</v>
      </c>
      <c r="J129" s="3">
        <v>179.5</v>
      </c>
      <c r="K129" s="3">
        <v>188.4</v>
      </c>
      <c r="L129" s="3">
        <v>113.3</v>
      </c>
      <c r="M129" s="3">
        <v>143.9</v>
      </c>
      <c r="N129" s="3">
        <v>121.7</v>
      </c>
      <c r="O129" s="3">
        <v>137.5</v>
      </c>
      <c r="P129" s="3">
        <v>139.80000000000001</v>
      </c>
      <c r="Q129" s="3">
        <v>142.9</v>
      </c>
      <c r="R129" s="3">
        <v>127.9</v>
      </c>
      <c r="S129" s="3">
        <v>121.1</v>
      </c>
      <c r="T129" s="3">
        <v>126.9</v>
      </c>
      <c r="U129" s="3" t="s">
        <v>140</v>
      </c>
      <c r="V129" s="3">
        <v>115.5</v>
      </c>
      <c r="W129" s="3">
        <v>123.5</v>
      </c>
      <c r="X129" s="3">
        <v>120.9</v>
      </c>
      <c r="Y129" s="3">
        <v>111.7</v>
      </c>
      <c r="Z129" s="3">
        <v>120.3</v>
      </c>
      <c r="AA129" s="3">
        <v>130.80000000000001</v>
      </c>
      <c r="AB129" s="3">
        <v>120</v>
      </c>
      <c r="AC129" s="3">
        <v>119.9</v>
      </c>
      <c r="AD129" s="3">
        <v>129</v>
      </c>
    </row>
    <row r="130" spans="1:30" ht="15" customHeight="1" x14ac:dyDescent="0.2">
      <c r="A130" s="3" t="s">
        <v>89</v>
      </c>
      <c r="B130" s="3">
        <v>2016</v>
      </c>
      <c r="C130" s="3" t="s">
        <v>98</v>
      </c>
      <c r="D130" s="3">
        <v>128.5</v>
      </c>
      <c r="E130" s="3">
        <v>141.19999999999999</v>
      </c>
      <c r="F130" s="3">
        <v>132.30000000000001</v>
      </c>
      <c r="G130" s="3">
        <v>133.5</v>
      </c>
      <c r="H130" s="3">
        <v>116.4</v>
      </c>
      <c r="I130" s="3">
        <v>137.80000000000001</v>
      </c>
      <c r="J130" s="3">
        <v>165.4</v>
      </c>
      <c r="K130" s="3">
        <v>177.4</v>
      </c>
      <c r="L130" s="3">
        <v>111.3</v>
      </c>
      <c r="M130" s="3">
        <v>137.5</v>
      </c>
      <c r="N130" s="3">
        <v>125</v>
      </c>
      <c r="O130" s="3">
        <v>138.80000000000001</v>
      </c>
      <c r="P130" s="3">
        <v>138.4</v>
      </c>
      <c r="Q130" s="3">
        <v>139.30000000000001</v>
      </c>
      <c r="R130" s="3">
        <v>133.5</v>
      </c>
      <c r="S130" s="3">
        <v>127.6</v>
      </c>
      <c r="T130" s="3">
        <v>132.69999999999999</v>
      </c>
      <c r="U130" s="3" t="s">
        <v>140</v>
      </c>
      <c r="V130" s="3">
        <v>123.4</v>
      </c>
      <c r="W130" s="3">
        <v>126.9</v>
      </c>
      <c r="X130" s="3">
        <v>124.5</v>
      </c>
      <c r="Y130" s="3">
        <v>113.9</v>
      </c>
      <c r="Z130" s="3">
        <v>122.4</v>
      </c>
      <c r="AA130" s="3">
        <v>130.80000000000001</v>
      </c>
      <c r="AB130" s="3">
        <v>120.5</v>
      </c>
      <c r="AC130" s="3">
        <v>121.9</v>
      </c>
      <c r="AD130" s="3">
        <v>131.1</v>
      </c>
    </row>
    <row r="131" spans="1:30" ht="15" customHeight="1" x14ac:dyDescent="0.2">
      <c r="A131" s="3" t="s">
        <v>84</v>
      </c>
      <c r="B131" s="3">
        <v>2016</v>
      </c>
      <c r="C131" s="3" t="s">
        <v>100</v>
      </c>
      <c r="D131" s="3">
        <v>130.1</v>
      </c>
      <c r="E131" s="3">
        <v>138.80000000000001</v>
      </c>
      <c r="F131" s="3">
        <v>130.30000000000001</v>
      </c>
      <c r="G131" s="3">
        <v>135.30000000000001</v>
      </c>
      <c r="H131" s="3">
        <v>119.9</v>
      </c>
      <c r="I131" s="3">
        <v>140.19999999999999</v>
      </c>
      <c r="J131" s="3">
        <v>156.9</v>
      </c>
      <c r="K131" s="3">
        <v>172.2</v>
      </c>
      <c r="L131" s="3">
        <v>112.1</v>
      </c>
      <c r="M131" s="3">
        <v>134.9</v>
      </c>
      <c r="N131" s="3">
        <v>128.1</v>
      </c>
      <c r="O131" s="3">
        <v>140.69999999999999</v>
      </c>
      <c r="P131" s="3">
        <v>138</v>
      </c>
      <c r="Q131" s="3">
        <v>138.9</v>
      </c>
      <c r="R131" s="3">
        <v>137.80000000000001</v>
      </c>
      <c r="S131" s="3">
        <v>133</v>
      </c>
      <c r="T131" s="3">
        <v>137.1</v>
      </c>
      <c r="V131" s="3">
        <v>129.1</v>
      </c>
      <c r="W131" s="3">
        <v>130.6</v>
      </c>
      <c r="X131" s="3">
        <v>127</v>
      </c>
      <c r="Y131" s="3">
        <v>116</v>
      </c>
      <c r="Z131" s="3">
        <v>125.5</v>
      </c>
      <c r="AA131" s="3">
        <v>131.9</v>
      </c>
      <c r="AB131" s="3">
        <v>122</v>
      </c>
      <c r="AC131" s="3">
        <v>124.2</v>
      </c>
      <c r="AD131" s="3">
        <v>133.5</v>
      </c>
    </row>
    <row r="132" spans="1:30" ht="15" customHeight="1" x14ac:dyDescent="0.2">
      <c r="A132" s="3" t="s">
        <v>87</v>
      </c>
      <c r="B132" s="3">
        <v>2016</v>
      </c>
      <c r="C132" s="3" t="s">
        <v>100</v>
      </c>
      <c r="D132" s="3">
        <v>127.6</v>
      </c>
      <c r="E132" s="3">
        <v>140.30000000000001</v>
      </c>
      <c r="F132" s="3">
        <v>133.69999999999999</v>
      </c>
      <c r="G132" s="3">
        <v>132.19999999999999</v>
      </c>
      <c r="H132" s="3">
        <v>111.8</v>
      </c>
      <c r="I132" s="3">
        <v>135.80000000000001</v>
      </c>
      <c r="J132" s="3">
        <v>163.5</v>
      </c>
      <c r="K132" s="3">
        <v>182.3</v>
      </c>
      <c r="L132" s="3">
        <v>114.6</v>
      </c>
      <c r="M132" s="3">
        <v>144.6</v>
      </c>
      <c r="N132" s="3">
        <v>121.9</v>
      </c>
      <c r="O132" s="3">
        <v>138.1</v>
      </c>
      <c r="P132" s="3">
        <v>137.6</v>
      </c>
      <c r="Q132" s="3">
        <v>143.6</v>
      </c>
      <c r="R132" s="3">
        <v>128.30000000000001</v>
      </c>
      <c r="S132" s="3">
        <v>121.4</v>
      </c>
      <c r="T132" s="3">
        <v>127.3</v>
      </c>
      <c r="U132" s="3" t="s">
        <v>141</v>
      </c>
      <c r="V132" s="3">
        <v>114.7</v>
      </c>
      <c r="W132" s="3">
        <v>123.9</v>
      </c>
      <c r="X132" s="3">
        <v>121.2</v>
      </c>
      <c r="Y132" s="3">
        <v>110.4</v>
      </c>
      <c r="Z132" s="3">
        <v>120.6</v>
      </c>
      <c r="AA132" s="3">
        <v>131.5</v>
      </c>
      <c r="AB132" s="3">
        <v>120.9</v>
      </c>
      <c r="AC132" s="3">
        <v>119.9</v>
      </c>
      <c r="AD132" s="3">
        <v>128.4</v>
      </c>
    </row>
    <row r="133" spans="1:30" ht="15" customHeight="1" x14ac:dyDescent="0.2">
      <c r="A133" s="3" t="s">
        <v>89</v>
      </c>
      <c r="B133" s="3">
        <v>2016</v>
      </c>
      <c r="C133" s="3" t="s">
        <v>100</v>
      </c>
      <c r="D133" s="3">
        <v>129.30000000000001</v>
      </c>
      <c r="E133" s="3">
        <v>139.30000000000001</v>
      </c>
      <c r="F133" s="3">
        <v>131.6</v>
      </c>
      <c r="G133" s="3">
        <v>134.1</v>
      </c>
      <c r="H133" s="3">
        <v>116.9</v>
      </c>
      <c r="I133" s="3">
        <v>138.1</v>
      </c>
      <c r="J133" s="3">
        <v>159.1</v>
      </c>
      <c r="K133" s="3">
        <v>175.6</v>
      </c>
      <c r="L133" s="3">
        <v>112.9</v>
      </c>
      <c r="M133" s="3">
        <v>138.1</v>
      </c>
      <c r="N133" s="3">
        <v>125.5</v>
      </c>
      <c r="O133" s="3">
        <v>139.5</v>
      </c>
      <c r="P133" s="3">
        <v>137.9</v>
      </c>
      <c r="Q133" s="3">
        <v>140.19999999999999</v>
      </c>
      <c r="R133" s="3">
        <v>134.1</v>
      </c>
      <c r="S133" s="3">
        <v>128.19999999999999</v>
      </c>
      <c r="T133" s="3">
        <v>133.19999999999999</v>
      </c>
      <c r="U133" s="3" t="s">
        <v>141</v>
      </c>
      <c r="V133" s="3">
        <v>123.6</v>
      </c>
      <c r="W133" s="3">
        <v>127.4</v>
      </c>
      <c r="X133" s="3">
        <v>124.8</v>
      </c>
      <c r="Y133" s="3">
        <v>113.1</v>
      </c>
      <c r="Z133" s="3">
        <v>122.7</v>
      </c>
      <c r="AA133" s="3">
        <v>131.69999999999999</v>
      </c>
      <c r="AB133" s="3">
        <v>121.5</v>
      </c>
      <c r="AC133" s="3">
        <v>122.1</v>
      </c>
      <c r="AD133" s="3">
        <v>131.1</v>
      </c>
    </row>
    <row r="134" spans="1:30" ht="15" customHeight="1" x14ac:dyDescent="0.2">
      <c r="A134" s="3" t="s">
        <v>84</v>
      </c>
      <c r="B134" s="3">
        <v>2016</v>
      </c>
      <c r="C134" s="3" t="s">
        <v>102</v>
      </c>
      <c r="D134" s="3">
        <v>130.80000000000001</v>
      </c>
      <c r="E134" s="3">
        <v>138.19999999999999</v>
      </c>
      <c r="F134" s="3">
        <v>130.5</v>
      </c>
      <c r="G134" s="3">
        <v>135.5</v>
      </c>
      <c r="H134" s="3">
        <v>120.2</v>
      </c>
      <c r="I134" s="3">
        <v>139.19999999999999</v>
      </c>
      <c r="J134" s="3">
        <v>149.5</v>
      </c>
      <c r="K134" s="3">
        <v>170.4</v>
      </c>
      <c r="L134" s="3">
        <v>113.1</v>
      </c>
      <c r="M134" s="3">
        <v>135.80000000000001</v>
      </c>
      <c r="N134" s="3">
        <v>128.80000000000001</v>
      </c>
      <c r="O134" s="3">
        <v>141.5</v>
      </c>
      <c r="P134" s="3">
        <v>137.19999999999999</v>
      </c>
      <c r="Q134" s="3">
        <v>139.9</v>
      </c>
      <c r="R134" s="3">
        <v>138.5</v>
      </c>
      <c r="S134" s="3">
        <v>133.5</v>
      </c>
      <c r="T134" s="3">
        <v>137.80000000000001</v>
      </c>
      <c r="V134" s="3">
        <v>129.69999999999999</v>
      </c>
      <c r="W134" s="3">
        <v>131.1</v>
      </c>
      <c r="X134" s="3">
        <v>127.8</v>
      </c>
      <c r="Y134" s="3">
        <v>117</v>
      </c>
      <c r="Z134" s="3">
        <v>125.7</v>
      </c>
      <c r="AA134" s="3">
        <v>132.19999999999999</v>
      </c>
      <c r="AB134" s="3">
        <v>122.8</v>
      </c>
      <c r="AC134" s="3">
        <v>124.9</v>
      </c>
      <c r="AD134" s="3">
        <v>133.4</v>
      </c>
    </row>
    <row r="135" spans="1:30" ht="15" customHeight="1" x14ac:dyDescent="0.2">
      <c r="A135" s="3" t="s">
        <v>87</v>
      </c>
      <c r="B135" s="3">
        <v>2016</v>
      </c>
      <c r="C135" s="3" t="s">
        <v>102</v>
      </c>
      <c r="D135" s="3">
        <v>128.1</v>
      </c>
      <c r="E135" s="3">
        <v>137.69999999999999</v>
      </c>
      <c r="F135" s="3">
        <v>130.6</v>
      </c>
      <c r="G135" s="3">
        <v>132.6</v>
      </c>
      <c r="H135" s="3">
        <v>111.9</v>
      </c>
      <c r="I135" s="3">
        <v>132.5</v>
      </c>
      <c r="J135" s="3">
        <v>152.9</v>
      </c>
      <c r="K135" s="3">
        <v>173.6</v>
      </c>
      <c r="L135" s="3">
        <v>115.1</v>
      </c>
      <c r="M135" s="3">
        <v>144.80000000000001</v>
      </c>
      <c r="N135" s="3">
        <v>122.1</v>
      </c>
      <c r="O135" s="3">
        <v>138.80000000000001</v>
      </c>
      <c r="P135" s="3">
        <v>135.69999999999999</v>
      </c>
      <c r="Q135" s="3">
        <v>143.9</v>
      </c>
      <c r="R135" s="3">
        <v>128.69999999999999</v>
      </c>
      <c r="S135" s="3">
        <v>121.6</v>
      </c>
      <c r="T135" s="3">
        <v>127.7</v>
      </c>
      <c r="U135" s="3" t="s">
        <v>142</v>
      </c>
      <c r="V135" s="3">
        <v>114.8</v>
      </c>
      <c r="W135" s="3">
        <v>124.3</v>
      </c>
      <c r="X135" s="3">
        <v>121.4</v>
      </c>
      <c r="Y135" s="3">
        <v>111.8</v>
      </c>
      <c r="Z135" s="3">
        <v>120.8</v>
      </c>
      <c r="AA135" s="3">
        <v>131.6</v>
      </c>
      <c r="AB135" s="3">
        <v>121.2</v>
      </c>
      <c r="AC135" s="3">
        <v>120.5</v>
      </c>
      <c r="AD135" s="3">
        <v>128</v>
      </c>
    </row>
    <row r="136" spans="1:30" ht="15" customHeight="1" x14ac:dyDescent="0.2">
      <c r="A136" s="3" t="s">
        <v>89</v>
      </c>
      <c r="B136" s="3">
        <v>2016</v>
      </c>
      <c r="C136" s="3" t="s">
        <v>102</v>
      </c>
      <c r="D136" s="3">
        <v>129.9</v>
      </c>
      <c r="E136" s="3">
        <v>138</v>
      </c>
      <c r="F136" s="3">
        <v>130.5</v>
      </c>
      <c r="G136" s="3">
        <v>134.4</v>
      </c>
      <c r="H136" s="3">
        <v>117.2</v>
      </c>
      <c r="I136" s="3">
        <v>136.1</v>
      </c>
      <c r="J136" s="3">
        <v>150.69999999999999</v>
      </c>
      <c r="K136" s="3">
        <v>171.5</v>
      </c>
      <c r="L136" s="3">
        <v>113.8</v>
      </c>
      <c r="M136" s="3">
        <v>138.80000000000001</v>
      </c>
      <c r="N136" s="3">
        <v>126</v>
      </c>
      <c r="O136" s="3">
        <v>140.19999999999999</v>
      </c>
      <c r="P136" s="3">
        <v>136.6</v>
      </c>
      <c r="Q136" s="3">
        <v>141</v>
      </c>
      <c r="R136" s="3">
        <v>134.6</v>
      </c>
      <c r="S136" s="3">
        <v>128.6</v>
      </c>
      <c r="T136" s="3">
        <v>133.80000000000001</v>
      </c>
      <c r="U136" s="3" t="s">
        <v>142</v>
      </c>
      <c r="V136" s="3">
        <v>124.1</v>
      </c>
      <c r="W136" s="3">
        <v>127.9</v>
      </c>
      <c r="X136" s="3">
        <v>125.4</v>
      </c>
      <c r="Y136" s="3">
        <v>114.3</v>
      </c>
      <c r="Z136" s="3">
        <v>122.9</v>
      </c>
      <c r="AA136" s="3">
        <v>131.80000000000001</v>
      </c>
      <c r="AB136" s="3">
        <v>122.1</v>
      </c>
      <c r="AC136" s="3">
        <v>122.8</v>
      </c>
      <c r="AD136" s="3">
        <v>130.9</v>
      </c>
    </row>
    <row r="137" spans="1:30" ht="15" customHeight="1" x14ac:dyDescent="0.2">
      <c r="A137" s="3" t="s">
        <v>84</v>
      </c>
      <c r="B137" s="3">
        <v>2016</v>
      </c>
      <c r="C137" s="3" t="s">
        <v>104</v>
      </c>
      <c r="D137" s="3">
        <v>131.30000000000001</v>
      </c>
      <c r="E137" s="3">
        <v>137.6</v>
      </c>
      <c r="F137" s="3">
        <v>130.1</v>
      </c>
      <c r="G137" s="3">
        <v>136</v>
      </c>
      <c r="H137" s="3">
        <v>120.8</v>
      </c>
      <c r="I137" s="3">
        <v>138.4</v>
      </c>
      <c r="J137" s="3">
        <v>149.19999999999999</v>
      </c>
      <c r="K137" s="3">
        <v>170.2</v>
      </c>
      <c r="L137" s="3">
        <v>113.4</v>
      </c>
      <c r="M137" s="3">
        <v>136.30000000000001</v>
      </c>
      <c r="N137" s="3">
        <v>128.69999999999999</v>
      </c>
      <c r="O137" s="3">
        <v>142.4</v>
      </c>
      <c r="P137" s="3">
        <v>137.4</v>
      </c>
      <c r="Q137" s="3">
        <v>140.9</v>
      </c>
      <c r="R137" s="3">
        <v>139.6</v>
      </c>
      <c r="S137" s="3">
        <v>134.30000000000001</v>
      </c>
      <c r="T137" s="3">
        <v>138.80000000000001</v>
      </c>
      <c r="V137" s="3">
        <v>129.80000000000001</v>
      </c>
      <c r="W137" s="3">
        <v>131.80000000000001</v>
      </c>
      <c r="X137" s="3">
        <v>128.69999999999999</v>
      </c>
      <c r="Y137" s="3">
        <v>117.8</v>
      </c>
      <c r="Z137" s="3">
        <v>126.5</v>
      </c>
      <c r="AA137" s="3">
        <v>133</v>
      </c>
      <c r="AB137" s="3">
        <v>123</v>
      </c>
      <c r="AC137" s="3">
        <v>125.7</v>
      </c>
      <c r="AD137" s="3">
        <v>133.80000000000001</v>
      </c>
    </row>
    <row r="138" spans="1:30" ht="15" customHeight="1" x14ac:dyDescent="0.2">
      <c r="A138" s="3" t="s">
        <v>87</v>
      </c>
      <c r="B138" s="3">
        <v>2016</v>
      </c>
      <c r="C138" s="3" t="s">
        <v>104</v>
      </c>
      <c r="D138" s="3">
        <v>128.69999999999999</v>
      </c>
      <c r="E138" s="3">
        <v>138.4</v>
      </c>
      <c r="F138" s="3">
        <v>130.30000000000001</v>
      </c>
      <c r="G138" s="3">
        <v>132.69999999999999</v>
      </c>
      <c r="H138" s="3">
        <v>112.5</v>
      </c>
      <c r="I138" s="3">
        <v>130.4</v>
      </c>
      <c r="J138" s="3">
        <v>155.1</v>
      </c>
      <c r="K138" s="3">
        <v>175.7</v>
      </c>
      <c r="L138" s="3">
        <v>115.4</v>
      </c>
      <c r="M138" s="3">
        <v>145.30000000000001</v>
      </c>
      <c r="N138" s="3">
        <v>122.5</v>
      </c>
      <c r="O138" s="3">
        <v>139.6</v>
      </c>
      <c r="P138" s="3">
        <v>136.30000000000001</v>
      </c>
      <c r="Q138" s="3">
        <v>144.30000000000001</v>
      </c>
      <c r="R138" s="3">
        <v>129.1</v>
      </c>
      <c r="S138" s="3">
        <v>121.9</v>
      </c>
      <c r="T138" s="3">
        <v>128</v>
      </c>
      <c r="U138" s="3" t="s">
        <v>143</v>
      </c>
      <c r="V138" s="3">
        <v>115.2</v>
      </c>
      <c r="W138" s="3">
        <v>124.5</v>
      </c>
      <c r="X138" s="3">
        <v>121.8</v>
      </c>
      <c r="Y138" s="3">
        <v>112.8</v>
      </c>
      <c r="Z138" s="3">
        <v>121.2</v>
      </c>
      <c r="AA138" s="3">
        <v>131.9</v>
      </c>
      <c r="AB138" s="3">
        <v>120.8</v>
      </c>
      <c r="AC138" s="3">
        <v>120.9</v>
      </c>
      <c r="AD138" s="3">
        <v>128.6</v>
      </c>
    </row>
    <row r="139" spans="1:30" ht="15" customHeight="1" x14ac:dyDescent="0.2">
      <c r="A139" s="3" t="s">
        <v>89</v>
      </c>
      <c r="B139" s="3">
        <v>2016</v>
      </c>
      <c r="C139" s="3" t="s">
        <v>104</v>
      </c>
      <c r="D139" s="3">
        <v>130.5</v>
      </c>
      <c r="E139" s="3">
        <v>137.9</v>
      </c>
      <c r="F139" s="3">
        <v>130.19999999999999</v>
      </c>
      <c r="G139" s="3">
        <v>134.80000000000001</v>
      </c>
      <c r="H139" s="3">
        <v>117.8</v>
      </c>
      <c r="I139" s="3">
        <v>134.69999999999999</v>
      </c>
      <c r="J139" s="3">
        <v>151.19999999999999</v>
      </c>
      <c r="K139" s="3">
        <v>172.1</v>
      </c>
      <c r="L139" s="3">
        <v>114.1</v>
      </c>
      <c r="M139" s="3">
        <v>139.30000000000001</v>
      </c>
      <c r="N139" s="3">
        <v>126.1</v>
      </c>
      <c r="O139" s="3">
        <v>141.1</v>
      </c>
      <c r="P139" s="3">
        <v>137</v>
      </c>
      <c r="Q139" s="3">
        <v>141.80000000000001</v>
      </c>
      <c r="R139" s="3">
        <v>135.5</v>
      </c>
      <c r="S139" s="3">
        <v>129.1</v>
      </c>
      <c r="T139" s="3">
        <v>134.5</v>
      </c>
      <c r="U139" s="3" t="s">
        <v>143</v>
      </c>
      <c r="V139" s="3">
        <v>124.3</v>
      </c>
      <c r="W139" s="3">
        <v>128.4</v>
      </c>
      <c r="X139" s="3">
        <v>126.1</v>
      </c>
      <c r="Y139" s="3">
        <v>115.2</v>
      </c>
      <c r="Z139" s="3">
        <v>123.5</v>
      </c>
      <c r="AA139" s="3">
        <v>132.4</v>
      </c>
      <c r="AB139" s="3">
        <v>122.1</v>
      </c>
      <c r="AC139" s="3">
        <v>123.4</v>
      </c>
      <c r="AD139" s="3">
        <v>131.4</v>
      </c>
    </row>
    <row r="140" spans="1:30" ht="15" customHeight="1" x14ac:dyDescent="0.2">
      <c r="A140" s="3" t="s">
        <v>84</v>
      </c>
      <c r="B140" s="3">
        <v>2016</v>
      </c>
      <c r="C140" s="3" t="s">
        <v>107</v>
      </c>
      <c r="D140" s="3">
        <v>132</v>
      </c>
      <c r="E140" s="3">
        <v>137.4</v>
      </c>
      <c r="F140" s="3">
        <v>130.6</v>
      </c>
      <c r="G140" s="3">
        <v>136.19999999999999</v>
      </c>
      <c r="H140" s="3">
        <v>121.1</v>
      </c>
      <c r="I140" s="3">
        <v>136.9</v>
      </c>
      <c r="J140" s="3">
        <v>141.80000000000001</v>
      </c>
      <c r="K140" s="3">
        <v>170</v>
      </c>
      <c r="L140" s="3">
        <v>113.4</v>
      </c>
      <c r="M140" s="3">
        <v>136.80000000000001</v>
      </c>
      <c r="N140" s="3">
        <v>128.69999999999999</v>
      </c>
      <c r="O140" s="3">
        <v>143.1</v>
      </c>
      <c r="P140" s="3">
        <v>136.6</v>
      </c>
      <c r="Q140" s="3">
        <v>141.19999999999999</v>
      </c>
      <c r="R140" s="3">
        <v>139.9</v>
      </c>
      <c r="S140" s="3">
        <v>134.5</v>
      </c>
      <c r="T140" s="3">
        <v>139.19999999999999</v>
      </c>
      <c r="V140" s="3">
        <v>130.30000000000001</v>
      </c>
      <c r="W140" s="3">
        <v>132.1</v>
      </c>
      <c r="X140" s="3">
        <v>129.1</v>
      </c>
      <c r="Y140" s="3">
        <v>118.2</v>
      </c>
      <c r="Z140" s="3">
        <v>126.9</v>
      </c>
      <c r="AA140" s="3">
        <v>133.69999999999999</v>
      </c>
      <c r="AB140" s="3">
        <v>123.5</v>
      </c>
      <c r="AC140" s="3">
        <v>126.1</v>
      </c>
      <c r="AD140" s="3">
        <v>133.6</v>
      </c>
    </row>
    <row r="141" spans="1:30" ht="15" customHeight="1" x14ac:dyDescent="0.2">
      <c r="A141" s="3" t="s">
        <v>87</v>
      </c>
      <c r="B141" s="3">
        <v>2016</v>
      </c>
      <c r="C141" s="3" t="s">
        <v>107</v>
      </c>
      <c r="D141" s="3">
        <v>130.19999999999999</v>
      </c>
      <c r="E141" s="3">
        <v>138.5</v>
      </c>
      <c r="F141" s="3">
        <v>134.1</v>
      </c>
      <c r="G141" s="3">
        <v>132.9</v>
      </c>
      <c r="H141" s="3">
        <v>112.6</v>
      </c>
      <c r="I141" s="3">
        <v>130.80000000000001</v>
      </c>
      <c r="J141" s="3">
        <v>142</v>
      </c>
      <c r="K141" s="3">
        <v>174.9</v>
      </c>
      <c r="L141" s="3">
        <v>115.6</v>
      </c>
      <c r="M141" s="3">
        <v>145.4</v>
      </c>
      <c r="N141" s="3">
        <v>122.7</v>
      </c>
      <c r="O141" s="3">
        <v>140.30000000000001</v>
      </c>
      <c r="P141" s="3">
        <v>135.19999999999999</v>
      </c>
      <c r="Q141" s="3">
        <v>144.30000000000001</v>
      </c>
      <c r="R141" s="3">
        <v>129.6</v>
      </c>
      <c r="S141" s="3">
        <v>122.1</v>
      </c>
      <c r="T141" s="3">
        <v>128.5</v>
      </c>
      <c r="U141" s="3" t="s">
        <v>144</v>
      </c>
      <c r="V141" s="3">
        <v>116.2</v>
      </c>
      <c r="W141" s="3">
        <v>124.7</v>
      </c>
      <c r="X141" s="3">
        <v>122.1</v>
      </c>
      <c r="Y141" s="3">
        <v>113.4</v>
      </c>
      <c r="Z141" s="3">
        <v>121.7</v>
      </c>
      <c r="AA141" s="3">
        <v>132.1</v>
      </c>
      <c r="AB141" s="3">
        <v>121.3</v>
      </c>
      <c r="AC141" s="3">
        <v>121.3</v>
      </c>
      <c r="AD141" s="3">
        <v>128.5</v>
      </c>
    </row>
    <row r="142" spans="1:30" ht="15" customHeight="1" x14ac:dyDescent="0.2">
      <c r="A142" s="3" t="s">
        <v>89</v>
      </c>
      <c r="B142" s="3">
        <v>2016</v>
      </c>
      <c r="C142" s="3" t="s">
        <v>107</v>
      </c>
      <c r="D142" s="3">
        <v>131.4</v>
      </c>
      <c r="E142" s="3">
        <v>137.80000000000001</v>
      </c>
      <c r="F142" s="3">
        <v>132</v>
      </c>
      <c r="G142" s="3">
        <v>135</v>
      </c>
      <c r="H142" s="3">
        <v>118</v>
      </c>
      <c r="I142" s="3">
        <v>134.1</v>
      </c>
      <c r="J142" s="3">
        <v>141.9</v>
      </c>
      <c r="K142" s="3">
        <v>171.7</v>
      </c>
      <c r="L142" s="3">
        <v>114.1</v>
      </c>
      <c r="M142" s="3">
        <v>139.69999999999999</v>
      </c>
      <c r="N142" s="3">
        <v>126.2</v>
      </c>
      <c r="O142" s="3">
        <v>141.80000000000001</v>
      </c>
      <c r="P142" s="3">
        <v>136.1</v>
      </c>
      <c r="Q142" s="3">
        <v>142</v>
      </c>
      <c r="R142" s="3">
        <v>135.80000000000001</v>
      </c>
      <c r="S142" s="3">
        <v>129.30000000000001</v>
      </c>
      <c r="T142" s="3">
        <v>135</v>
      </c>
      <c r="U142" s="3" t="s">
        <v>144</v>
      </c>
      <c r="V142" s="3">
        <v>125</v>
      </c>
      <c r="W142" s="3">
        <v>128.6</v>
      </c>
      <c r="X142" s="3">
        <v>126.4</v>
      </c>
      <c r="Y142" s="3">
        <v>115.7</v>
      </c>
      <c r="Z142" s="3">
        <v>124</v>
      </c>
      <c r="AA142" s="3">
        <v>132.80000000000001</v>
      </c>
      <c r="AB142" s="3">
        <v>122.6</v>
      </c>
      <c r="AC142" s="3">
        <v>123.8</v>
      </c>
      <c r="AD142" s="3">
        <v>131.19999999999999</v>
      </c>
    </row>
    <row r="143" spans="1:30" ht="15" customHeight="1" x14ac:dyDescent="0.2">
      <c r="A143" s="3" t="s">
        <v>84</v>
      </c>
      <c r="B143" s="3">
        <v>2016</v>
      </c>
      <c r="C143" s="3" t="s">
        <v>109</v>
      </c>
      <c r="D143" s="3">
        <v>132.6</v>
      </c>
      <c r="E143" s="3">
        <v>137.30000000000001</v>
      </c>
      <c r="F143" s="3">
        <v>131.6</v>
      </c>
      <c r="G143" s="3">
        <v>136.30000000000001</v>
      </c>
      <c r="H143" s="3">
        <v>121.6</v>
      </c>
      <c r="I143" s="3">
        <v>135.6</v>
      </c>
      <c r="J143" s="3">
        <v>127.5</v>
      </c>
      <c r="K143" s="3">
        <v>167.9</v>
      </c>
      <c r="L143" s="3">
        <v>113.8</v>
      </c>
      <c r="M143" s="3">
        <v>137.5</v>
      </c>
      <c r="N143" s="3">
        <v>129.1</v>
      </c>
      <c r="O143" s="3">
        <v>143.6</v>
      </c>
      <c r="P143" s="3">
        <v>134.69999999999999</v>
      </c>
      <c r="Q143" s="3">
        <v>142.4</v>
      </c>
      <c r="R143" s="3">
        <v>140.4</v>
      </c>
      <c r="S143" s="3">
        <v>135.19999999999999</v>
      </c>
      <c r="T143" s="3">
        <v>139.69999999999999</v>
      </c>
      <c r="V143" s="3">
        <v>132</v>
      </c>
      <c r="W143" s="3">
        <v>132.9</v>
      </c>
      <c r="X143" s="3">
        <v>129.69999999999999</v>
      </c>
      <c r="Y143" s="3">
        <v>118.6</v>
      </c>
      <c r="Z143" s="3">
        <v>127.3</v>
      </c>
      <c r="AA143" s="3">
        <v>134.19999999999999</v>
      </c>
      <c r="AB143" s="3">
        <v>121.9</v>
      </c>
      <c r="AC143" s="3">
        <v>126.3</v>
      </c>
      <c r="AD143" s="3">
        <v>132.80000000000001</v>
      </c>
    </row>
    <row r="144" spans="1:30" ht="15" customHeight="1" x14ac:dyDescent="0.2">
      <c r="A144" s="3" t="s">
        <v>87</v>
      </c>
      <c r="B144" s="3">
        <v>2016</v>
      </c>
      <c r="C144" s="3" t="s">
        <v>109</v>
      </c>
      <c r="D144" s="3">
        <v>131.6</v>
      </c>
      <c r="E144" s="3">
        <v>138.19999999999999</v>
      </c>
      <c r="F144" s="3">
        <v>134.9</v>
      </c>
      <c r="G144" s="3">
        <v>133.1</v>
      </c>
      <c r="H144" s="3">
        <v>113.5</v>
      </c>
      <c r="I144" s="3">
        <v>129.30000000000001</v>
      </c>
      <c r="J144" s="3">
        <v>121.1</v>
      </c>
      <c r="K144" s="3">
        <v>170.3</v>
      </c>
      <c r="L144" s="3">
        <v>115.5</v>
      </c>
      <c r="M144" s="3">
        <v>145.5</v>
      </c>
      <c r="N144" s="3">
        <v>123.1</v>
      </c>
      <c r="O144" s="3">
        <v>140.9</v>
      </c>
      <c r="P144" s="3">
        <v>132.80000000000001</v>
      </c>
      <c r="Q144" s="3">
        <v>145</v>
      </c>
      <c r="R144" s="3">
        <v>130</v>
      </c>
      <c r="S144" s="3">
        <v>122.2</v>
      </c>
      <c r="T144" s="3">
        <v>128.80000000000001</v>
      </c>
      <c r="U144" s="3" t="s">
        <v>145</v>
      </c>
      <c r="V144" s="3">
        <v>117.8</v>
      </c>
      <c r="W144" s="3">
        <v>125</v>
      </c>
      <c r="X144" s="3">
        <v>122.3</v>
      </c>
      <c r="Y144" s="3">
        <v>113.7</v>
      </c>
      <c r="Z144" s="3">
        <v>121.8</v>
      </c>
      <c r="AA144" s="3">
        <v>132.30000000000001</v>
      </c>
      <c r="AB144" s="3">
        <v>119.9</v>
      </c>
      <c r="AC144" s="3">
        <v>121.4</v>
      </c>
      <c r="AD144" s="3">
        <v>127.6</v>
      </c>
    </row>
    <row r="145" spans="1:30" ht="15" customHeight="1" x14ac:dyDescent="0.2">
      <c r="A145" s="3" t="s">
        <v>89</v>
      </c>
      <c r="B145" s="3">
        <v>2016</v>
      </c>
      <c r="C145" s="3" t="s">
        <v>109</v>
      </c>
      <c r="D145" s="3">
        <v>132.30000000000001</v>
      </c>
      <c r="E145" s="3">
        <v>137.6</v>
      </c>
      <c r="F145" s="3">
        <v>132.9</v>
      </c>
      <c r="G145" s="3">
        <v>135.1</v>
      </c>
      <c r="H145" s="3">
        <v>118.6</v>
      </c>
      <c r="I145" s="3">
        <v>132.69999999999999</v>
      </c>
      <c r="J145" s="3">
        <v>125.3</v>
      </c>
      <c r="K145" s="3">
        <v>168.7</v>
      </c>
      <c r="L145" s="3">
        <v>114.4</v>
      </c>
      <c r="M145" s="3">
        <v>140.19999999999999</v>
      </c>
      <c r="N145" s="3">
        <v>126.6</v>
      </c>
      <c r="O145" s="3">
        <v>142.30000000000001</v>
      </c>
      <c r="P145" s="3">
        <v>134</v>
      </c>
      <c r="Q145" s="3">
        <v>143.1</v>
      </c>
      <c r="R145" s="3">
        <v>136.30000000000001</v>
      </c>
      <c r="S145" s="3">
        <v>129.80000000000001</v>
      </c>
      <c r="T145" s="3">
        <v>135.4</v>
      </c>
      <c r="U145" s="3" t="s">
        <v>145</v>
      </c>
      <c r="V145" s="3">
        <v>126.6</v>
      </c>
      <c r="W145" s="3">
        <v>129.19999999999999</v>
      </c>
      <c r="X145" s="3">
        <v>126.9</v>
      </c>
      <c r="Y145" s="3">
        <v>116</v>
      </c>
      <c r="Z145" s="3">
        <v>124.2</v>
      </c>
      <c r="AA145" s="3">
        <v>133.1</v>
      </c>
      <c r="AB145" s="3">
        <v>121.1</v>
      </c>
      <c r="AC145" s="3">
        <v>123.9</v>
      </c>
      <c r="AD145" s="3">
        <v>130.4</v>
      </c>
    </row>
    <row r="146" spans="1:30" ht="15" customHeight="1" x14ac:dyDescent="0.2">
      <c r="A146" s="3" t="s">
        <v>84</v>
      </c>
      <c r="B146" s="3">
        <v>2017</v>
      </c>
      <c r="C146" s="3" t="s">
        <v>85</v>
      </c>
      <c r="D146" s="3">
        <v>133.1</v>
      </c>
      <c r="E146" s="3">
        <v>137.80000000000001</v>
      </c>
      <c r="F146" s="3">
        <v>131.9</v>
      </c>
      <c r="G146" s="3">
        <v>136.69999999999999</v>
      </c>
      <c r="H146" s="3">
        <v>122</v>
      </c>
      <c r="I146" s="3">
        <v>136</v>
      </c>
      <c r="J146" s="3">
        <v>119.8</v>
      </c>
      <c r="K146" s="3">
        <v>161.69999999999999</v>
      </c>
      <c r="L146" s="3">
        <v>114.8</v>
      </c>
      <c r="M146" s="3">
        <v>136.9</v>
      </c>
      <c r="N146" s="3">
        <v>129</v>
      </c>
      <c r="O146" s="3">
        <v>143.9</v>
      </c>
      <c r="P146" s="3">
        <v>133.69999999999999</v>
      </c>
      <c r="Q146" s="3">
        <v>143.1</v>
      </c>
      <c r="R146" s="3">
        <v>140.69999999999999</v>
      </c>
      <c r="S146" s="3">
        <v>135.80000000000001</v>
      </c>
      <c r="T146" s="3">
        <v>140</v>
      </c>
      <c r="V146" s="3">
        <v>132.1</v>
      </c>
      <c r="W146" s="3">
        <v>133.19999999999999</v>
      </c>
      <c r="X146" s="3">
        <v>129.9</v>
      </c>
      <c r="Y146" s="3">
        <v>119.1</v>
      </c>
      <c r="Z146" s="3">
        <v>127</v>
      </c>
      <c r="AA146" s="3">
        <v>134.6</v>
      </c>
      <c r="AB146" s="3">
        <v>122.3</v>
      </c>
      <c r="AC146" s="3">
        <v>126.6</v>
      </c>
      <c r="AD146" s="3">
        <v>132.4</v>
      </c>
    </row>
    <row r="147" spans="1:30" ht="15" customHeight="1" x14ac:dyDescent="0.2">
      <c r="A147" s="3" t="s">
        <v>87</v>
      </c>
      <c r="B147" s="3">
        <v>2017</v>
      </c>
      <c r="C147" s="3" t="s">
        <v>85</v>
      </c>
      <c r="D147" s="3">
        <v>132.19999999999999</v>
      </c>
      <c r="E147" s="3">
        <v>138.9</v>
      </c>
      <c r="F147" s="3">
        <v>132.6</v>
      </c>
      <c r="G147" s="3">
        <v>133.1</v>
      </c>
      <c r="H147" s="3">
        <v>114</v>
      </c>
      <c r="I147" s="3">
        <v>129.6</v>
      </c>
      <c r="J147" s="3">
        <v>118.7</v>
      </c>
      <c r="K147" s="3">
        <v>155.1</v>
      </c>
      <c r="L147" s="3">
        <v>117.3</v>
      </c>
      <c r="M147" s="3">
        <v>144.9</v>
      </c>
      <c r="N147" s="3">
        <v>123.2</v>
      </c>
      <c r="O147" s="3">
        <v>141.6</v>
      </c>
      <c r="P147" s="3">
        <v>132</v>
      </c>
      <c r="Q147" s="3">
        <v>145.6</v>
      </c>
      <c r="R147" s="3">
        <v>130.19999999999999</v>
      </c>
      <c r="S147" s="3">
        <v>122.3</v>
      </c>
      <c r="T147" s="3">
        <v>129</v>
      </c>
      <c r="U147" s="3" t="s">
        <v>146</v>
      </c>
      <c r="V147" s="3">
        <v>118</v>
      </c>
      <c r="W147" s="3">
        <v>125.1</v>
      </c>
      <c r="X147" s="3">
        <v>122.6</v>
      </c>
      <c r="Y147" s="3">
        <v>115.2</v>
      </c>
      <c r="Z147" s="3">
        <v>122</v>
      </c>
      <c r="AA147" s="3">
        <v>132.4</v>
      </c>
      <c r="AB147" s="3">
        <v>120.9</v>
      </c>
      <c r="AC147" s="3">
        <v>122.1</v>
      </c>
      <c r="AD147" s="3">
        <v>127.8</v>
      </c>
    </row>
    <row r="148" spans="1:30" ht="15" customHeight="1" x14ac:dyDescent="0.2">
      <c r="A148" s="3" t="s">
        <v>89</v>
      </c>
      <c r="B148" s="3">
        <v>2017</v>
      </c>
      <c r="C148" s="3" t="s">
        <v>85</v>
      </c>
      <c r="D148" s="3">
        <v>132.80000000000001</v>
      </c>
      <c r="E148" s="3">
        <v>138.19999999999999</v>
      </c>
      <c r="F148" s="3">
        <v>132.19999999999999</v>
      </c>
      <c r="G148" s="3">
        <v>135.4</v>
      </c>
      <c r="H148" s="3">
        <v>119.1</v>
      </c>
      <c r="I148" s="3">
        <v>133</v>
      </c>
      <c r="J148" s="3">
        <v>119.4</v>
      </c>
      <c r="K148" s="3">
        <v>159.5</v>
      </c>
      <c r="L148" s="3">
        <v>115.6</v>
      </c>
      <c r="M148" s="3">
        <v>139.6</v>
      </c>
      <c r="N148" s="3">
        <v>126.6</v>
      </c>
      <c r="O148" s="3">
        <v>142.80000000000001</v>
      </c>
      <c r="P148" s="3">
        <v>133.1</v>
      </c>
      <c r="Q148" s="3">
        <v>143.80000000000001</v>
      </c>
      <c r="R148" s="3">
        <v>136.6</v>
      </c>
      <c r="S148" s="3">
        <v>130.19999999999999</v>
      </c>
      <c r="T148" s="3">
        <v>135.6</v>
      </c>
      <c r="U148" s="3" t="s">
        <v>146</v>
      </c>
      <c r="V148" s="3">
        <v>126.8</v>
      </c>
      <c r="W148" s="3">
        <v>129.4</v>
      </c>
      <c r="X148" s="3">
        <v>127.1</v>
      </c>
      <c r="Y148" s="3">
        <v>117</v>
      </c>
      <c r="Z148" s="3">
        <v>124.2</v>
      </c>
      <c r="AA148" s="3">
        <v>133.30000000000001</v>
      </c>
      <c r="AB148" s="3">
        <v>121.7</v>
      </c>
      <c r="AC148" s="3">
        <v>124.4</v>
      </c>
      <c r="AD148" s="3">
        <v>130.30000000000001</v>
      </c>
    </row>
    <row r="149" spans="1:30" ht="15" customHeight="1" x14ac:dyDescent="0.2">
      <c r="A149" s="3" t="s">
        <v>84</v>
      </c>
      <c r="B149" s="3">
        <v>2017</v>
      </c>
      <c r="C149" s="3" t="s">
        <v>90</v>
      </c>
      <c r="D149" s="3">
        <v>133.30000000000001</v>
      </c>
      <c r="E149" s="3">
        <v>138.30000000000001</v>
      </c>
      <c r="F149" s="3">
        <v>129.30000000000001</v>
      </c>
      <c r="G149" s="3">
        <v>137.19999999999999</v>
      </c>
      <c r="H149" s="3">
        <v>122.1</v>
      </c>
      <c r="I149" s="3">
        <v>138.69999999999999</v>
      </c>
      <c r="J149" s="3">
        <v>119.1</v>
      </c>
      <c r="K149" s="3">
        <v>156.9</v>
      </c>
      <c r="L149" s="3">
        <v>116.2</v>
      </c>
      <c r="M149" s="3">
        <v>136</v>
      </c>
      <c r="N149" s="3">
        <v>129.4</v>
      </c>
      <c r="O149" s="3">
        <v>144.4</v>
      </c>
      <c r="P149" s="3">
        <v>133.6</v>
      </c>
      <c r="Q149" s="3">
        <v>143.69999999999999</v>
      </c>
      <c r="R149" s="3">
        <v>140.9</v>
      </c>
      <c r="S149" s="3">
        <v>135.80000000000001</v>
      </c>
      <c r="T149" s="3">
        <v>140.19999999999999</v>
      </c>
      <c r="V149" s="3">
        <v>133.19999999999999</v>
      </c>
      <c r="W149" s="3">
        <v>133.6</v>
      </c>
      <c r="X149" s="3">
        <v>130.1</v>
      </c>
      <c r="Y149" s="3">
        <v>119.5</v>
      </c>
      <c r="Z149" s="3">
        <v>127.7</v>
      </c>
      <c r="AA149" s="3">
        <v>134.9</v>
      </c>
      <c r="AB149" s="3">
        <v>123.2</v>
      </c>
      <c r="AC149" s="3">
        <v>127</v>
      </c>
      <c r="AD149" s="3">
        <v>132.6</v>
      </c>
    </row>
    <row r="150" spans="1:30" ht="15" customHeight="1" x14ac:dyDescent="0.2">
      <c r="A150" s="3" t="s">
        <v>87</v>
      </c>
      <c r="B150" s="3">
        <v>2017</v>
      </c>
      <c r="C150" s="3" t="s">
        <v>90</v>
      </c>
      <c r="D150" s="3">
        <v>132.80000000000001</v>
      </c>
      <c r="E150" s="3">
        <v>139.80000000000001</v>
      </c>
      <c r="F150" s="3">
        <v>129.30000000000001</v>
      </c>
      <c r="G150" s="3">
        <v>133.5</v>
      </c>
      <c r="H150" s="3">
        <v>114.3</v>
      </c>
      <c r="I150" s="3">
        <v>131.4</v>
      </c>
      <c r="J150" s="3">
        <v>120.2</v>
      </c>
      <c r="K150" s="3">
        <v>143.1</v>
      </c>
      <c r="L150" s="3">
        <v>119.5</v>
      </c>
      <c r="M150" s="3">
        <v>144</v>
      </c>
      <c r="N150" s="3">
        <v>123.4</v>
      </c>
      <c r="O150" s="3">
        <v>141.9</v>
      </c>
      <c r="P150" s="3">
        <v>132.1</v>
      </c>
      <c r="Q150" s="3">
        <v>146.30000000000001</v>
      </c>
      <c r="R150" s="3">
        <v>130.5</v>
      </c>
      <c r="S150" s="3">
        <v>122.5</v>
      </c>
      <c r="T150" s="3">
        <v>129.30000000000001</v>
      </c>
      <c r="U150" s="3" t="s">
        <v>147</v>
      </c>
      <c r="V150" s="3">
        <v>119.2</v>
      </c>
      <c r="W150" s="3">
        <v>125.3</v>
      </c>
      <c r="X150" s="3">
        <v>122.9</v>
      </c>
      <c r="Y150" s="3">
        <v>115.5</v>
      </c>
      <c r="Z150" s="3">
        <v>122.2</v>
      </c>
      <c r="AA150" s="3">
        <v>132.4</v>
      </c>
      <c r="AB150" s="3">
        <v>121.7</v>
      </c>
      <c r="AC150" s="3">
        <v>122.4</v>
      </c>
      <c r="AD150" s="3">
        <v>128.19999999999999</v>
      </c>
    </row>
    <row r="151" spans="1:30" ht="15" customHeight="1" x14ac:dyDescent="0.2">
      <c r="A151" s="3" t="s">
        <v>89</v>
      </c>
      <c r="B151" s="3">
        <v>2017</v>
      </c>
      <c r="C151" s="3" t="s">
        <v>90</v>
      </c>
      <c r="D151" s="3">
        <v>133.1</v>
      </c>
      <c r="E151" s="3">
        <v>138.80000000000001</v>
      </c>
      <c r="F151" s="3">
        <v>129.30000000000001</v>
      </c>
      <c r="G151" s="3">
        <v>135.80000000000001</v>
      </c>
      <c r="H151" s="3">
        <v>119.2</v>
      </c>
      <c r="I151" s="3">
        <v>135.30000000000001</v>
      </c>
      <c r="J151" s="3">
        <v>119.5</v>
      </c>
      <c r="K151" s="3">
        <v>152.19999999999999</v>
      </c>
      <c r="L151" s="3">
        <v>117.3</v>
      </c>
      <c r="M151" s="3">
        <v>138.69999999999999</v>
      </c>
      <c r="N151" s="3">
        <v>126.9</v>
      </c>
      <c r="O151" s="3">
        <v>143.19999999999999</v>
      </c>
      <c r="P151" s="3">
        <v>133</v>
      </c>
      <c r="Q151" s="3">
        <v>144.4</v>
      </c>
      <c r="R151" s="3">
        <v>136.80000000000001</v>
      </c>
      <c r="S151" s="3">
        <v>130.30000000000001</v>
      </c>
      <c r="T151" s="3">
        <v>135.9</v>
      </c>
      <c r="U151" s="3" t="s">
        <v>147</v>
      </c>
      <c r="V151" s="3">
        <v>127.9</v>
      </c>
      <c r="W151" s="3">
        <v>129.69999999999999</v>
      </c>
      <c r="X151" s="3">
        <v>127.4</v>
      </c>
      <c r="Y151" s="3">
        <v>117.4</v>
      </c>
      <c r="Z151" s="3">
        <v>124.6</v>
      </c>
      <c r="AA151" s="3">
        <v>133.4</v>
      </c>
      <c r="AB151" s="3">
        <v>122.6</v>
      </c>
      <c r="AC151" s="3">
        <v>124.8</v>
      </c>
      <c r="AD151" s="3">
        <v>130.6</v>
      </c>
    </row>
    <row r="152" spans="1:30" ht="15" customHeight="1" x14ac:dyDescent="0.2">
      <c r="A152" s="3" t="s">
        <v>84</v>
      </c>
      <c r="B152" s="3">
        <v>2017</v>
      </c>
      <c r="C152" s="3" t="s">
        <v>92</v>
      </c>
      <c r="D152" s="3">
        <v>133.6</v>
      </c>
      <c r="E152" s="3">
        <v>138.80000000000001</v>
      </c>
      <c r="F152" s="3">
        <v>128.80000000000001</v>
      </c>
      <c r="G152" s="3">
        <v>137.19999999999999</v>
      </c>
      <c r="H152" s="3">
        <v>121.6</v>
      </c>
      <c r="I152" s="3">
        <v>139.69999999999999</v>
      </c>
      <c r="J152" s="3">
        <v>119.7</v>
      </c>
      <c r="K152" s="3">
        <v>148</v>
      </c>
      <c r="L152" s="3">
        <v>116.9</v>
      </c>
      <c r="M152" s="3">
        <v>135.6</v>
      </c>
      <c r="N152" s="3">
        <v>129.80000000000001</v>
      </c>
      <c r="O152" s="3">
        <v>145.4</v>
      </c>
      <c r="P152" s="3">
        <v>133.4</v>
      </c>
      <c r="Q152" s="3">
        <v>144.19999999999999</v>
      </c>
      <c r="R152" s="3">
        <v>141.6</v>
      </c>
      <c r="S152" s="3">
        <v>136.19999999999999</v>
      </c>
      <c r="T152" s="3">
        <v>140.80000000000001</v>
      </c>
      <c r="V152" s="3">
        <v>134.19999999999999</v>
      </c>
      <c r="W152" s="3">
        <v>134.1</v>
      </c>
      <c r="X152" s="3">
        <v>130.6</v>
      </c>
      <c r="Y152" s="3">
        <v>119.8</v>
      </c>
      <c r="Z152" s="3">
        <v>128.30000000000001</v>
      </c>
      <c r="AA152" s="3">
        <v>135.19999999999999</v>
      </c>
      <c r="AB152" s="3">
        <v>123.3</v>
      </c>
      <c r="AC152" s="3">
        <v>127.4</v>
      </c>
      <c r="AD152" s="3">
        <v>132.80000000000001</v>
      </c>
    </row>
    <row r="153" spans="1:30" ht="15" customHeight="1" x14ac:dyDescent="0.2">
      <c r="A153" s="3" t="s">
        <v>87</v>
      </c>
      <c r="B153" s="3">
        <v>2017</v>
      </c>
      <c r="C153" s="3" t="s">
        <v>92</v>
      </c>
      <c r="D153" s="3">
        <v>132.69999999999999</v>
      </c>
      <c r="E153" s="3">
        <v>139.4</v>
      </c>
      <c r="F153" s="3">
        <v>128.4</v>
      </c>
      <c r="G153" s="3">
        <v>134.9</v>
      </c>
      <c r="H153" s="3">
        <v>114</v>
      </c>
      <c r="I153" s="3">
        <v>136.80000000000001</v>
      </c>
      <c r="J153" s="3">
        <v>122.2</v>
      </c>
      <c r="K153" s="3">
        <v>135.80000000000001</v>
      </c>
      <c r="L153" s="3">
        <v>120.3</v>
      </c>
      <c r="M153" s="3">
        <v>142.6</v>
      </c>
      <c r="N153" s="3">
        <v>123.6</v>
      </c>
      <c r="O153" s="3">
        <v>142.4</v>
      </c>
      <c r="P153" s="3">
        <v>132.6</v>
      </c>
      <c r="Q153" s="3">
        <v>147.5</v>
      </c>
      <c r="R153" s="3">
        <v>130.80000000000001</v>
      </c>
      <c r="S153" s="3">
        <v>122.8</v>
      </c>
      <c r="T153" s="3">
        <v>129.6</v>
      </c>
      <c r="U153" s="3" t="s">
        <v>148</v>
      </c>
      <c r="V153" s="3">
        <v>120.8</v>
      </c>
      <c r="W153" s="3">
        <v>125.6</v>
      </c>
      <c r="X153" s="3">
        <v>123.1</v>
      </c>
      <c r="Y153" s="3">
        <v>115.6</v>
      </c>
      <c r="Z153" s="3">
        <v>122.4</v>
      </c>
      <c r="AA153" s="3">
        <v>132.80000000000001</v>
      </c>
      <c r="AB153" s="3">
        <v>121.7</v>
      </c>
      <c r="AC153" s="3">
        <v>122.6</v>
      </c>
      <c r="AD153" s="3">
        <v>128.69999999999999</v>
      </c>
    </row>
    <row r="154" spans="1:30" ht="15" customHeight="1" x14ac:dyDescent="0.2">
      <c r="A154" s="3" t="s">
        <v>89</v>
      </c>
      <c r="B154" s="3">
        <v>2017</v>
      </c>
      <c r="C154" s="3" t="s">
        <v>92</v>
      </c>
      <c r="D154" s="3">
        <v>133.30000000000001</v>
      </c>
      <c r="E154" s="3">
        <v>139</v>
      </c>
      <c r="F154" s="3">
        <v>128.6</v>
      </c>
      <c r="G154" s="3">
        <v>136.30000000000001</v>
      </c>
      <c r="H154" s="3">
        <v>118.8</v>
      </c>
      <c r="I154" s="3">
        <v>138.30000000000001</v>
      </c>
      <c r="J154" s="3">
        <v>120.5</v>
      </c>
      <c r="K154" s="3">
        <v>143.9</v>
      </c>
      <c r="L154" s="3">
        <v>118</v>
      </c>
      <c r="M154" s="3">
        <v>137.9</v>
      </c>
      <c r="N154" s="3">
        <v>127.2</v>
      </c>
      <c r="O154" s="3">
        <v>144</v>
      </c>
      <c r="P154" s="3">
        <v>133.1</v>
      </c>
      <c r="Q154" s="3">
        <v>145.1</v>
      </c>
      <c r="R154" s="3">
        <v>137.30000000000001</v>
      </c>
      <c r="S154" s="3">
        <v>130.6</v>
      </c>
      <c r="T154" s="3">
        <v>136.4</v>
      </c>
      <c r="U154" s="3" t="s">
        <v>148</v>
      </c>
      <c r="V154" s="3">
        <v>129.1</v>
      </c>
      <c r="W154" s="3">
        <v>130.1</v>
      </c>
      <c r="X154" s="3">
        <v>127.8</v>
      </c>
      <c r="Y154" s="3">
        <v>117.6</v>
      </c>
      <c r="Z154" s="3">
        <v>125</v>
      </c>
      <c r="AA154" s="3">
        <v>133.80000000000001</v>
      </c>
      <c r="AB154" s="3">
        <v>122.6</v>
      </c>
      <c r="AC154" s="3">
        <v>125.1</v>
      </c>
      <c r="AD154" s="3">
        <v>130.9</v>
      </c>
    </row>
    <row r="155" spans="1:30" ht="15" customHeight="1" x14ac:dyDescent="0.2">
      <c r="A155" s="3" t="s">
        <v>84</v>
      </c>
      <c r="B155" s="3">
        <v>2017</v>
      </c>
      <c r="C155" s="3" t="s">
        <v>93</v>
      </c>
      <c r="D155" s="3">
        <v>133.19999999999999</v>
      </c>
      <c r="E155" s="3">
        <v>138.69999999999999</v>
      </c>
      <c r="F155" s="3">
        <v>127.1</v>
      </c>
      <c r="G155" s="3">
        <v>137.69999999999999</v>
      </c>
      <c r="H155" s="3">
        <v>121.3</v>
      </c>
      <c r="I155" s="3">
        <v>141.80000000000001</v>
      </c>
      <c r="J155" s="3">
        <v>121.5</v>
      </c>
      <c r="K155" s="3">
        <v>144.5</v>
      </c>
      <c r="L155" s="3">
        <v>117.4</v>
      </c>
      <c r="M155" s="3">
        <v>134.1</v>
      </c>
      <c r="N155" s="3">
        <v>130</v>
      </c>
      <c r="O155" s="3">
        <v>145.5</v>
      </c>
      <c r="P155" s="3">
        <v>133.5</v>
      </c>
      <c r="Q155" s="3">
        <v>144.4</v>
      </c>
      <c r="R155" s="3">
        <v>142.4</v>
      </c>
      <c r="S155" s="3">
        <v>136.80000000000001</v>
      </c>
      <c r="T155" s="3">
        <v>141.6</v>
      </c>
      <c r="V155" s="3">
        <v>135</v>
      </c>
      <c r="W155" s="3">
        <v>134.30000000000001</v>
      </c>
      <c r="X155" s="3">
        <v>131</v>
      </c>
      <c r="Y155" s="3">
        <v>119.2</v>
      </c>
      <c r="Z155" s="3">
        <v>128.30000000000001</v>
      </c>
      <c r="AA155" s="3">
        <v>135.69999999999999</v>
      </c>
      <c r="AB155" s="3">
        <v>123.7</v>
      </c>
      <c r="AC155" s="3">
        <v>127.5</v>
      </c>
      <c r="AD155" s="3">
        <v>132.9</v>
      </c>
    </row>
    <row r="156" spans="1:30" ht="15" customHeight="1" x14ac:dyDescent="0.2">
      <c r="A156" s="3" t="s">
        <v>87</v>
      </c>
      <c r="B156" s="3">
        <v>2017</v>
      </c>
      <c r="C156" s="3" t="s">
        <v>93</v>
      </c>
      <c r="D156" s="3">
        <v>132.69999999999999</v>
      </c>
      <c r="E156" s="3">
        <v>140.6</v>
      </c>
      <c r="F156" s="3">
        <v>124.5</v>
      </c>
      <c r="G156" s="3">
        <v>136.30000000000001</v>
      </c>
      <c r="H156" s="3">
        <v>113.5</v>
      </c>
      <c r="I156" s="3">
        <v>137.69999999999999</v>
      </c>
      <c r="J156" s="3">
        <v>127.1</v>
      </c>
      <c r="K156" s="3">
        <v>133.80000000000001</v>
      </c>
      <c r="L156" s="3">
        <v>120.8</v>
      </c>
      <c r="M156" s="3">
        <v>141.30000000000001</v>
      </c>
      <c r="N156" s="3">
        <v>123.8</v>
      </c>
      <c r="O156" s="3">
        <v>142.6</v>
      </c>
      <c r="P156" s="3">
        <v>133.4</v>
      </c>
      <c r="Q156" s="3">
        <v>148</v>
      </c>
      <c r="R156" s="3">
        <v>131.19999999999999</v>
      </c>
      <c r="S156" s="3">
        <v>123</v>
      </c>
      <c r="T156" s="3">
        <v>130</v>
      </c>
      <c r="U156" s="3" t="s">
        <v>149</v>
      </c>
      <c r="V156" s="3">
        <v>121.4</v>
      </c>
      <c r="W156" s="3">
        <v>126</v>
      </c>
      <c r="X156" s="3">
        <v>123.4</v>
      </c>
      <c r="Y156" s="3">
        <v>114.3</v>
      </c>
      <c r="Z156" s="3">
        <v>122.6</v>
      </c>
      <c r="AA156" s="3">
        <v>133.6</v>
      </c>
      <c r="AB156" s="3">
        <v>122.2</v>
      </c>
      <c r="AC156" s="3">
        <v>122.5</v>
      </c>
      <c r="AD156" s="3">
        <v>129.1</v>
      </c>
    </row>
    <row r="157" spans="1:30" ht="15" customHeight="1" x14ac:dyDescent="0.2">
      <c r="A157" s="3" t="s">
        <v>89</v>
      </c>
      <c r="B157" s="3">
        <v>2017</v>
      </c>
      <c r="C157" s="3" t="s">
        <v>93</v>
      </c>
      <c r="D157" s="3">
        <v>133</v>
      </c>
      <c r="E157" s="3">
        <v>139.4</v>
      </c>
      <c r="F157" s="3">
        <v>126.1</v>
      </c>
      <c r="G157" s="3">
        <v>137.19999999999999</v>
      </c>
      <c r="H157" s="3">
        <v>118.4</v>
      </c>
      <c r="I157" s="3">
        <v>139.9</v>
      </c>
      <c r="J157" s="3">
        <v>123.4</v>
      </c>
      <c r="K157" s="3">
        <v>140.9</v>
      </c>
      <c r="L157" s="3">
        <v>118.5</v>
      </c>
      <c r="M157" s="3">
        <v>136.5</v>
      </c>
      <c r="N157" s="3">
        <v>127.4</v>
      </c>
      <c r="O157" s="3">
        <v>144.19999999999999</v>
      </c>
      <c r="P157" s="3">
        <v>133.5</v>
      </c>
      <c r="Q157" s="3">
        <v>145.4</v>
      </c>
      <c r="R157" s="3">
        <v>138</v>
      </c>
      <c r="S157" s="3">
        <v>131.1</v>
      </c>
      <c r="T157" s="3">
        <v>137</v>
      </c>
      <c r="U157" s="3" t="s">
        <v>149</v>
      </c>
      <c r="V157" s="3">
        <v>129.80000000000001</v>
      </c>
      <c r="W157" s="3">
        <v>130.4</v>
      </c>
      <c r="X157" s="3">
        <v>128.1</v>
      </c>
      <c r="Y157" s="3">
        <v>116.6</v>
      </c>
      <c r="Z157" s="3">
        <v>125.1</v>
      </c>
      <c r="AA157" s="3">
        <v>134.5</v>
      </c>
      <c r="AB157" s="3">
        <v>123.1</v>
      </c>
      <c r="AC157" s="3">
        <v>125.1</v>
      </c>
      <c r="AD157" s="3">
        <v>131.1</v>
      </c>
    </row>
    <row r="158" spans="1:30" ht="15" customHeight="1" x14ac:dyDescent="0.2">
      <c r="A158" s="3" t="s">
        <v>84</v>
      </c>
      <c r="B158" s="3">
        <v>2017</v>
      </c>
      <c r="C158" s="3" t="s">
        <v>95</v>
      </c>
      <c r="D158" s="3">
        <v>133.1</v>
      </c>
      <c r="E158" s="3">
        <v>140.30000000000001</v>
      </c>
      <c r="F158" s="3">
        <v>126.8</v>
      </c>
      <c r="G158" s="3">
        <v>138.19999999999999</v>
      </c>
      <c r="H158" s="3">
        <v>120.8</v>
      </c>
      <c r="I158" s="3">
        <v>140.19999999999999</v>
      </c>
      <c r="J158" s="3">
        <v>123.8</v>
      </c>
      <c r="K158" s="3">
        <v>141.80000000000001</v>
      </c>
      <c r="L158" s="3">
        <v>118.6</v>
      </c>
      <c r="M158" s="3">
        <v>134</v>
      </c>
      <c r="N158" s="3">
        <v>130.30000000000001</v>
      </c>
      <c r="O158" s="3">
        <v>145.80000000000001</v>
      </c>
      <c r="P158" s="3">
        <v>133.80000000000001</v>
      </c>
      <c r="Q158" s="3">
        <v>145.5</v>
      </c>
      <c r="R158" s="3">
        <v>142.5</v>
      </c>
      <c r="S158" s="3">
        <v>137.30000000000001</v>
      </c>
      <c r="T158" s="3">
        <v>141.80000000000001</v>
      </c>
      <c r="V158" s="3">
        <v>135</v>
      </c>
      <c r="W158" s="3">
        <v>134.9</v>
      </c>
      <c r="X158" s="3">
        <v>131.4</v>
      </c>
      <c r="Y158" s="3">
        <v>119.4</v>
      </c>
      <c r="Z158" s="3">
        <v>129.4</v>
      </c>
      <c r="AA158" s="3">
        <v>136.30000000000001</v>
      </c>
      <c r="AB158" s="3">
        <v>123.7</v>
      </c>
      <c r="AC158" s="3">
        <v>127.9</v>
      </c>
      <c r="AD158" s="3">
        <v>133.30000000000001</v>
      </c>
    </row>
    <row r="159" spans="1:30" ht="15" customHeight="1" x14ac:dyDescent="0.2">
      <c r="A159" s="3" t="s">
        <v>87</v>
      </c>
      <c r="B159" s="3">
        <v>2017</v>
      </c>
      <c r="C159" s="3" t="s">
        <v>95</v>
      </c>
      <c r="D159" s="3">
        <v>132.6</v>
      </c>
      <c r="E159" s="3">
        <v>144.1</v>
      </c>
      <c r="F159" s="3">
        <v>125.6</v>
      </c>
      <c r="G159" s="3">
        <v>136.80000000000001</v>
      </c>
      <c r="H159" s="3">
        <v>113.4</v>
      </c>
      <c r="I159" s="3">
        <v>135.19999999999999</v>
      </c>
      <c r="J159" s="3">
        <v>129.19999999999999</v>
      </c>
      <c r="K159" s="3">
        <v>131.5</v>
      </c>
      <c r="L159" s="3">
        <v>121</v>
      </c>
      <c r="M159" s="3">
        <v>139.9</v>
      </c>
      <c r="N159" s="3">
        <v>123.8</v>
      </c>
      <c r="O159" s="3">
        <v>142.9</v>
      </c>
      <c r="P159" s="3">
        <v>133.6</v>
      </c>
      <c r="Q159" s="3">
        <v>148.30000000000001</v>
      </c>
      <c r="R159" s="3">
        <v>131.5</v>
      </c>
      <c r="S159" s="3">
        <v>123.2</v>
      </c>
      <c r="T159" s="3">
        <v>130.19999999999999</v>
      </c>
      <c r="U159" s="3" t="s">
        <v>150</v>
      </c>
      <c r="V159" s="3">
        <v>120.1</v>
      </c>
      <c r="W159" s="3">
        <v>126.5</v>
      </c>
      <c r="X159" s="3">
        <v>123.6</v>
      </c>
      <c r="Y159" s="3">
        <v>114.3</v>
      </c>
      <c r="Z159" s="3">
        <v>122.8</v>
      </c>
      <c r="AA159" s="3">
        <v>133.80000000000001</v>
      </c>
      <c r="AB159" s="3">
        <v>122</v>
      </c>
      <c r="AC159" s="3">
        <v>122.6</v>
      </c>
      <c r="AD159" s="3">
        <v>129.30000000000001</v>
      </c>
    </row>
    <row r="160" spans="1:30" ht="15" customHeight="1" x14ac:dyDescent="0.2">
      <c r="A160" s="3" t="s">
        <v>89</v>
      </c>
      <c r="B160" s="3">
        <v>2017</v>
      </c>
      <c r="C160" s="3" t="s">
        <v>95</v>
      </c>
      <c r="D160" s="3">
        <v>132.9</v>
      </c>
      <c r="E160" s="3">
        <v>141.6</v>
      </c>
      <c r="F160" s="3">
        <v>126.3</v>
      </c>
      <c r="G160" s="3">
        <v>137.69999999999999</v>
      </c>
      <c r="H160" s="3">
        <v>118.1</v>
      </c>
      <c r="I160" s="3">
        <v>137.9</v>
      </c>
      <c r="J160" s="3">
        <v>125.6</v>
      </c>
      <c r="K160" s="3">
        <v>138.30000000000001</v>
      </c>
      <c r="L160" s="3">
        <v>119.4</v>
      </c>
      <c r="M160" s="3">
        <v>136</v>
      </c>
      <c r="N160" s="3">
        <v>127.6</v>
      </c>
      <c r="O160" s="3">
        <v>144.5</v>
      </c>
      <c r="P160" s="3">
        <v>133.69999999999999</v>
      </c>
      <c r="Q160" s="3">
        <v>146.19999999999999</v>
      </c>
      <c r="R160" s="3">
        <v>138.19999999999999</v>
      </c>
      <c r="S160" s="3">
        <v>131.4</v>
      </c>
      <c r="T160" s="3">
        <v>137.19999999999999</v>
      </c>
      <c r="U160" s="3" t="s">
        <v>150</v>
      </c>
      <c r="V160" s="3">
        <v>129.4</v>
      </c>
      <c r="W160" s="3">
        <v>130.9</v>
      </c>
      <c r="X160" s="3">
        <v>128.4</v>
      </c>
      <c r="Y160" s="3">
        <v>116.7</v>
      </c>
      <c r="Z160" s="3">
        <v>125.7</v>
      </c>
      <c r="AA160" s="3">
        <v>134.80000000000001</v>
      </c>
      <c r="AB160" s="3">
        <v>123</v>
      </c>
      <c r="AC160" s="3">
        <v>125.3</v>
      </c>
      <c r="AD160" s="3">
        <v>131.4</v>
      </c>
    </row>
    <row r="161" spans="1:30" ht="15" customHeight="1" x14ac:dyDescent="0.2">
      <c r="A161" s="3" t="s">
        <v>84</v>
      </c>
      <c r="B161" s="3">
        <v>2017</v>
      </c>
      <c r="C161" s="3" t="s">
        <v>96</v>
      </c>
      <c r="D161" s="3">
        <v>133.5</v>
      </c>
      <c r="E161" s="3">
        <v>143.69999999999999</v>
      </c>
      <c r="F161" s="3">
        <v>128</v>
      </c>
      <c r="G161" s="3">
        <v>138.6</v>
      </c>
      <c r="H161" s="3">
        <v>120.9</v>
      </c>
      <c r="I161" s="3">
        <v>140.9</v>
      </c>
      <c r="J161" s="3">
        <v>128.80000000000001</v>
      </c>
      <c r="K161" s="3">
        <v>140.19999999999999</v>
      </c>
      <c r="L161" s="3">
        <v>118.9</v>
      </c>
      <c r="M161" s="3">
        <v>133.5</v>
      </c>
      <c r="N161" s="3">
        <v>130.4</v>
      </c>
      <c r="O161" s="3">
        <v>146.5</v>
      </c>
      <c r="P161" s="3">
        <v>134.9</v>
      </c>
      <c r="Q161" s="3">
        <v>145.80000000000001</v>
      </c>
      <c r="R161" s="3">
        <v>143.1</v>
      </c>
      <c r="S161" s="3">
        <v>137.69999999999999</v>
      </c>
      <c r="T161" s="3">
        <v>142.30000000000001</v>
      </c>
      <c r="V161" s="3">
        <v>134.80000000000001</v>
      </c>
      <c r="W161" s="3">
        <v>135.19999999999999</v>
      </c>
      <c r="X161" s="3">
        <v>131.30000000000001</v>
      </c>
      <c r="Y161" s="3">
        <v>119.4</v>
      </c>
      <c r="Z161" s="3">
        <v>129.80000000000001</v>
      </c>
      <c r="AA161" s="3">
        <v>136.9</v>
      </c>
      <c r="AB161" s="3">
        <v>124.1</v>
      </c>
      <c r="AC161" s="3">
        <v>128.1</v>
      </c>
      <c r="AD161" s="3">
        <v>133.9</v>
      </c>
    </row>
    <row r="162" spans="1:30" ht="15" customHeight="1" x14ac:dyDescent="0.2">
      <c r="A162" s="3" t="s">
        <v>87</v>
      </c>
      <c r="B162" s="3">
        <v>2017</v>
      </c>
      <c r="C162" s="3" t="s">
        <v>96</v>
      </c>
      <c r="D162" s="3">
        <v>132.9</v>
      </c>
      <c r="E162" s="3">
        <v>148.69999999999999</v>
      </c>
      <c r="F162" s="3">
        <v>128.30000000000001</v>
      </c>
      <c r="G162" s="3">
        <v>137.30000000000001</v>
      </c>
      <c r="H162" s="3">
        <v>113.5</v>
      </c>
      <c r="I162" s="3">
        <v>137.19999999999999</v>
      </c>
      <c r="J162" s="3">
        <v>142.19999999999999</v>
      </c>
      <c r="K162" s="3">
        <v>128.19999999999999</v>
      </c>
      <c r="L162" s="3">
        <v>120.9</v>
      </c>
      <c r="M162" s="3">
        <v>138.80000000000001</v>
      </c>
      <c r="N162" s="3">
        <v>124.2</v>
      </c>
      <c r="O162" s="3">
        <v>143.1</v>
      </c>
      <c r="P162" s="3">
        <v>135.69999999999999</v>
      </c>
      <c r="Q162" s="3">
        <v>148.6</v>
      </c>
      <c r="R162" s="3">
        <v>131.5</v>
      </c>
      <c r="S162" s="3">
        <v>123.2</v>
      </c>
      <c r="T162" s="3">
        <v>130.19999999999999</v>
      </c>
      <c r="U162" s="3" t="s">
        <v>151</v>
      </c>
      <c r="V162" s="3">
        <v>119</v>
      </c>
      <c r="W162" s="3">
        <v>126.8</v>
      </c>
      <c r="X162" s="3">
        <v>123.8</v>
      </c>
      <c r="Y162" s="3">
        <v>113.9</v>
      </c>
      <c r="Z162" s="3">
        <v>122.9</v>
      </c>
      <c r="AA162" s="3">
        <v>134.30000000000001</v>
      </c>
      <c r="AB162" s="3">
        <v>122.5</v>
      </c>
      <c r="AC162" s="3">
        <v>122.7</v>
      </c>
      <c r="AD162" s="3">
        <v>129.9</v>
      </c>
    </row>
    <row r="163" spans="1:30" ht="15" customHeight="1" x14ac:dyDescent="0.2">
      <c r="A163" s="3" t="s">
        <v>89</v>
      </c>
      <c r="B163" s="3">
        <v>2017</v>
      </c>
      <c r="C163" s="3" t="s">
        <v>96</v>
      </c>
      <c r="D163" s="3">
        <v>133.30000000000001</v>
      </c>
      <c r="E163" s="3">
        <v>145.5</v>
      </c>
      <c r="F163" s="3">
        <v>128.1</v>
      </c>
      <c r="G163" s="3">
        <v>138.1</v>
      </c>
      <c r="H163" s="3">
        <v>118.2</v>
      </c>
      <c r="I163" s="3">
        <v>139.19999999999999</v>
      </c>
      <c r="J163" s="3">
        <v>133.30000000000001</v>
      </c>
      <c r="K163" s="3">
        <v>136.19999999999999</v>
      </c>
      <c r="L163" s="3">
        <v>119.6</v>
      </c>
      <c r="M163" s="3">
        <v>135.30000000000001</v>
      </c>
      <c r="N163" s="3">
        <v>127.8</v>
      </c>
      <c r="O163" s="3">
        <v>144.9</v>
      </c>
      <c r="P163" s="3">
        <v>135.19999999999999</v>
      </c>
      <c r="Q163" s="3">
        <v>146.5</v>
      </c>
      <c r="R163" s="3">
        <v>138.5</v>
      </c>
      <c r="S163" s="3">
        <v>131.69999999999999</v>
      </c>
      <c r="T163" s="3">
        <v>137.5</v>
      </c>
      <c r="U163" s="3" t="s">
        <v>151</v>
      </c>
      <c r="V163" s="3">
        <v>128.80000000000001</v>
      </c>
      <c r="W163" s="3">
        <v>131.19999999999999</v>
      </c>
      <c r="X163" s="3">
        <v>128.5</v>
      </c>
      <c r="Y163" s="3">
        <v>116.5</v>
      </c>
      <c r="Z163" s="3">
        <v>125.9</v>
      </c>
      <c r="AA163" s="3">
        <v>135.4</v>
      </c>
      <c r="AB163" s="3">
        <v>123.4</v>
      </c>
      <c r="AC163" s="3">
        <v>125.5</v>
      </c>
      <c r="AD163" s="3">
        <v>132</v>
      </c>
    </row>
    <row r="164" spans="1:30" ht="15" customHeight="1" x14ac:dyDescent="0.2">
      <c r="A164" s="3" t="s">
        <v>84</v>
      </c>
      <c r="B164" s="3">
        <v>2017</v>
      </c>
      <c r="C164" s="3" t="s">
        <v>98</v>
      </c>
      <c r="D164" s="3">
        <v>134</v>
      </c>
      <c r="E164" s="3">
        <v>144.19999999999999</v>
      </c>
      <c r="F164" s="3">
        <v>129.80000000000001</v>
      </c>
      <c r="G164" s="3">
        <v>139</v>
      </c>
      <c r="H164" s="3">
        <v>120.9</v>
      </c>
      <c r="I164" s="3">
        <v>143.9</v>
      </c>
      <c r="J164" s="3">
        <v>151.5</v>
      </c>
      <c r="K164" s="3">
        <v>138.1</v>
      </c>
      <c r="L164" s="3">
        <v>120</v>
      </c>
      <c r="M164" s="3">
        <v>133.9</v>
      </c>
      <c r="N164" s="3">
        <v>131.4</v>
      </c>
      <c r="O164" s="3">
        <v>147.69999999999999</v>
      </c>
      <c r="P164" s="3">
        <v>138.5</v>
      </c>
      <c r="Q164" s="3">
        <v>147.4</v>
      </c>
      <c r="R164" s="3">
        <v>144.30000000000001</v>
      </c>
      <c r="S164" s="3">
        <v>138.1</v>
      </c>
      <c r="T164" s="3">
        <v>143.5</v>
      </c>
      <c r="V164" s="3">
        <v>135.30000000000001</v>
      </c>
      <c r="W164" s="3">
        <v>136.1</v>
      </c>
      <c r="X164" s="3">
        <v>132.1</v>
      </c>
      <c r="Y164" s="3">
        <v>119.1</v>
      </c>
      <c r="Z164" s="3">
        <v>130.6</v>
      </c>
      <c r="AA164" s="3">
        <v>138.6</v>
      </c>
      <c r="AB164" s="3">
        <v>124.4</v>
      </c>
      <c r="AC164" s="3">
        <v>128.6</v>
      </c>
      <c r="AD164" s="3">
        <v>136.19999999999999</v>
      </c>
    </row>
    <row r="165" spans="1:30" ht="15" customHeight="1" x14ac:dyDescent="0.2">
      <c r="A165" s="3" t="s">
        <v>87</v>
      </c>
      <c r="B165" s="3">
        <v>2017</v>
      </c>
      <c r="C165" s="3" t="s">
        <v>98</v>
      </c>
      <c r="D165" s="3">
        <v>132.80000000000001</v>
      </c>
      <c r="E165" s="3">
        <v>148.4</v>
      </c>
      <c r="F165" s="3">
        <v>129.4</v>
      </c>
      <c r="G165" s="3">
        <v>137.69999999999999</v>
      </c>
      <c r="H165" s="3">
        <v>113.4</v>
      </c>
      <c r="I165" s="3">
        <v>139.4</v>
      </c>
      <c r="J165" s="3">
        <v>175.1</v>
      </c>
      <c r="K165" s="3">
        <v>124.7</v>
      </c>
      <c r="L165" s="3">
        <v>121.5</v>
      </c>
      <c r="M165" s="3">
        <v>137.80000000000001</v>
      </c>
      <c r="N165" s="3">
        <v>124.4</v>
      </c>
      <c r="O165" s="3">
        <v>143.69999999999999</v>
      </c>
      <c r="P165" s="3">
        <v>139.80000000000001</v>
      </c>
      <c r="Q165" s="3">
        <v>150.5</v>
      </c>
      <c r="R165" s="3">
        <v>131.6</v>
      </c>
      <c r="S165" s="3">
        <v>123.7</v>
      </c>
      <c r="T165" s="3">
        <v>130.4</v>
      </c>
      <c r="U165" s="3" t="s">
        <v>152</v>
      </c>
      <c r="V165" s="3">
        <v>119.7</v>
      </c>
      <c r="W165" s="3">
        <v>127.2</v>
      </c>
      <c r="X165" s="3">
        <v>125</v>
      </c>
      <c r="Y165" s="3">
        <v>113.2</v>
      </c>
      <c r="Z165" s="3">
        <v>123.5</v>
      </c>
      <c r="AA165" s="3">
        <v>135.5</v>
      </c>
      <c r="AB165" s="3">
        <v>122.4</v>
      </c>
      <c r="AC165" s="3">
        <v>123</v>
      </c>
      <c r="AD165" s="3">
        <v>131.80000000000001</v>
      </c>
    </row>
    <row r="166" spans="1:30" ht="15" customHeight="1" x14ac:dyDescent="0.2">
      <c r="A166" s="3" t="s">
        <v>89</v>
      </c>
      <c r="B166" s="3">
        <v>2017</v>
      </c>
      <c r="C166" s="3" t="s">
        <v>98</v>
      </c>
      <c r="D166" s="3">
        <v>133.6</v>
      </c>
      <c r="E166" s="3">
        <v>145.69999999999999</v>
      </c>
      <c r="F166" s="3">
        <v>129.6</v>
      </c>
      <c r="G166" s="3">
        <v>138.5</v>
      </c>
      <c r="H166" s="3">
        <v>118.1</v>
      </c>
      <c r="I166" s="3">
        <v>141.80000000000001</v>
      </c>
      <c r="J166" s="3">
        <v>159.5</v>
      </c>
      <c r="K166" s="3">
        <v>133.6</v>
      </c>
      <c r="L166" s="3">
        <v>120.5</v>
      </c>
      <c r="M166" s="3">
        <v>135.19999999999999</v>
      </c>
      <c r="N166" s="3">
        <v>128.5</v>
      </c>
      <c r="O166" s="3">
        <v>145.80000000000001</v>
      </c>
      <c r="P166" s="3">
        <v>139</v>
      </c>
      <c r="Q166" s="3">
        <v>148.19999999999999</v>
      </c>
      <c r="R166" s="3">
        <v>139.30000000000001</v>
      </c>
      <c r="S166" s="3">
        <v>132.1</v>
      </c>
      <c r="T166" s="3">
        <v>138.30000000000001</v>
      </c>
      <c r="U166" s="3" t="s">
        <v>152</v>
      </c>
      <c r="V166" s="3">
        <v>129.4</v>
      </c>
      <c r="W166" s="3">
        <v>131.9</v>
      </c>
      <c r="X166" s="3">
        <v>129.4</v>
      </c>
      <c r="Y166" s="3">
        <v>116</v>
      </c>
      <c r="Z166" s="3">
        <v>126.6</v>
      </c>
      <c r="AA166" s="3">
        <v>136.80000000000001</v>
      </c>
      <c r="AB166" s="3">
        <v>123.6</v>
      </c>
      <c r="AC166" s="3">
        <v>125.9</v>
      </c>
      <c r="AD166" s="3">
        <v>134.19999999999999</v>
      </c>
    </row>
    <row r="167" spans="1:30" ht="15" customHeight="1" x14ac:dyDescent="0.2">
      <c r="A167" s="3" t="s">
        <v>84</v>
      </c>
      <c r="B167" s="3">
        <v>2017</v>
      </c>
      <c r="C167" s="3" t="s">
        <v>100</v>
      </c>
      <c r="D167" s="3">
        <v>134.80000000000001</v>
      </c>
      <c r="E167" s="3">
        <v>143.1</v>
      </c>
      <c r="F167" s="3">
        <v>130</v>
      </c>
      <c r="G167" s="3">
        <v>139.4</v>
      </c>
      <c r="H167" s="3">
        <v>120.5</v>
      </c>
      <c r="I167" s="3">
        <v>148</v>
      </c>
      <c r="J167" s="3">
        <v>162.9</v>
      </c>
      <c r="K167" s="3">
        <v>137.4</v>
      </c>
      <c r="L167" s="3">
        <v>120.8</v>
      </c>
      <c r="M167" s="3">
        <v>134.69999999999999</v>
      </c>
      <c r="N167" s="3">
        <v>131.6</v>
      </c>
      <c r="O167" s="3">
        <v>148.69999999999999</v>
      </c>
      <c r="P167" s="3">
        <v>140.6</v>
      </c>
      <c r="Q167" s="3">
        <v>149</v>
      </c>
      <c r="R167" s="3">
        <v>145.30000000000001</v>
      </c>
      <c r="S167" s="3">
        <v>139.19999999999999</v>
      </c>
      <c r="T167" s="3">
        <v>144.5</v>
      </c>
      <c r="V167" s="3">
        <v>136.4</v>
      </c>
      <c r="W167" s="3">
        <v>137.30000000000001</v>
      </c>
      <c r="X167" s="3">
        <v>133</v>
      </c>
      <c r="Y167" s="3">
        <v>120.3</v>
      </c>
      <c r="Z167" s="3">
        <v>131.5</v>
      </c>
      <c r="AA167" s="3">
        <v>140.19999999999999</v>
      </c>
      <c r="AB167" s="3">
        <v>125.4</v>
      </c>
      <c r="AC167" s="3">
        <v>129.69999999999999</v>
      </c>
      <c r="AD167" s="3">
        <v>137.80000000000001</v>
      </c>
    </row>
    <row r="168" spans="1:30" ht="15" customHeight="1" x14ac:dyDescent="0.2">
      <c r="A168" s="3" t="s">
        <v>87</v>
      </c>
      <c r="B168" s="3">
        <v>2017</v>
      </c>
      <c r="C168" s="3" t="s">
        <v>100</v>
      </c>
      <c r="D168" s="3">
        <v>133.19999999999999</v>
      </c>
      <c r="E168" s="3">
        <v>143.9</v>
      </c>
      <c r="F168" s="3">
        <v>128.30000000000001</v>
      </c>
      <c r="G168" s="3">
        <v>138.30000000000001</v>
      </c>
      <c r="H168" s="3">
        <v>114.1</v>
      </c>
      <c r="I168" s="3">
        <v>142.69999999999999</v>
      </c>
      <c r="J168" s="3">
        <v>179.8</v>
      </c>
      <c r="K168" s="3">
        <v>123.5</v>
      </c>
      <c r="L168" s="3">
        <v>122.1</v>
      </c>
      <c r="M168" s="3">
        <v>137.5</v>
      </c>
      <c r="N168" s="3">
        <v>124.6</v>
      </c>
      <c r="O168" s="3">
        <v>144.5</v>
      </c>
      <c r="P168" s="3">
        <v>140.5</v>
      </c>
      <c r="Q168" s="3">
        <v>152.1</v>
      </c>
      <c r="R168" s="3">
        <v>132.69999999999999</v>
      </c>
      <c r="S168" s="3">
        <v>124.3</v>
      </c>
      <c r="T168" s="3">
        <v>131.4</v>
      </c>
      <c r="U168" s="3" t="s">
        <v>153</v>
      </c>
      <c r="V168" s="3">
        <v>118.9</v>
      </c>
      <c r="W168" s="3">
        <v>127.7</v>
      </c>
      <c r="X168" s="3">
        <v>125.7</v>
      </c>
      <c r="Y168" s="3">
        <v>114.6</v>
      </c>
      <c r="Z168" s="3">
        <v>124.1</v>
      </c>
      <c r="AA168" s="3">
        <v>135.69999999999999</v>
      </c>
      <c r="AB168" s="3">
        <v>123.3</v>
      </c>
      <c r="AC168" s="3">
        <v>123.8</v>
      </c>
      <c r="AD168" s="3">
        <v>132.69999999999999</v>
      </c>
    </row>
    <row r="169" spans="1:30" ht="15" customHeight="1" x14ac:dyDescent="0.2">
      <c r="A169" s="3" t="s">
        <v>89</v>
      </c>
      <c r="B169" s="3">
        <v>2017</v>
      </c>
      <c r="C169" s="3" t="s">
        <v>100</v>
      </c>
      <c r="D169" s="3">
        <v>134.30000000000001</v>
      </c>
      <c r="E169" s="3">
        <v>143.4</v>
      </c>
      <c r="F169" s="3">
        <v>129.30000000000001</v>
      </c>
      <c r="G169" s="3">
        <v>139</v>
      </c>
      <c r="H169" s="3">
        <v>118.1</v>
      </c>
      <c r="I169" s="3">
        <v>145.5</v>
      </c>
      <c r="J169" s="3">
        <v>168.6</v>
      </c>
      <c r="K169" s="3">
        <v>132.69999999999999</v>
      </c>
      <c r="L169" s="3">
        <v>121.2</v>
      </c>
      <c r="M169" s="3">
        <v>135.6</v>
      </c>
      <c r="N169" s="3">
        <v>128.69999999999999</v>
      </c>
      <c r="O169" s="3">
        <v>146.80000000000001</v>
      </c>
      <c r="P169" s="3">
        <v>140.6</v>
      </c>
      <c r="Q169" s="3">
        <v>149.80000000000001</v>
      </c>
      <c r="R169" s="3">
        <v>140.30000000000001</v>
      </c>
      <c r="S169" s="3">
        <v>133</v>
      </c>
      <c r="T169" s="3">
        <v>139.30000000000001</v>
      </c>
      <c r="U169" s="3" t="s">
        <v>153</v>
      </c>
      <c r="V169" s="3">
        <v>129.80000000000001</v>
      </c>
      <c r="W169" s="3">
        <v>132.80000000000001</v>
      </c>
      <c r="X169" s="3">
        <v>130.19999999999999</v>
      </c>
      <c r="Y169" s="3">
        <v>117.3</v>
      </c>
      <c r="Z169" s="3">
        <v>127.3</v>
      </c>
      <c r="AA169" s="3">
        <v>137.6</v>
      </c>
      <c r="AB169" s="3">
        <v>124.5</v>
      </c>
      <c r="AC169" s="3">
        <v>126.8</v>
      </c>
      <c r="AD169" s="3">
        <v>135.4</v>
      </c>
    </row>
    <row r="170" spans="1:30" ht="15" customHeight="1" x14ac:dyDescent="0.2">
      <c r="A170" s="3" t="s">
        <v>84</v>
      </c>
      <c r="B170" s="3">
        <v>2017</v>
      </c>
      <c r="C170" s="3" t="s">
        <v>102</v>
      </c>
      <c r="D170" s="3">
        <v>135.19999999999999</v>
      </c>
      <c r="E170" s="3">
        <v>142</v>
      </c>
      <c r="F170" s="3">
        <v>130.5</v>
      </c>
      <c r="G170" s="3">
        <v>140.19999999999999</v>
      </c>
      <c r="H170" s="3">
        <v>120.7</v>
      </c>
      <c r="I170" s="3">
        <v>147.80000000000001</v>
      </c>
      <c r="J170" s="3">
        <v>154.5</v>
      </c>
      <c r="K170" s="3">
        <v>137.1</v>
      </c>
      <c r="L170" s="3">
        <v>121</v>
      </c>
      <c r="M170" s="3">
        <v>134.69999999999999</v>
      </c>
      <c r="N170" s="3">
        <v>131.69999999999999</v>
      </c>
      <c r="O170" s="3">
        <v>149.30000000000001</v>
      </c>
      <c r="P170" s="3">
        <v>139.6</v>
      </c>
      <c r="Q170" s="3">
        <v>149.80000000000001</v>
      </c>
      <c r="R170" s="3">
        <v>146.1</v>
      </c>
      <c r="S170" s="3">
        <v>139.69999999999999</v>
      </c>
      <c r="T170" s="3">
        <v>145.19999999999999</v>
      </c>
      <c r="V170" s="3">
        <v>137.4</v>
      </c>
      <c r="W170" s="3">
        <v>137.9</v>
      </c>
      <c r="X170" s="3">
        <v>133.4</v>
      </c>
      <c r="Y170" s="3">
        <v>121.2</v>
      </c>
      <c r="Z170" s="3">
        <v>132.30000000000001</v>
      </c>
      <c r="AA170" s="3">
        <v>139.6</v>
      </c>
      <c r="AB170" s="3">
        <v>126.7</v>
      </c>
      <c r="AC170" s="3">
        <v>130.30000000000001</v>
      </c>
      <c r="AD170" s="3">
        <v>137.6</v>
      </c>
    </row>
    <row r="171" spans="1:30" ht="15" customHeight="1" x14ac:dyDescent="0.2">
      <c r="A171" s="3" t="s">
        <v>87</v>
      </c>
      <c r="B171" s="3">
        <v>2017</v>
      </c>
      <c r="C171" s="3" t="s">
        <v>102</v>
      </c>
      <c r="D171" s="3">
        <v>133.6</v>
      </c>
      <c r="E171" s="3">
        <v>143</v>
      </c>
      <c r="F171" s="3">
        <v>129.69999999999999</v>
      </c>
      <c r="G171" s="3">
        <v>138.69999999999999</v>
      </c>
      <c r="H171" s="3">
        <v>114.5</v>
      </c>
      <c r="I171" s="3">
        <v>137.5</v>
      </c>
      <c r="J171" s="3">
        <v>160.69999999999999</v>
      </c>
      <c r="K171" s="3">
        <v>124.5</v>
      </c>
      <c r="L171" s="3">
        <v>122.4</v>
      </c>
      <c r="M171" s="3">
        <v>137.30000000000001</v>
      </c>
      <c r="N171" s="3">
        <v>124.8</v>
      </c>
      <c r="O171" s="3">
        <v>145</v>
      </c>
      <c r="P171" s="3">
        <v>138</v>
      </c>
      <c r="Q171" s="3">
        <v>153.6</v>
      </c>
      <c r="R171" s="3">
        <v>133.30000000000001</v>
      </c>
      <c r="S171" s="3">
        <v>124.6</v>
      </c>
      <c r="T171" s="3">
        <v>132</v>
      </c>
      <c r="U171" s="3" t="s">
        <v>154</v>
      </c>
      <c r="V171" s="3">
        <v>120.6</v>
      </c>
      <c r="W171" s="3">
        <v>128.1</v>
      </c>
      <c r="X171" s="3">
        <v>126.1</v>
      </c>
      <c r="Y171" s="3">
        <v>115.7</v>
      </c>
      <c r="Z171" s="3">
        <v>124.5</v>
      </c>
      <c r="AA171" s="3">
        <v>135.9</v>
      </c>
      <c r="AB171" s="3">
        <v>124.4</v>
      </c>
      <c r="AC171" s="3">
        <v>124.5</v>
      </c>
      <c r="AD171" s="3">
        <v>132.4</v>
      </c>
    </row>
    <row r="172" spans="1:30" ht="15" customHeight="1" x14ac:dyDescent="0.2">
      <c r="A172" s="3" t="s">
        <v>89</v>
      </c>
      <c r="B172" s="3">
        <v>2017</v>
      </c>
      <c r="C172" s="3" t="s">
        <v>102</v>
      </c>
      <c r="D172" s="3">
        <v>134.69999999999999</v>
      </c>
      <c r="E172" s="3">
        <v>142.4</v>
      </c>
      <c r="F172" s="3">
        <v>130.19999999999999</v>
      </c>
      <c r="G172" s="3">
        <v>139.6</v>
      </c>
      <c r="H172" s="3">
        <v>118.4</v>
      </c>
      <c r="I172" s="3">
        <v>143</v>
      </c>
      <c r="J172" s="3">
        <v>156.6</v>
      </c>
      <c r="K172" s="3">
        <v>132.9</v>
      </c>
      <c r="L172" s="3">
        <v>121.5</v>
      </c>
      <c r="M172" s="3">
        <v>135.6</v>
      </c>
      <c r="N172" s="3">
        <v>128.80000000000001</v>
      </c>
      <c r="O172" s="3">
        <v>147.30000000000001</v>
      </c>
      <c r="P172" s="3">
        <v>139</v>
      </c>
      <c r="Q172" s="3">
        <v>150.80000000000001</v>
      </c>
      <c r="R172" s="3">
        <v>141.1</v>
      </c>
      <c r="S172" s="3">
        <v>133.4</v>
      </c>
      <c r="T172" s="3">
        <v>140</v>
      </c>
      <c r="U172" s="3" t="s">
        <v>154</v>
      </c>
      <c r="V172" s="3">
        <v>131</v>
      </c>
      <c r="W172" s="3">
        <v>133.30000000000001</v>
      </c>
      <c r="X172" s="3">
        <v>130.6</v>
      </c>
      <c r="Y172" s="3">
        <v>118.3</v>
      </c>
      <c r="Z172" s="3">
        <v>127.9</v>
      </c>
      <c r="AA172" s="3">
        <v>137.4</v>
      </c>
      <c r="AB172" s="3">
        <v>125.7</v>
      </c>
      <c r="AC172" s="3">
        <v>127.5</v>
      </c>
      <c r="AD172" s="3">
        <v>135.19999999999999</v>
      </c>
    </row>
    <row r="173" spans="1:30" ht="15" customHeight="1" x14ac:dyDescent="0.2">
      <c r="A173" s="3" t="s">
        <v>84</v>
      </c>
      <c r="B173" s="3">
        <v>2017</v>
      </c>
      <c r="C173" s="3" t="s">
        <v>104</v>
      </c>
      <c r="D173" s="3">
        <v>135.9</v>
      </c>
      <c r="E173" s="3">
        <v>141.9</v>
      </c>
      <c r="F173" s="3">
        <v>131</v>
      </c>
      <c r="G173" s="3">
        <v>141.5</v>
      </c>
      <c r="H173" s="3">
        <v>121.4</v>
      </c>
      <c r="I173" s="3">
        <v>146.69999999999999</v>
      </c>
      <c r="J173" s="3">
        <v>157.1</v>
      </c>
      <c r="K173" s="3">
        <v>136.4</v>
      </c>
      <c r="L173" s="3">
        <v>121.4</v>
      </c>
      <c r="M173" s="3">
        <v>135.6</v>
      </c>
      <c r="N173" s="3">
        <v>131.30000000000001</v>
      </c>
      <c r="O173" s="3">
        <v>150.30000000000001</v>
      </c>
      <c r="P173" s="3">
        <v>140.4</v>
      </c>
      <c r="Q173" s="3">
        <v>150.5</v>
      </c>
      <c r="R173" s="3">
        <v>147.19999999999999</v>
      </c>
      <c r="S173" s="3">
        <v>140.6</v>
      </c>
      <c r="T173" s="3">
        <v>146.19999999999999</v>
      </c>
      <c r="V173" s="3">
        <v>138.1</v>
      </c>
      <c r="W173" s="3">
        <v>138.4</v>
      </c>
      <c r="X173" s="3">
        <v>134.19999999999999</v>
      </c>
      <c r="Y173" s="3">
        <v>121</v>
      </c>
      <c r="Z173" s="3">
        <v>133</v>
      </c>
      <c r="AA173" s="3">
        <v>140.1</v>
      </c>
      <c r="AB173" s="3">
        <v>127.4</v>
      </c>
      <c r="AC173" s="3">
        <v>130.69999999999999</v>
      </c>
      <c r="AD173" s="3">
        <v>138.30000000000001</v>
      </c>
    </row>
    <row r="174" spans="1:30" ht="15" customHeight="1" x14ac:dyDescent="0.2">
      <c r="A174" s="3" t="s">
        <v>87</v>
      </c>
      <c r="B174" s="3">
        <v>2017</v>
      </c>
      <c r="C174" s="3" t="s">
        <v>104</v>
      </c>
      <c r="D174" s="3">
        <v>133.9</v>
      </c>
      <c r="E174" s="3">
        <v>142.80000000000001</v>
      </c>
      <c r="F174" s="3">
        <v>131.4</v>
      </c>
      <c r="G174" s="3">
        <v>139.1</v>
      </c>
      <c r="H174" s="3">
        <v>114.9</v>
      </c>
      <c r="I174" s="3">
        <v>135.6</v>
      </c>
      <c r="J174" s="3">
        <v>173.2</v>
      </c>
      <c r="K174" s="3">
        <v>124.1</v>
      </c>
      <c r="L174" s="3">
        <v>122.6</v>
      </c>
      <c r="M174" s="3">
        <v>137.80000000000001</v>
      </c>
      <c r="N174" s="3">
        <v>125.1</v>
      </c>
      <c r="O174" s="3">
        <v>145.5</v>
      </c>
      <c r="P174" s="3">
        <v>139.69999999999999</v>
      </c>
      <c r="Q174" s="3">
        <v>154.6</v>
      </c>
      <c r="R174" s="3">
        <v>134</v>
      </c>
      <c r="S174" s="3">
        <v>124.9</v>
      </c>
      <c r="T174" s="3">
        <v>132.6</v>
      </c>
      <c r="U174" s="3" t="s">
        <v>155</v>
      </c>
      <c r="V174" s="3">
        <v>122.6</v>
      </c>
      <c r="W174" s="3">
        <v>128.30000000000001</v>
      </c>
      <c r="X174" s="3">
        <v>126.6</v>
      </c>
      <c r="Y174" s="3">
        <v>115</v>
      </c>
      <c r="Z174" s="3">
        <v>124.8</v>
      </c>
      <c r="AA174" s="3">
        <v>136.30000000000001</v>
      </c>
      <c r="AB174" s="3">
        <v>124.6</v>
      </c>
      <c r="AC174" s="3">
        <v>124.5</v>
      </c>
      <c r="AD174" s="3">
        <v>133.5</v>
      </c>
    </row>
    <row r="175" spans="1:30" ht="15" customHeight="1" x14ac:dyDescent="0.2">
      <c r="A175" s="3" t="s">
        <v>89</v>
      </c>
      <c r="B175" s="3">
        <v>2017</v>
      </c>
      <c r="C175" s="3" t="s">
        <v>104</v>
      </c>
      <c r="D175" s="3">
        <v>135.30000000000001</v>
      </c>
      <c r="E175" s="3">
        <v>142.19999999999999</v>
      </c>
      <c r="F175" s="3">
        <v>131.19999999999999</v>
      </c>
      <c r="G175" s="3">
        <v>140.6</v>
      </c>
      <c r="H175" s="3">
        <v>119</v>
      </c>
      <c r="I175" s="3">
        <v>141.5</v>
      </c>
      <c r="J175" s="3">
        <v>162.6</v>
      </c>
      <c r="K175" s="3">
        <v>132.30000000000001</v>
      </c>
      <c r="L175" s="3">
        <v>121.8</v>
      </c>
      <c r="M175" s="3">
        <v>136.30000000000001</v>
      </c>
      <c r="N175" s="3">
        <v>128.69999999999999</v>
      </c>
      <c r="O175" s="3">
        <v>148.1</v>
      </c>
      <c r="P175" s="3">
        <v>140.1</v>
      </c>
      <c r="Q175" s="3">
        <v>151.6</v>
      </c>
      <c r="R175" s="3">
        <v>142</v>
      </c>
      <c r="S175" s="3">
        <v>134.1</v>
      </c>
      <c r="T175" s="3">
        <v>140.80000000000001</v>
      </c>
      <c r="U175" s="3" t="s">
        <v>155</v>
      </c>
      <c r="V175" s="3">
        <v>132.19999999999999</v>
      </c>
      <c r="W175" s="3">
        <v>133.6</v>
      </c>
      <c r="X175" s="3">
        <v>131.30000000000001</v>
      </c>
      <c r="Y175" s="3">
        <v>117.8</v>
      </c>
      <c r="Z175" s="3">
        <v>128.4</v>
      </c>
      <c r="AA175" s="3">
        <v>137.9</v>
      </c>
      <c r="AB175" s="3">
        <v>126.2</v>
      </c>
      <c r="AC175" s="3">
        <v>127.7</v>
      </c>
      <c r="AD175" s="3">
        <v>136.1</v>
      </c>
    </row>
    <row r="176" spans="1:30" ht="15" customHeight="1" x14ac:dyDescent="0.2">
      <c r="A176" s="3" t="s">
        <v>84</v>
      </c>
      <c r="B176" s="3">
        <v>2017</v>
      </c>
      <c r="C176" s="3" t="s">
        <v>107</v>
      </c>
      <c r="D176" s="3">
        <v>136.30000000000001</v>
      </c>
      <c r="E176" s="3">
        <v>142.5</v>
      </c>
      <c r="F176" s="3">
        <v>140.5</v>
      </c>
      <c r="G176" s="3">
        <v>141.5</v>
      </c>
      <c r="H176" s="3">
        <v>121.6</v>
      </c>
      <c r="I176" s="3">
        <v>147.30000000000001</v>
      </c>
      <c r="J176" s="3">
        <v>168</v>
      </c>
      <c r="K176" s="3">
        <v>135.80000000000001</v>
      </c>
      <c r="L176" s="3">
        <v>122.5</v>
      </c>
      <c r="M176" s="3">
        <v>136</v>
      </c>
      <c r="N176" s="3">
        <v>131.9</v>
      </c>
      <c r="O176" s="3">
        <v>151.4</v>
      </c>
      <c r="P176" s="3">
        <v>142.4</v>
      </c>
      <c r="Q176" s="3">
        <v>152.1</v>
      </c>
      <c r="R176" s="3">
        <v>148.19999999999999</v>
      </c>
      <c r="S176" s="3">
        <v>141.5</v>
      </c>
      <c r="T176" s="3">
        <v>147.30000000000001</v>
      </c>
      <c r="V176" s="3">
        <v>141.1</v>
      </c>
      <c r="W176" s="3">
        <v>139.4</v>
      </c>
      <c r="X176" s="3">
        <v>135.80000000000001</v>
      </c>
      <c r="Y176" s="3">
        <v>121.6</v>
      </c>
      <c r="Z176" s="3">
        <v>133.69999999999999</v>
      </c>
      <c r="AA176" s="3">
        <v>141.5</v>
      </c>
      <c r="AB176" s="3">
        <v>128.1</v>
      </c>
      <c r="AC176" s="3">
        <v>131.69999999999999</v>
      </c>
      <c r="AD176" s="3">
        <v>140</v>
      </c>
    </row>
    <row r="177" spans="1:30" ht="15" customHeight="1" x14ac:dyDescent="0.2">
      <c r="A177" s="3" t="s">
        <v>87</v>
      </c>
      <c r="B177" s="3">
        <v>2017</v>
      </c>
      <c r="C177" s="3" t="s">
        <v>107</v>
      </c>
      <c r="D177" s="3">
        <v>134.30000000000001</v>
      </c>
      <c r="E177" s="3">
        <v>142.1</v>
      </c>
      <c r="F177" s="3">
        <v>146.69999999999999</v>
      </c>
      <c r="G177" s="3">
        <v>139.5</v>
      </c>
      <c r="H177" s="3">
        <v>115.2</v>
      </c>
      <c r="I177" s="3">
        <v>136.4</v>
      </c>
      <c r="J177" s="3">
        <v>185.2</v>
      </c>
      <c r="K177" s="3">
        <v>122.2</v>
      </c>
      <c r="L177" s="3">
        <v>123.9</v>
      </c>
      <c r="M177" s="3">
        <v>138.30000000000001</v>
      </c>
      <c r="N177" s="3">
        <v>125.4</v>
      </c>
      <c r="O177" s="3">
        <v>146</v>
      </c>
      <c r="P177" s="3">
        <v>141.5</v>
      </c>
      <c r="Q177" s="3">
        <v>156.19999999999999</v>
      </c>
      <c r="R177" s="3">
        <v>135</v>
      </c>
      <c r="S177" s="3">
        <v>125.4</v>
      </c>
      <c r="T177" s="3">
        <v>133.5</v>
      </c>
      <c r="U177" s="3" t="s">
        <v>156</v>
      </c>
      <c r="V177" s="3">
        <v>125.7</v>
      </c>
      <c r="W177" s="3">
        <v>128.80000000000001</v>
      </c>
      <c r="X177" s="3">
        <v>127.4</v>
      </c>
      <c r="Y177" s="3">
        <v>115.3</v>
      </c>
      <c r="Z177" s="3">
        <v>125.1</v>
      </c>
      <c r="AA177" s="3">
        <v>136.6</v>
      </c>
      <c r="AB177" s="3">
        <v>124.9</v>
      </c>
      <c r="AC177" s="3">
        <v>124.9</v>
      </c>
      <c r="AD177" s="3">
        <v>134.80000000000001</v>
      </c>
    </row>
    <row r="178" spans="1:30" ht="15" customHeight="1" x14ac:dyDescent="0.2">
      <c r="A178" s="3" t="s">
        <v>89</v>
      </c>
      <c r="B178" s="3">
        <v>2017</v>
      </c>
      <c r="C178" s="3" t="s">
        <v>107</v>
      </c>
      <c r="D178" s="3">
        <v>135.69999999999999</v>
      </c>
      <c r="E178" s="3">
        <v>142.4</v>
      </c>
      <c r="F178" s="3">
        <v>142.9</v>
      </c>
      <c r="G178" s="3">
        <v>140.80000000000001</v>
      </c>
      <c r="H178" s="3">
        <v>119.2</v>
      </c>
      <c r="I178" s="3">
        <v>142.19999999999999</v>
      </c>
      <c r="J178" s="3">
        <v>173.8</v>
      </c>
      <c r="K178" s="3">
        <v>131.19999999999999</v>
      </c>
      <c r="L178" s="3">
        <v>123</v>
      </c>
      <c r="M178" s="3">
        <v>136.80000000000001</v>
      </c>
      <c r="N178" s="3">
        <v>129.19999999999999</v>
      </c>
      <c r="O178" s="3">
        <v>148.9</v>
      </c>
      <c r="P178" s="3">
        <v>142.1</v>
      </c>
      <c r="Q178" s="3">
        <v>153.19999999999999</v>
      </c>
      <c r="R178" s="3">
        <v>143</v>
      </c>
      <c r="S178" s="3">
        <v>134.80000000000001</v>
      </c>
      <c r="T178" s="3">
        <v>141.80000000000001</v>
      </c>
      <c r="U178" s="3" t="s">
        <v>156</v>
      </c>
      <c r="V178" s="3">
        <v>135.30000000000001</v>
      </c>
      <c r="W178" s="3">
        <v>134.4</v>
      </c>
      <c r="X178" s="3">
        <v>132.6</v>
      </c>
      <c r="Y178" s="3">
        <v>118.3</v>
      </c>
      <c r="Z178" s="3">
        <v>128.9</v>
      </c>
      <c r="AA178" s="3">
        <v>138.6</v>
      </c>
      <c r="AB178" s="3">
        <v>126.8</v>
      </c>
      <c r="AC178" s="3">
        <v>128.4</v>
      </c>
      <c r="AD178" s="3">
        <v>137.6</v>
      </c>
    </row>
    <row r="179" spans="1:30" ht="15" customHeight="1" x14ac:dyDescent="0.2">
      <c r="A179" s="3" t="s">
        <v>84</v>
      </c>
      <c r="B179" s="3">
        <v>2017</v>
      </c>
      <c r="C179" s="3" t="s">
        <v>109</v>
      </c>
      <c r="D179" s="3">
        <v>136.4</v>
      </c>
      <c r="E179" s="3">
        <v>143.69999999999999</v>
      </c>
      <c r="F179" s="3">
        <v>144.80000000000001</v>
      </c>
      <c r="G179" s="3">
        <v>141.9</v>
      </c>
      <c r="H179" s="3">
        <v>123.1</v>
      </c>
      <c r="I179" s="3">
        <v>147.19999999999999</v>
      </c>
      <c r="J179" s="3">
        <v>161</v>
      </c>
      <c r="K179" s="3">
        <v>133.80000000000001</v>
      </c>
      <c r="L179" s="3">
        <v>121.9</v>
      </c>
      <c r="M179" s="3">
        <v>135.80000000000001</v>
      </c>
      <c r="N179" s="3">
        <v>131.1</v>
      </c>
      <c r="O179" s="3">
        <v>151.4</v>
      </c>
      <c r="P179" s="3">
        <v>141.5</v>
      </c>
      <c r="Q179" s="3">
        <v>153.19999999999999</v>
      </c>
      <c r="R179" s="3">
        <v>148</v>
      </c>
      <c r="S179" s="3">
        <v>141.9</v>
      </c>
      <c r="T179" s="3">
        <v>147.19999999999999</v>
      </c>
      <c r="V179" s="3">
        <v>142.6</v>
      </c>
      <c r="W179" s="3">
        <v>139.5</v>
      </c>
      <c r="X179" s="3">
        <v>136.1</v>
      </c>
      <c r="Y179" s="3">
        <v>122</v>
      </c>
      <c r="Z179" s="3">
        <v>133.4</v>
      </c>
      <c r="AA179" s="3">
        <v>141.1</v>
      </c>
      <c r="AB179" s="3">
        <v>127.8</v>
      </c>
      <c r="AC179" s="3">
        <v>131.9</v>
      </c>
      <c r="AD179" s="3">
        <v>139.80000000000001</v>
      </c>
    </row>
    <row r="180" spans="1:30" ht="15" customHeight="1" x14ac:dyDescent="0.2">
      <c r="A180" s="3" t="s">
        <v>87</v>
      </c>
      <c r="B180" s="3">
        <v>2017</v>
      </c>
      <c r="C180" s="3" t="s">
        <v>109</v>
      </c>
      <c r="D180" s="3">
        <v>134.4</v>
      </c>
      <c r="E180" s="3">
        <v>142.6</v>
      </c>
      <c r="F180" s="3">
        <v>145.9</v>
      </c>
      <c r="G180" s="3">
        <v>139.5</v>
      </c>
      <c r="H180" s="3">
        <v>115.9</v>
      </c>
      <c r="I180" s="3">
        <v>135</v>
      </c>
      <c r="J180" s="3">
        <v>163.19999999999999</v>
      </c>
      <c r="K180" s="3">
        <v>119.8</v>
      </c>
      <c r="L180" s="3">
        <v>120.7</v>
      </c>
      <c r="M180" s="3">
        <v>139.69999999999999</v>
      </c>
      <c r="N180" s="3">
        <v>125.7</v>
      </c>
      <c r="O180" s="3">
        <v>146.30000000000001</v>
      </c>
      <c r="P180" s="3">
        <v>138.80000000000001</v>
      </c>
      <c r="Q180" s="3">
        <v>157</v>
      </c>
      <c r="R180" s="3">
        <v>135.6</v>
      </c>
      <c r="S180" s="3">
        <v>125.6</v>
      </c>
      <c r="T180" s="3">
        <v>134</v>
      </c>
      <c r="U180" s="3" t="s">
        <v>157</v>
      </c>
      <c r="V180" s="3">
        <v>126.8</v>
      </c>
      <c r="W180" s="3">
        <v>129.30000000000001</v>
      </c>
      <c r="X180" s="3">
        <v>128.19999999999999</v>
      </c>
      <c r="Y180" s="3">
        <v>115.3</v>
      </c>
      <c r="Z180" s="3">
        <v>125.6</v>
      </c>
      <c r="AA180" s="3">
        <v>136.69999999999999</v>
      </c>
      <c r="AB180" s="3">
        <v>124.6</v>
      </c>
      <c r="AC180" s="3">
        <v>125.1</v>
      </c>
      <c r="AD180" s="3">
        <v>134.1</v>
      </c>
    </row>
    <row r="181" spans="1:30" ht="15" customHeight="1" x14ac:dyDescent="0.2">
      <c r="A181" s="3" t="s">
        <v>89</v>
      </c>
      <c r="B181" s="3">
        <v>2017</v>
      </c>
      <c r="C181" s="3" t="s">
        <v>109</v>
      </c>
      <c r="D181" s="3">
        <v>135.80000000000001</v>
      </c>
      <c r="E181" s="3">
        <v>143.30000000000001</v>
      </c>
      <c r="F181" s="3">
        <v>145.19999999999999</v>
      </c>
      <c r="G181" s="3">
        <v>141</v>
      </c>
      <c r="H181" s="3">
        <v>120.5</v>
      </c>
      <c r="I181" s="3">
        <v>141.5</v>
      </c>
      <c r="J181" s="3">
        <v>161.69999999999999</v>
      </c>
      <c r="K181" s="3">
        <v>129.1</v>
      </c>
      <c r="L181" s="3">
        <v>121.5</v>
      </c>
      <c r="M181" s="3">
        <v>137.1</v>
      </c>
      <c r="N181" s="3">
        <v>128.80000000000001</v>
      </c>
      <c r="O181" s="3">
        <v>149</v>
      </c>
      <c r="P181" s="3">
        <v>140.5</v>
      </c>
      <c r="Q181" s="3">
        <v>154.19999999999999</v>
      </c>
      <c r="R181" s="3">
        <v>143.1</v>
      </c>
      <c r="S181" s="3">
        <v>135.1</v>
      </c>
      <c r="T181" s="3">
        <v>142</v>
      </c>
      <c r="U181" s="3" t="s">
        <v>157</v>
      </c>
      <c r="V181" s="3">
        <v>136.6</v>
      </c>
      <c r="W181" s="3">
        <v>134.69999999999999</v>
      </c>
      <c r="X181" s="3">
        <v>133.1</v>
      </c>
      <c r="Y181" s="3">
        <v>118.5</v>
      </c>
      <c r="Z181" s="3">
        <v>129</v>
      </c>
      <c r="AA181" s="3">
        <v>138.5</v>
      </c>
      <c r="AB181" s="3">
        <v>126.5</v>
      </c>
      <c r="AC181" s="3">
        <v>128.6</v>
      </c>
      <c r="AD181" s="3">
        <v>137.19999999999999</v>
      </c>
    </row>
    <row r="182" spans="1:30" ht="15" customHeight="1" x14ac:dyDescent="0.2">
      <c r="A182" s="3" t="s">
        <v>84</v>
      </c>
      <c r="B182" s="3">
        <v>2018</v>
      </c>
      <c r="C182" s="3" t="s">
        <v>85</v>
      </c>
      <c r="D182" s="3">
        <v>136.6</v>
      </c>
      <c r="E182" s="3">
        <v>144.4</v>
      </c>
      <c r="F182" s="3">
        <v>143.80000000000001</v>
      </c>
      <c r="G182" s="3">
        <v>142</v>
      </c>
      <c r="H182" s="3">
        <v>123.2</v>
      </c>
      <c r="I182" s="3">
        <v>147.9</v>
      </c>
      <c r="J182" s="3">
        <v>152.1</v>
      </c>
      <c r="K182" s="3">
        <v>131.80000000000001</v>
      </c>
      <c r="L182" s="3">
        <v>119.5</v>
      </c>
      <c r="M182" s="3">
        <v>136</v>
      </c>
      <c r="N182" s="3">
        <v>131.19999999999999</v>
      </c>
      <c r="O182" s="3">
        <v>151.80000000000001</v>
      </c>
      <c r="P182" s="3">
        <v>140.4</v>
      </c>
      <c r="Q182" s="3">
        <v>153.6</v>
      </c>
      <c r="R182" s="3">
        <v>148.30000000000001</v>
      </c>
      <c r="S182" s="3">
        <v>142.30000000000001</v>
      </c>
      <c r="T182" s="3">
        <v>147.5</v>
      </c>
      <c r="V182" s="3">
        <v>142.30000000000001</v>
      </c>
      <c r="W182" s="3">
        <v>139.80000000000001</v>
      </c>
      <c r="X182" s="3">
        <v>136</v>
      </c>
      <c r="Y182" s="3">
        <v>122.7</v>
      </c>
      <c r="Z182" s="3">
        <v>134.30000000000001</v>
      </c>
      <c r="AA182" s="3">
        <v>141.6</v>
      </c>
      <c r="AB182" s="3">
        <v>128.6</v>
      </c>
      <c r="AC182" s="3">
        <v>132.30000000000001</v>
      </c>
      <c r="AD182" s="3">
        <v>139.30000000000001</v>
      </c>
    </row>
    <row r="183" spans="1:30" ht="15" customHeight="1" x14ac:dyDescent="0.2">
      <c r="A183" s="3" t="s">
        <v>87</v>
      </c>
      <c r="B183" s="3">
        <v>2018</v>
      </c>
      <c r="C183" s="3" t="s">
        <v>85</v>
      </c>
      <c r="D183" s="3">
        <v>134.6</v>
      </c>
      <c r="E183" s="3">
        <v>143.69999999999999</v>
      </c>
      <c r="F183" s="3">
        <v>143.6</v>
      </c>
      <c r="G183" s="3">
        <v>139.6</v>
      </c>
      <c r="H183" s="3">
        <v>116.4</v>
      </c>
      <c r="I183" s="3">
        <v>133.80000000000001</v>
      </c>
      <c r="J183" s="3">
        <v>150.5</v>
      </c>
      <c r="K183" s="3">
        <v>118.4</v>
      </c>
      <c r="L183" s="3">
        <v>117.3</v>
      </c>
      <c r="M183" s="3">
        <v>140.5</v>
      </c>
      <c r="N183" s="3">
        <v>125.9</v>
      </c>
      <c r="O183" s="3">
        <v>146.80000000000001</v>
      </c>
      <c r="P183" s="3">
        <v>137.19999999999999</v>
      </c>
      <c r="Q183" s="3">
        <v>157.69999999999999</v>
      </c>
      <c r="R183" s="3">
        <v>136</v>
      </c>
      <c r="S183" s="3">
        <v>125.9</v>
      </c>
      <c r="T183" s="3">
        <v>134.4</v>
      </c>
      <c r="U183" s="3" t="s">
        <v>158</v>
      </c>
      <c r="V183" s="3">
        <v>127.3</v>
      </c>
      <c r="W183" s="3">
        <v>129.5</v>
      </c>
      <c r="X183" s="3">
        <v>129</v>
      </c>
      <c r="Y183" s="3">
        <v>116.3</v>
      </c>
      <c r="Z183" s="3">
        <v>126.2</v>
      </c>
      <c r="AA183" s="3">
        <v>137.1</v>
      </c>
      <c r="AB183" s="3">
        <v>125.5</v>
      </c>
      <c r="AC183" s="3">
        <v>125.8</v>
      </c>
      <c r="AD183" s="3">
        <v>134.1</v>
      </c>
    </row>
    <row r="184" spans="1:30" ht="15" customHeight="1" x14ac:dyDescent="0.2">
      <c r="A184" s="3" t="s">
        <v>89</v>
      </c>
      <c r="B184" s="3">
        <v>2018</v>
      </c>
      <c r="C184" s="3" t="s">
        <v>85</v>
      </c>
      <c r="D184" s="3">
        <v>136</v>
      </c>
      <c r="E184" s="3">
        <v>144.19999999999999</v>
      </c>
      <c r="F184" s="3">
        <v>143.69999999999999</v>
      </c>
      <c r="G184" s="3">
        <v>141.1</v>
      </c>
      <c r="H184" s="3">
        <v>120.7</v>
      </c>
      <c r="I184" s="3">
        <v>141.30000000000001</v>
      </c>
      <c r="J184" s="3">
        <v>151.6</v>
      </c>
      <c r="K184" s="3">
        <v>127.3</v>
      </c>
      <c r="L184" s="3">
        <v>118.8</v>
      </c>
      <c r="M184" s="3">
        <v>137.5</v>
      </c>
      <c r="N184" s="3">
        <v>129</v>
      </c>
      <c r="O184" s="3">
        <v>149.5</v>
      </c>
      <c r="P184" s="3">
        <v>139.19999999999999</v>
      </c>
      <c r="Q184" s="3">
        <v>154.69999999999999</v>
      </c>
      <c r="R184" s="3">
        <v>143.5</v>
      </c>
      <c r="S184" s="3">
        <v>135.5</v>
      </c>
      <c r="T184" s="3">
        <v>142.30000000000001</v>
      </c>
      <c r="U184" s="3" t="s">
        <v>158</v>
      </c>
      <c r="V184" s="3">
        <v>136.6</v>
      </c>
      <c r="W184" s="3">
        <v>134.9</v>
      </c>
      <c r="X184" s="3">
        <v>133.30000000000001</v>
      </c>
      <c r="Y184" s="3">
        <v>119.3</v>
      </c>
      <c r="Z184" s="3">
        <v>129.69999999999999</v>
      </c>
      <c r="AA184" s="3">
        <v>139</v>
      </c>
      <c r="AB184" s="3">
        <v>127.3</v>
      </c>
      <c r="AC184" s="3">
        <v>129.1</v>
      </c>
      <c r="AD184" s="3">
        <v>136.9</v>
      </c>
    </row>
    <row r="185" spans="1:30" ht="15" customHeight="1" x14ac:dyDescent="0.2">
      <c r="A185" s="3" t="s">
        <v>84</v>
      </c>
      <c r="B185" s="3">
        <v>2018</v>
      </c>
      <c r="C185" s="3" t="s">
        <v>90</v>
      </c>
      <c r="D185" s="3">
        <v>136.4</v>
      </c>
      <c r="E185" s="3">
        <v>143.69999999999999</v>
      </c>
      <c r="F185" s="3">
        <v>140.6</v>
      </c>
      <c r="G185" s="3">
        <v>141.5</v>
      </c>
      <c r="H185" s="3">
        <v>122.9</v>
      </c>
      <c r="I185" s="3">
        <v>149.4</v>
      </c>
      <c r="J185" s="3">
        <v>142.4</v>
      </c>
      <c r="K185" s="3">
        <v>130.19999999999999</v>
      </c>
      <c r="L185" s="3">
        <v>117.9</v>
      </c>
      <c r="M185" s="3">
        <v>135.6</v>
      </c>
      <c r="N185" s="3">
        <v>130.5</v>
      </c>
      <c r="O185" s="3">
        <v>151.69999999999999</v>
      </c>
      <c r="P185" s="3">
        <v>138.69999999999999</v>
      </c>
      <c r="Q185" s="3">
        <v>153.30000000000001</v>
      </c>
      <c r="R185" s="3">
        <v>148.69999999999999</v>
      </c>
      <c r="S185" s="3">
        <v>142.4</v>
      </c>
      <c r="T185" s="3">
        <v>147.80000000000001</v>
      </c>
      <c r="V185" s="3">
        <v>142.4</v>
      </c>
      <c r="W185" s="3">
        <v>139.9</v>
      </c>
      <c r="X185" s="3">
        <v>136.19999999999999</v>
      </c>
      <c r="Y185" s="3">
        <v>123.3</v>
      </c>
      <c r="Z185" s="3">
        <v>134.30000000000001</v>
      </c>
      <c r="AA185" s="3">
        <v>141.5</v>
      </c>
      <c r="AB185" s="3">
        <v>128.80000000000001</v>
      </c>
      <c r="AC185" s="3">
        <v>132.5</v>
      </c>
      <c r="AD185" s="3">
        <v>138.5</v>
      </c>
    </row>
    <row r="186" spans="1:30" ht="15" customHeight="1" x14ac:dyDescent="0.2">
      <c r="A186" s="3" t="s">
        <v>87</v>
      </c>
      <c r="B186" s="3">
        <v>2018</v>
      </c>
      <c r="C186" s="3" t="s">
        <v>90</v>
      </c>
      <c r="D186" s="3">
        <v>134.80000000000001</v>
      </c>
      <c r="E186" s="3">
        <v>143</v>
      </c>
      <c r="F186" s="3">
        <v>139.9</v>
      </c>
      <c r="G186" s="3">
        <v>139.9</v>
      </c>
      <c r="H186" s="3">
        <v>116.2</v>
      </c>
      <c r="I186" s="3">
        <v>135.5</v>
      </c>
      <c r="J186" s="3">
        <v>136.9</v>
      </c>
      <c r="K186" s="3">
        <v>117</v>
      </c>
      <c r="L186" s="3">
        <v>115.4</v>
      </c>
      <c r="M186" s="3">
        <v>140.69999999999999</v>
      </c>
      <c r="N186" s="3">
        <v>125.9</v>
      </c>
      <c r="O186" s="3">
        <v>147.1</v>
      </c>
      <c r="P186" s="3">
        <v>135.6</v>
      </c>
      <c r="Q186" s="3">
        <v>159.30000000000001</v>
      </c>
      <c r="R186" s="3">
        <v>136.30000000000001</v>
      </c>
      <c r="S186" s="3">
        <v>126.1</v>
      </c>
      <c r="T186" s="3">
        <v>134.69999999999999</v>
      </c>
      <c r="U186" s="3" t="s">
        <v>159</v>
      </c>
      <c r="V186" s="3">
        <v>127.3</v>
      </c>
      <c r="W186" s="3">
        <v>129.9</v>
      </c>
      <c r="X186" s="3">
        <v>129.80000000000001</v>
      </c>
      <c r="Y186" s="3">
        <v>117.4</v>
      </c>
      <c r="Z186" s="3">
        <v>126.5</v>
      </c>
      <c r="AA186" s="3">
        <v>137.19999999999999</v>
      </c>
      <c r="AB186" s="3">
        <v>126.2</v>
      </c>
      <c r="AC186" s="3">
        <v>126.5</v>
      </c>
      <c r="AD186" s="3">
        <v>134</v>
      </c>
    </row>
    <row r="187" spans="1:30" ht="15" customHeight="1" x14ac:dyDescent="0.2">
      <c r="A187" s="3" t="s">
        <v>89</v>
      </c>
      <c r="B187" s="3">
        <v>2018</v>
      </c>
      <c r="C187" s="3" t="s">
        <v>90</v>
      </c>
      <c r="D187" s="3">
        <v>135.9</v>
      </c>
      <c r="E187" s="3">
        <v>143.5</v>
      </c>
      <c r="F187" s="3">
        <v>140.30000000000001</v>
      </c>
      <c r="G187" s="3">
        <v>140.9</v>
      </c>
      <c r="H187" s="3">
        <v>120.4</v>
      </c>
      <c r="I187" s="3">
        <v>142.9</v>
      </c>
      <c r="J187" s="3">
        <v>140.5</v>
      </c>
      <c r="K187" s="3">
        <v>125.8</v>
      </c>
      <c r="L187" s="3">
        <v>117.1</v>
      </c>
      <c r="M187" s="3">
        <v>137.30000000000001</v>
      </c>
      <c r="N187" s="3">
        <v>128.6</v>
      </c>
      <c r="O187" s="3">
        <v>149.6</v>
      </c>
      <c r="P187" s="3">
        <v>137.6</v>
      </c>
      <c r="Q187" s="3">
        <v>154.9</v>
      </c>
      <c r="R187" s="3">
        <v>143.80000000000001</v>
      </c>
      <c r="S187" s="3">
        <v>135.6</v>
      </c>
      <c r="T187" s="3">
        <v>142.6</v>
      </c>
      <c r="U187" s="3" t="s">
        <v>159</v>
      </c>
      <c r="V187" s="3">
        <v>136.69999999999999</v>
      </c>
      <c r="W187" s="3">
        <v>135.19999999999999</v>
      </c>
      <c r="X187" s="3">
        <v>133.80000000000001</v>
      </c>
      <c r="Y187" s="3">
        <v>120.2</v>
      </c>
      <c r="Z187" s="3">
        <v>129.9</v>
      </c>
      <c r="AA187" s="3">
        <v>139</v>
      </c>
      <c r="AB187" s="3">
        <v>127.7</v>
      </c>
      <c r="AC187" s="3">
        <v>129.6</v>
      </c>
      <c r="AD187" s="3">
        <v>136.4</v>
      </c>
    </row>
    <row r="188" spans="1:30" ht="15" customHeight="1" x14ac:dyDescent="0.2">
      <c r="A188" s="3" t="s">
        <v>84</v>
      </c>
      <c r="B188" s="3">
        <v>2018</v>
      </c>
      <c r="C188" s="3" t="s">
        <v>92</v>
      </c>
      <c r="D188" s="3">
        <v>136.80000000000001</v>
      </c>
      <c r="E188" s="3">
        <v>143.80000000000001</v>
      </c>
      <c r="F188" s="3">
        <v>140</v>
      </c>
      <c r="G188" s="3">
        <v>142</v>
      </c>
      <c r="H188" s="3">
        <v>123.2</v>
      </c>
      <c r="I188" s="3">
        <v>152.9</v>
      </c>
      <c r="J188" s="3">
        <v>138</v>
      </c>
      <c r="K188" s="3">
        <v>129.30000000000001</v>
      </c>
      <c r="L188" s="3">
        <v>117.1</v>
      </c>
      <c r="M188" s="3">
        <v>136.30000000000001</v>
      </c>
      <c r="N188" s="3">
        <v>131.19999999999999</v>
      </c>
      <c r="O188" s="3">
        <v>152.80000000000001</v>
      </c>
      <c r="P188" s="3">
        <v>138.6</v>
      </c>
      <c r="Q188" s="3">
        <v>155.1</v>
      </c>
      <c r="R188" s="3">
        <v>149.19999999999999</v>
      </c>
      <c r="S188" s="3">
        <v>143</v>
      </c>
      <c r="T188" s="3">
        <v>148.30000000000001</v>
      </c>
      <c r="V188" s="3">
        <v>142.6</v>
      </c>
      <c r="W188" s="3">
        <v>139.9</v>
      </c>
      <c r="X188" s="3">
        <v>136.69999999999999</v>
      </c>
      <c r="Y188" s="3">
        <v>124.6</v>
      </c>
      <c r="Z188" s="3">
        <v>135.1</v>
      </c>
      <c r="AA188" s="3">
        <v>142.69999999999999</v>
      </c>
      <c r="AB188" s="3">
        <v>129.30000000000001</v>
      </c>
      <c r="AC188" s="3">
        <v>133.30000000000001</v>
      </c>
      <c r="AD188" s="3">
        <v>138.69999999999999</v>
      </c>
    </row>
    <row r="189" spans="1:30" ht="15" customHeight="1" x14ac:dyDescent="0.2">
      <c r="A189" s="3" t="s">
        <v>87</v>
      </c>
      <c r="B189" s="3">
        <v>2018</v>
      </c>
      <c r="C189" s="3" t="s">
        <v>92</v>
      </c>
      <c r="D189" s="3">
        <v>135</v>
      </c>
      <c r="E189" s="3">
        <v>143.1</v>
      </c>
      <c r="F189" s="3">
        <v>135.5</v>
      </c>
      <c r="G189" s="3">
        <v>139.9</v>
      </c>
      <c r="H189" s="3">
        <v>116.5</v>
      </c>
      <c r="I189" s="3">
        <v>138.5</v>
      </c>
      <c r="J189" s="3">
        <v>128</v>
      </c>
      <c r="K189" s="3">
        <v>115.5</v>
      </c>
      <c r="L189" s="3">
        <v>114.2</v>
      </c>
      <c r="M189" s="3">
        <v>140.69999999999999</v>
      </c>
      <c r="N189" s="3">
        <v>126.2</v>
      </c>
      <c r="O189" s="3">
        <v>147.6</v>
      </c>
      <c r="P189" s="3">
        <v>134.80000000000001</v>
      </c>
      <c r="Q189" s="3">
        <v>159.69999999999999</v>
      </c>
      <c r="R189" s="3">
        <v>136.69999999999999</v>
      </c>
      <c r="S189" s="3">
        <v>126.7</v>
      </c>
      <c r="T189" s="3">
        <v>135.19999999999999</v>
      </c>
      <c r="U189" s="3" t="s">
        <v>160</v>
      </c>
      <c r="V189" s="3">
        <v>126.4</v>
      </c>
      <c r="W189" s="3">
        <v>130.80000000000001</v>
      </c>
      <c r="X189" s="3">
        <v>130.5</v>
      </c>
      <c r="Y189" s="3">
        <v>117.8</v>
      </c>
      <c r="Z189" s="3">
        <v>126.8</v>
      </c>
      <c r="AA189" s="3">
        <v>137.80000000000001</v>
      </c>
      <c r="AB189" s="3">
        <v>126.7</v>
      </c>
      <c r="AC189" s="3">
        <v>127.1</v>
      </c>
      <c r="AD189" s="3">
        <v>134</v>
      </c>
    </row>
    <row r="190" spans="1:30" ht="15" customHeight="1" x14ac:dyDescent="0.2">
      <c r="A190" s="3" t="s">
        <v>89</v>
      </c>
      <c r="B190" s="3">
        <v>2018</v>
      </c>
      <c r="C190" s="3" t="s">
        <v>92</v>
      </c>
      <c r="D190" s="3">
        <v>136.19999999999999</v>
      </c>
      <c r="E190" s="3">
        <v>143.6</v>
      </c>
      <c r="F190" s="3">
        <v>138.30000000000001</v>
      </c>
      <c r="G190" s="3">
        <v>141.19999999999999</v>
      </c>
      <c r="H190" s="3">
        <v>120.7</v>
      </c>
      <c r="I190" s="3">
        <v>146.19999999999999</v>
      </c>
      <c r="J190" s="3">
        <v>134.6</v>
      </c>
      <c r="K190" s="3">
        <v>124.6</v>
      </c>
      <c r="L190" s="3">
        <v>116.1</v>
      </c>
      <c r="M190" s="3">
        <v>137.80000000000001</v>
      </c>
      <c r="N190" s="3">
        <v>129.1</v>
      </c>
      <c r="O190" s="3">
        <v>150.4</v>
      </c>
      <c r="P190" s="3">
        <v>137.19999999999999</v>
      </c>
      <c r="Q190" s="3">
        <v>156.30000000000001</v>
      </c>
      <c r="R190" s="3">
        <v>144.30000000000001</v>
      </c>
      <c r="S190" s="3">
        <v>136.19999999999999</v>
      </c>
      <c r="T190" s="3">
        <v>143.1</v>
      </c>
      <c r="U190" s="3" t="s">
        <v>160</v>
      </c>
      <c r="V190" s="3">
        <v>136.5</v>
      </c>
      <c r="W190" s="3">
        <v>135.6</v>
      </c>
      <c r="X190" s="3">
        <v>134.30000000000001</v>
      </c>
      <c r="Y190" s="3">
        <v>121</v>
      </c>
      <c r="Z190" s="3">
        <v>130.4</v>
      </c>
      <c r="AA190" s="3">
        <v>139.80000000000001</v>
      </c>
      <c r="AB190" s="3">
        <v>128.19999999999999</v>
      </c>
      <c r="AC190" s="3">
        <v>130.30000000000001</v>
      </c>
      <c r="AD190" s="3">
        <v>136.5</v>
      </c>
    </row>
    <row r="191" spans="1:30" ht="15" customHeight="1" x14ac:dyDescent="0.2">
      <c r="A191" s="3" t="s">
        <v>84</v>
      </c>
      <c r="B191" s="3">
        <v>2018</v>
      </c>
      <c r="C191" s="3" t="s">
        <v>93</v>
      </c>
      <c r="D191" s="3">
        <v>137.1</v>
      </c>
      <c r="E191" s="3">
        <v>144.5</v>
      </c>
      <c r="F191" s="3">
        <v>135.9</v>
      </c>
      <c r="G191" s="3">
        <v>142.4</v>
      </c>
      <c r="H191" s="3">
        <v>123.5</v>
      </c>
      <c r="I191" s="3">
        <v>156.4</v>
      </c>
      <c r="J191" s="3">
        <v>135.1</v>
      </c>
      <c r="K191" s="3">
        <v>128.4</v>
      </c>
      <c r="L191" s="3">
        <v>115.2</v>
      </c>
      <c r="M191" s="3">
        <v>137.19999999999999</v>
      </c>
      <c r="N191" s="3">
        <v>131.9</v>
      </c>
      <c r="O191" s="3">
        <v>153.80000000000001</v>
      </c>
      <c r="P191" s="3">
        <v>138.6</v>
      </c>
      <c r="Q191" s="3">
        <v>156.1</v>
      </c>
      <c r="R191" s="3">
        <v>150.1</v>
      </c>
      <c r="S191" s="3">
        <v>143.30000000000001</v>
      </c>
      <c r="T191" s="3">
        <v>149.1</v>
      </c>
      <c r="V191" s="3">
        <v>143.80000000000001</v>
      </c>
      <c r="W191" s="3">
        <v>140.9</v>
      </c>
      <c r="X191" s="3">
        <v>137.6</v>
      </c>
      <c r="Y191" s="3">
        <v>125.3</v>
      </c>
      <c r="Z191" s="3">
        <v>136</v>
      </c>
      <c r="AA191" s="3">
        <v>143.69999999999999</v>
      </c>
      <c r="AB191" s="3">
        <v>130.4</v>
      </c>
      <c r="AC191" s="3">
        <v>134.19999999999999</v>
      </c>
      <c r="AD191" s="3">
        <v>139.1</v>
      </c>
    </row>
    <row r="192" spans="1:30" ht="15" customHeight="1" x14ac:dyDescent="0.2">
      <c r="A192" s="3" t="s">
        <v>87</v>
      </c>
      <c r="B192" s="3">
        <v>2018</v>
      </c>
      <c r="C192" s="3" t="s">
        <v>93</v>
      </c>
      <c r="D192" s="3">
        <v>135</v>
      </c>
      <c r="E192" s="3">
        <v>144.30000000000001</v>
      </c>
      <c r="F192" s="3">
        <v>130.80000000000001</v>
      </c>
      <c r="G192" s="3">
        <v>140.30000000000001</v>
      </c>
      <c r="H192" s="3">
        <v>116.6</v>
      </c>
      <c r="I192" s="3">
        <v>150.1</v>
      </c>
      <c r="J192" s="3">
        <v>127.6</v>
      </c>
      <c r="K192" s="3">
        <v>114</v>
      </c>
      <c r="L192" s="3">
        <v>110.6</v>
      </c>
      <c r="M192" s="3">
        <v>140.19999999999999</v>
      </c>
      <c r="N192" s="3">
        <v>126.5</v>
      </c>
      <c r="O192" s="3">
        <v>148.30000000000001</v>
      </c>
      <c r="P192" s="3">
        <v>135.69999999999999</v>
      </c>
      <c r="Q192" s="3">
        <v>159.19999999999999</v>
      </c>
      <c r="R192" s="3">
        <v>137.80000000000001</v>
      </c>
      <c r="S192" s="3">
        <v>127.4</v>
      </c>
      <c r="T192" s="3">
        <v>136.19999999999999</v>
      </c>
      <c r="U192" s="3" t="s">
        <v>161</v>
      </c>
      <c r="V192" s="3">
        <v>124.6</v>
      </c>
      <c r="W192" s="3">
        <v>131.80000000000001</v>
      </c>
      <c r="X192" s="3">
        <v>131.30000000000001</v>
      </c>
      <c r="Y192" s="3">
        <v>118.9</v>
      </c>
      <c r="Z192" s="3">
        <v>127.6</v>
      </c>
      <c r="AA192" s="3">
        <v>139.69999999999999</v>
      </c>
      <c r="AB192" s="3">
        <v>127.6</v>
      </c>
      <c r="AC192" s="3">
        <v>128.19999999999999</v>
      </c>
      <c r="AD192" s="3">
        <v>134.80000000000001</v>
      </c>
    </row>
    <row r="193" spans="1:30" ht="15" customHeight="1" x14ac:dyDescent="0.2">
      <c r="A193" s="3" t="s">
        <v>89</v>
      </c>
      <c r="B193" s="3">
        <v>2018</v>
      </c>
      <c r="C193" s="3" t="s">
        <v>93</v>
      </c>
      <c r="D193" s="3">
        <v>136.4</v>
      </c>
      <c r="E193" s="3">
        <v>144.4</v>
      </c>
      <c r="F193" s="3">
        <v>133.9</v>
      </c>
      <c r="G193" s="3">
        <v>141.6</v>
      </c>
      <c r="H193" s="3">
        <v>121</v>
      </c>
      <c r="I193" s="3">
        <v>153.5</v>
      </c>
      <c r="J193" s="3">
        <v>132.6</v>
      </c>
      <c r="K193" s="3">
        <v>123.5</v>
      </c>
      <c r="L193" s="3">
        <v>113.7</v>
      </c>
      <c r="M193" s="3">
        <v>138.19999999999999</v>
      </c>
      <c r="N193" s="3">
        <v>129.6</v>
      </c>
      <c r="O193" s="3">
        <v>151.19999999999999</v>
      </c>
      <c r="P193" s="3">
        <v>137.5</v>
      </c>
      <c r="Q193" s="3">
        <v>156.9</v>
      </c>
      <c r="R193" s="3">
        <v>145.30000000000001</v>
      </c>
      <c r="S193" s="3">
        <v>136.69999999999999</v>
      </c>
      <c r="T193" s="3">
        <v>144</v>
      </c>
      <c r="U193" s="3" t="s">
        <v>161</v>
      </c>
      <c r="V193" s="3">
        <v>136.5</v>
      </c>
      <c r="W193" s="3">
        <v>136.6</v>
      </c>
      <c r="X193" s="3">
        <v>135.19999999999999</v>
      </c>
      <c r="Y193" s="3">
        <v>121.9</v>
      </c>
      <c r="Z193" s="3">
        <v>131.30000000000001</v>
      </c>
      <c r="AA193" s="3">
        <v>141.4</v>
      </c>
      <c r="AB193" s="3">
        <v>129.19999999999999</v>
      </c>
      <c r="AC193" s="3">
        <v>131.30000000000001</v>
      </c>
      <c r="AD193" s="3">
        <v>137.1</v>
      </c>
    </row>
    <row r="194" spans="1:30" ht="15" customHeight="1" x14ac:dyDescent="0.2">
      <c r="A194" s="3" t="s">
        <v>84</v>
      </c>
      <c r="B194" s="3">
        <v>2018</v>
      </c>
      <c r="C194" s="3" t="s">
        <v>95</v>
      </c>
      <c r="D194" s="3">
        <v>137.4</v>
      </c>
      <c r="E194" s="3">
        <v>145.69999999999999</v>
      </c>
      <c r="F194" s="3">
        <v>135.5</v>
      </c>
      <c r="G194" s="3">
        <v>142.9</v>
      </c>
      <c r="H194" s="3">
        <v>123.6</v>
      </c>
      <c r="I194" s="3">
        <v>157.5</v>
      </c>
      <c r="J194" s="3">
        <v>137.80000000000001</v>
      </c>
      <c r="K194" s="3">
        <v>127.2</v>
      </c>
      <c r="L194" s="3">
        <v>111.8</v>
      </c>
      <c r="M194" s="3">
        <v>137.4</v>
      </c>
      <c r="N194" s="3">
        <v>132.19999999999999</v>
      </c>
      <c r="O194" s="3">
        <v>154.30000000000001</v>
      </c>
      <c r="P194" s="3">
        <v>139.1</v>
      </c>
      <c r="Q194" s="3">
        <v>157</v>
      </c>
      <c r="R194" s="3">
        <v>150.80000000000001</v>
      </c>
      <c r="S194" s="3">
        <v>144.1</v>
      </c>
      <c r="T194" s="3">
        <v>149.80000000000001</v>
      </c>
      <c r="V194" s="3">
        <v>144.30000000000001</v>
      </c>
      <c r="W194" s="3">
        <v>141.80000000000001</v>
      </c>
      <c r="X194" s="3">
        <v>138.4</v>
      </c>
      <c r="Y194" s="3">
        <v>126.4</v>
      </c>
      <c r="Z194" s="3">
        <v>136.80000000000001</v>
      </c>
      <c r="AA194" s="3">
        <v>144.4</v>
      </c>
      <c r="AB194" s="3">
        <v>131.19999999999999</v>
      </c>
      <c r="AC194" s="3">
        <v>135.1</v>
      </c>
      <c r="AD194" s="3">
        <v>139.80000000000001</v>
      </c>
    </row>
    <row r="195" spans="1:30" ht="15" customHeight="1" x14ac:dyDescent="0.2">
      <c r="A195" s="3" t="s">
        <v>87</v>
      </c>
      <c r="B195" s="3">
        <v>2018</v>
      </c>
      <c r="C195" s="3" t="s">
        <v>95</v>
      </c>
      <c r="D195" s="3">
        <v>135</v>
      </c>
      <c r="E195" s="3">
        <v>148.19999999999999</v>
      </c>
      <c r="F195" s="3">
        <v>130.5</v>
      </c>
      <c r="G195" s="3">
        <v>140.69999999999999</v>
      </c>
      <c r="H195" s="3">
        <v>116.4</v>
      </c>
      <c r="I195" s="3">
        <v>151.30000000000001</v>
      </c>
      <c r="J195" s="3">
        <v>131.4</v>
      </c>
      <c r="K195" s="3">
        <v>112.8</v>
      </c>
      <c r="L195" s="3">
        <v>105.3</v>
      </c>
      <c r="M195" s="3">
        <v>139.6</v>
      </c>
      <c r="N195" s="3">
        <v>126.6</v>
      </c>
      <c r="O195" s="3">
        <v>148.69999999999999</v>
      </c>
      <c r="P195" s="3">
        <v>136.4</v>
      </c>
      <c r="Q195" s="3">
        <v>160.30000000000001</v>
      </c>
      <c r="R195" s="3">
        <v>138.6</v>
      </c>
      <c r="S195" s="3">
        <v>127.9</v>
      </c>
      <c r="T195" s="3">
        <v>137</v>
      </c>
      <c r="U195" s="3" t="s">
        <v>162</v>
      </c>
      <c r="V195" s="3">
        <v>124.7</v>
      </c>
      <c r="W195" s="3">
        <v>132.5</v>
      </c>
      <c r="X195" s="3">
        <v>132</v>
      </c>
      <c r="Y195" s="3">
        <v>119.8</v>
      </c>
      <c r="Z195" s="3">
        <v>128</v>
      </c>
      <c r="AA195" s="3">
        <v>140.4</v>
      </c>
      <c r="AB195" s="3">
        <v>128.1</v>
      </c>
      <c r="AC195" s="3">
        <v>128.9</v>
      </c>
      <c r="AD195" s="3">
        <v>135.4</v>
      </c>
    </row>
    <row r="196" spans="1:30" ht="15" customHeight="1" x14ac:dyDescent="0.2">
      <c r="A196" s="3" t="s">
        <v>89</v>
      </c>
      <c r="B196" s="3">
        <v>2018</v>
      </c>
      <c r="C196" s="3" t="s">
        <v>95</v>
      </c>
      <c r="D196" s="3">
        <v>136.6</v>
      </c>
      <c r="E196" s="3">
        <v>146.6</v>
      </c>
      <c r="F196" s="3">
        <v>133.6</v>
      </c>
      <c r="G196" s="3">
        <v>142.1</v>
      </c>
      <c r="H196" s="3">
        <v>121</v>
      </c>
      <c r="I196" s="3">
        <v>154.6</v>
      </c>
      <c r="J196" s="3">
        <v>135.6</v>
      </c>
      <c r="K196" s="3">
        <v>122.3</v>
      </c>
      <c r="L196" s="3">
        <v>109.6</v>
      </c>
      <c r="M196" s="3">
        <v>138.1</v>
      </c>
      <c r="N196" s="3">
        <v>129.9</v>
      </c>
      <c r="O196" s="3">
        <v>151.69999999999999</v>
      </c>
      <c r="P196" s="3">
        <v>138.1</v>
      </c>
      <c r="Q196" s="3">
        <v>157.9</v>
      </c>
      <c r="R196" s="3">
        <v>146</v>
      </c>
      <c r="S196" s="3">
        <v>137.4</v>
      </c>
      <c r="T196" s="3">
        <v>144.69999999999999</v>
      </c>
      <c r="U196" s="3" t="s">
        <v>162</v>
      </c>
      <c r="V196" s="3">
        <v>136.9</v>
      </c>
      <c r="W196" s="3">
        <v>137.4</v>
      </c>
      <c r="X196" s="3">
        <v>136</v>
      </c>
      <c r="Y196" s="3">
        <v>122.9</v>
      </c>
      <c r="Z196" s="3">
        <v>131.80000000000001</v>
      </c>
      <c r="AA196" s="3">
        <v>142.1</v>
      </c>
      <c r="AB196" s="3">
        <v>129.9</v>
      </c>
      <c r="AC196" s="3">
        <v>132.1</v>
      </c>
      <c r="AD196" s="3">
        <v>137.80000000000001</v>
      </c>
    </row>
    <row r="197" spans="1:30" ht="15" customHeight="1" x14ac:dyDescent="0.2">
      <c r="A197" s="3" t="s">
        <v>84</v>
      </c>
      <c r="B197" s="3">
        <v>2018</v>
      </c>
      <c r="C197" s="3" t="s">
        <v>96</v>
      </c>
      <c r="D197" s="3">
        <v>137.6</v>
      </c>
      <c r="E197" s="3">
        <v>148.1</v>
      </c>
      <c r="F197" s="3">
        <v>136.69999999999999</v>
      </c>
      <c r="G197" s="3">
        <v>143.19999999999999</v>
      </c>
      <c r="H197" s="3">
        <v>124</v>
      </c>
      <c r="I197" s="3">
        <v>154.1</v>
      </c>
      <c r="J197" s="3">
        <v>143.5</v>
      </c>
      <c r="K197" s="3">
        <v>126</v>
      </c>
      <c r="L197" s="3">
        <v>112.4</v>
      </c>
      <c r="M197" s="3">
        <v>137.6</v>
      </c>
      <c r="N197" s="3">
        <v>132.80000000000001</v>
      </c>
      <c r="O197" s="3">
        <v>154.30000000000001</v>
      </c>
      <c r="P197" s="3">
        <v>140</v>
      </c>
      <c r="Q197" s="3">
        <v>157.30000000000001</v>
      </c>
      <c r="R197" s="3">
        <v>151.30000000000001</v>
      </c>
      <c r="S197" s="3">
        <v>144.69999999999999</v>
      </c>
      <c r="T197" s="3">
        <v>150.30000000000001</v>
      </c>
      <c r="V197" s="3">
        <v>145.1</v>
      </c>
      <c r="W197" s="3">
        <v>142.19999999999999</v>
      </c>
      <c r="X197" s="3">
        <v>138.4</v>
      </c>
      <c r="Y197" s="3">
        <v>127.4</v>
      </c>
      <c r="Z197" s="3">
        <v>137.80000000000001</v>
      </c>
      <c r="AA197" s="3">
        <v>145.1</v>
      </c>
      <c r="AB197" s="3">
        <v>131.4</v>
      </c>
      <c r="AC197" s="3">
        <v>135.6</v>
      </c>
      <c r="AD197" s="3">
        <v>140.5</v>
      </c>
    </row>
    <row r="198" spans="1:30" ht="15" customHeight="1" x14ac:dyDescent="0.2">
      <c r="A198" s="3" t="s">
        <v>87</v>
      </c>
      <c r="B198" s="3">
        <v>2018</v>
      </c>
      <c r="C198" s="3" t="s">
        <v>96</v>
      </c>
      <c r="D198" s="3">
        <v>135.30000000000001</v>
      </c>
      <c r="E198" s="3">
        <v>149.69999999999999</v>
      </c>
      <c r="F198" s="3">
        <v>133.9</v>
      </c>
      <c r="G198" s="3">
        <v>140.80000000000001</v>
      </c>
      <c r="H198" s="3">
        <v>116.6</v>
      </c>
      <c r="I198" s="3">
        <v>152.19999999999999</v>
      </c>
      <c r="J198" s="3">
        <v>144</v>
      </c>
      <c r="K198" s="3">
        <v>112.3</v>
      </c>
      <c r="L198" s="3">
        <v>108.4</v>
      </c>
      <c r="M198" s="3">
        <v>140</v>
      </c>
      <c r="N198" s="3">
        <v>126.7</v>
      </c>
      <c r="O198" s="3">
        <v>149</v>
      </c>
      <c r="P198" s="3">
        <v>138.4</v>
      </c>
      <c r="Q198" s="3">
        <v>161</v>
      </c>
      <c r="R198" s="3">
        <v>138.9</v>
      </c>
      <c r="S198" s="3">
        <v>128.69999999999999</v>
      </c>
      <c r="T198" s="3">
        <v>137.4</v>
      </c>
      <c r="U198" s="3" t="s">
        <v>163</v>
      </c>
      <c r="V198" s="3">
        <v>126.5</v>
      </c>
      <c r="W198" s="3">
        <v>133.1</v>
      </c>
      <c r="X198" s="3">
        <v>132.6</v>
      </c>
      <c r="Y198" s="3">
        <v>120.4</v>
      </c>
      <c r="Z198" s="3">
        <v>128.5</v>
      </c>
      <c r="AA198" s="3">
        <v>141.19999999999999</v>
      </c>
      <c r="AB198" s="3">
        <v>128.19999999999999</v>
      </c>
      <c r="AC198" s="3">
        <v>129.5</v>
      </c>
      <c r="AD198" s="3">
        <v>136.19999999999999</v>
      </c>
    </row>
    <row r="199" spans="1:30" ht="15" customHeight="1" x14ac:dyDescent="0.2">
      <c r="A199" s="3" t="s">
        <v>89</v>
      </c>
      <c r="B199" s="3">
        <v>2018</v>
      </c>
      <c r="C199" s="3" t="s">
        <v>96</v>
      </c>
      <c r="D199" s="3">
        <v>136.9</v>
      </c>
      <c r="E199" s="3">
        <v>148.69999999999999</v>
      </c>
      <c r="F199" s="3">
        <v>135.6</v>
      </c>
      <c r="G199" s="3">
        <v>142.30000000000001</v>
      </c>
      <c r="H199" s="3">
        <v>121.3</v>
      </c>
      <c r="I199" s="3">
        <v>153.19999999999999</v>
      </c>
      <c r="J199" s="3">
        <v>143.69999999999999</v>
      </c>
      <c r="K199" s="3">
        <v>121.4</v>
      </c>
      <c r="L199" s="3">
        <v>111.1</v>
      </c>
      <c r="M199" s="3">
        <v>138.4</v>
      </c>
      <c r="N199" s="3">
        <v>130.30000000000001</v>
      </c>
      <c r="O199" s="3">
        <v>151.80000000000001</v>
      </c>
      <c r="P199" s="3">
        <v>139.4</v>
      </c>
      <c r="Q199" s="3">
        <v>158.30000000000001</v>
      </c>
      <c r="R199" s="3">
        <v>146.4</v>
      </c>
      <c r="S199" s="3">
        <v>138.1</v>
      </c>
      <c r="T199" s="3">
        <v>145.19999999999999</v>
      </c>
      <c r="U199" s="3" t="s">
        <v>163</v>
      </c>
      <c r="V199" s="3">
        <v>138.1</v>
      </c>
      <c r="W199" s="3">
        <v>137.9</v>
      </c>
      <c r="X199" s="3">
        <v>136.19999999999999</v>
      </c>
      <c r="Y199" s="3">
        <v>123.7</v>
      </c>
      <c r="Z199" s="3">
        <v>132.6</v>
      </c>
      <c r="AA199" s="3">
        <v>142.80000000000001</v>
      </c>
      <c r="AB199" s="3">
        <v>130.1</v>
      </c>
      <c r="AC199" s="3">
        <v>132.6</v>
      </c>
      <c r="AD199" s="3">
        <v>138.5</v>
      </c>
    </row>
    <row r="200" spans="1:30" ht="15" customHeight="1" x14ac:dyDescent="0.2">
      <c r="A200" s="3" t="s">
        <v>84</v>
      </c>
      <c r="B200" s="3">
        <v>2018</v>
      </c>
      <c r="C200" s="3" t="s">
        <v>98</v>
      </c>
      <c r="D200" s="3">
        <v>138.4</v>
      </c>
      <c r="E200" s="3">
        <v>149.30000000000001</v>
      </c>
      <c r="F200" s="3">
        <v>139.30000000000001</v>
      </c>
      <c r="G200" s="3">
        <v>143.4</v>
      </c>
      <c r="H200" s="3">
        <v>124.1</v>
      </c>
      <c r="I200" s="3">
        <v>153.30000000000001</v>
      </c>
      <c r="J200" s="3">
        <v>154.19999999999999</v>
      </c>
      <c r="K200" s="3">
        <v>126.4</v>
      </c>
      <c r="L200" s="3">
        <v>114.3</v>
      </c>
      <c r="M200" s="3">
        <v>138.19999999999999</v>
      </c>
      <c r="N200" s="3">
        <v>132.80000000000001</v>
      </c>
      <c r="O200" s="3">
        <v>154.80000000000001</v>
      </c>
      <c r="P200" s="3">
        <v>142</v>
      </c>
      <c r="Q200" s="3">
        <v>156.1</v>
      </c>
      <c r="R200" s="3">
        <v>151.5</v>
      </c>
      <c r="S200" s="3">
        <v>145.1</v>
      </c>
      <c r="T200" s="3">
        <v>150.6</v>
      </c>
      <c r="V200" s="3">
        <v>146.80000000000001</v>
      </c>
      <c r="W200" s="3">
        <v>143.1</v>
      </c>
      <c r="X200" s="3">
        <v>139</v>
      </c>
      <c r="Y200" s="3">
        <v>127.5</v>
      </c>
      <c r="Z200" s="3">
        <v>138.4</v>
      </c>
      <c r="AA200" s="3">
        <v>145.80000000000001</v>
      </c>
      <c r="AB200" s="3">
        <v>131.4</v>
      </c>
      <c r="AC200" s="3">
        <v>136</v>
      </c>
      <c r="AD200" s="3">
        <v>141.80000000000001</v>
      </c>
    </row>
    <row r="201" spans="1:30" ht="15" customHeight="1" x14ac:dyDescent="0.2">
      <c r="A201" s="3" t="s">
        <v>87</v>
      </c>
      <c r="B201" s="3">
        <v>2018</v>
      </c>
      <c r="C201" s="3" t="s">
        <v>98</v>
      </c>
      <c r="D201" s="3">
        <v>135.6</v>
      </c>
      <c r="E201" s="3">
        <v>148.6</v>
      </c>
      <c r="F201" s="3">
        <v>139.1</v>
      </c>
      <c r="G201" s="3">
        <v>141</v>
      </c>
      <c r="H201" s="3">
        <v>116.7</v>
      </c>
      <c r="I201" s="3">
        <v>149.69999999999999</v>
      </c>
      <c r="J201" s="3">
        <v>159.19999999999999</v>
      </c>
      <c r="K201" s="3">
        <v>112.6</v>
      </c>
      <c r="L201" s="3">
        <v>111.8</v>
      </c>
      <c r="M201" s="3">
        <v>140.30000000000001</v>
      </c>
      <c r="N201" s="3">
        <v>126.8</v>
      </c>
      <c r="O201" s="3">
        <v>149.4</v>
      </c>
      <c r="P201" s="3">
        <v>140.30000000000001</v>
      </c>
      <c r="Q201" s="3">
        <v>161.4</v>
      </c>
      <c r="R201" s="3">
        <v>139.6</v>
      </c>
      <c r="S201" s="3">
        <v>128.9</v>
      </c>
      <c r="T201" s="3">
        <v>137.9</v>
      </c>
      <c r="U201" s="3" t="s">
        <v>164</v>
      </c>
      <c r="V201" s="3">
        <v>128.1</v>
      </c>
      <c r="W201" s="3">
        <v>133.6</v>
      </c>
      <c r="X201" s="3">
        <v>133.6</v>
      </c>
      <c r="Y201" s="3">
        <v>120.1</v>
      </c>
      <c r="Z201" s="3">
        <v>129</v>
      </c>
      <c r="AA201" s="3">
        <v>144</v>
      </c>
      <c r="AB201" s="3">
        <v>128.19999999999999</v>
      </c>
      <c r="AC201" s="3">
        <v>130.19999999999999</v>
      </c>
      <c r="AD201" s="3">
        <v>137.5</v>
      </c>
    </row>
    <row r="202" spans="1:30" ht="15" customHeight="1" x14ac:dyDescent="0.2">
      <c r="A202" s="3" t="s">
        <v>89</v>
      </c>
      <c r="B202" s="3">
        <v>2018</v>
      </c>
      <c r="C202" s="3" t="s">
        <v>98</v>
      </c>
      <c r="D202" s="3">
        <v>137.5</v>
      </c>
      <c r="E202" s="3">
        <v>149.1</v>
      </c>
      <c r="F202" s="3">
        <v>139.19999999999999</v>
      </c>
      <c r="G202" s="3">
        <v>142.5</v>
      </c>
      <c r="H202" s="3">
        <v>121.4</v>
      </c>
      <c r="I202" s="3">
        <v>151.6</v>
      </c>
      <c r="J202" s="3">
        <v>155.9</v>
      </c>
      <c r="K202" s="3">
        <v>121.7</v>
      </c>
      <c r="L202" s="3">
        <v>113.5</v>
      </c>
      <c r="M202" s="3">
        <v>138.9</v>
      </c>
      <c r="N202" s="3">
        <v>130.30000000000001</v>
      </c>
      <c r="O202" s="3">
        <v>152.30000000000001</v>
      </c>
      <c r="P202" s="3">
        <v>141.4</v>
      </c>
      <c r="Q202" s="3">
        <v>157.5</v>
      </c>
      <c r="R202" s="3">
        <v>146.80000000000001</v>
      </c>
      <c r="S202" s="3">
        <v>138.4</v>
      </c>
      <c r="T202" s="3">
        <v>145.6</v>
      </c>
      <c r="U202" s="3" t="s">
        <v>164</v>
      </c>
      <c r="V202" s="3">
        <v>139.69999999999999</v>
      </c>
      <c r="W202" s="3">
        <v>138.6</v>
      </c>
      <c r="X202" s="3">
        <v>137</v>
      </c>
      <c r="Y202" s="3">
        <v>123.6</v>
      </c>
      <c r="Z202" s="3">
        <v>133.1</v>
      </c>
      <c r="AA202" s="3">
        <v>144.69999999999999</v>
      </c>
      <c r="AB202" s="3">
        <v>130.1</v>
      </c>
      <c r="AC202" s="3">
        <v>133.19999999999999</v>
      </c>
      <c r="AD202" s="3">
        <v>139.80000000000001</v>
      </c>
    </row>
    <row r="203" spans="1:30" ht="15" customHeight="1" x14ac:dyDescent="0.2">
      <c r="A203" s="3" t="s">
        <v>84</v>
      </c>
      <c r="B203" s="3">
        <v>2018</v>
      </c>
      <c r="C203" s="3" t="s">
        <v>100</v>
      </c>
      <c r="D203" s="3">
        <v>139.19999999999999</v>
      </c>
      <c r="E203" s="3">
        <v>148.80000000000001</v>
      </c>
      <c r="F203" s="3">
        <v>139.1</v>
      </c>
      <c r="G203" s="3">
        <v>143.5</v>
      </c>
      <c r="H203" s="3">
        <v>125</v>
      </c>
      <c r="I203" s="3">
        <v>154.4</v>
      </c>
      <c r="J203" s="3">
        <v>156.30000000000001</v>
      </c>
      <c r="K203" s="3">
        <v>126.8</v>
      </c>
      <c r="L203" s="3">
        <v>115.4</v>
      </c>
      <c r="M203" s="3">
        <v>138.6</v>
      </c>
      <c r="N203" s="3">
        <v>133.80000000000001</v>
      </c>
      <c r="O203" s="3">
        <v>155.19999999999999</v>
      </c>
      <c r="P203" s="3">
        <v>142.69999999999999</v>
      </c>
      <c r="Q203" s="3">
        <v>156.4</v>
      </c>
      <c r="R203" s="3">
        <v>152.1</v>
      </c>
      <c r="S203" s="3">
        <v>145.80000000000001</v>
      </c>
      <c r="T203" s="3">
        <v>151.30000000000001</v>
      </c>
      <c r="V203" s="3">
        <v>147.69999999999999</v>
      </c>
      <c r="W203" s="3">
        <v>143.80000000000001</v>
      </c>
      <c r="X203" s="3">
        <v>139.4</v>
      </c>
      <c r="Y203" s="3">
        <v>128.30000000000001</v>
      </c>
      <c r="Z203" s="3">
        <v>138.6</v>
      </c>
      <c r="AA203" s="3">
        <v>146.9</v>
      </c>
      <c r="AB203" s="3">
        <v>131.30000000000001</v>
      </c>
      <c r="AC203" s="3">
        <v>136.6</v>
      </c>
      <c r="AD203" s="3">
        <v>142.5</v>
      </c>
    </row>
    <row r="204" spans="1:30" ht="15" customHeight="1" x14ac:dyDescent="0.2">
      <c r="A204" s="3" t="s">
        <v>87</v>
      </c>
      <c r="B204" s="3">
        <v>2018</v>
      </c>
      <c r="C204" s="3" t="s">
        <v>100</v>
      </c>
      <c r="D204" s="3">
        <v>136.5</v>
      </c>
      <c r="E204" s="3">
        <v>146.4</v>
      </c>
      <c r="F204" s="3">
        <v>136.6</v>
      </c>
      <c r="G204" s="3">
        <v>141.19999999999999</v>
      </c>
      <c r="H204" s="3">
        <v>117.4</v>
      </c>
      <c r="I204" s="3">
        <v>146.30000000000001</v>
      </c>
      <c r="J204" s="3">
        <v>157.30000000000001</v>
      </c>
      <c r="K204" s="3">
        <v>113.6</v>
      </c>
      <c r="L204" s="3">
        <v>113.3</v>
      </c>
      <c r="M204" s="3">
        <v>141.1</v>
      </c>
      <c r="N204" s="3">
        <v>127.4</v>
      </c>
      <c r="O204" s="3">
        <v>150.4</v>
      </c>
      <c r="P204" s="3">
        <v>140.1</v>
      </c>
      <c r="Q204" s="3">
        <v>162.1</v>
      </c>
      <c r="R204" s="3">
        <v>140</v>
      </c>
      <c r="S204" s="3">
        <v>129</v>
      </c>
      <c r="T204" s="3">
        <v>138.30000000000001</v>
      </c>
      <c r="U204" s="3" t="s">
        <v>165</v>
      </c>
      <c r="V204" s="3">
        <v>129.80000000000001</v>
      </c>
      <c r="W204" s="3">
        <v>134.4</v>
      </c>
      <c r="X204" s="3">
        <v>134.9</v>
      </c>
      <c r="Y204" s="3">
        <v>120.7</v>
      </c>
      <c r="Z204" s="3">
        <v>129.80000000000001</v>
      </c>
      <c r="AA204" s="3">
        <v>145.30000000000001</v>
      </c>
      <c r="AB204" s="3">
        <v>128.30000000000001</v>
      </c>
      <c r="AC204" s="3">
        <v>131</v>
      </c>
      <c r="AD204" s="3">
        <v>138</v>
      </c>
    </row>
    <row r="205" spans="1:30" ht="15" customHeight="1" x14ac:dyDescent="0.2">
      <c r="A205" s="3" t="s">
        <v>89</v>
      </c>
      <c r="B205" s="3">
        <v>2018</v>
      </c>
      <c r="C205" s="3" t="s">
        <v>100</v>
      </c>
      <c r="D205" s="3">
        <v>138.30000000000001</v>
      </c>
      <c r="E205" s="3">
        <v>148</v>
      </c>
      <c r="F205" s="3">
        <v>138.1</v>
      </c>
      <c r="G205" s="3">
        <v>142.6</v>
      </c>
      <c r="H205" s="3">
        <v>122.2</v>
      </c>
      <c r="I205" s="3">
        <v>150.6</v>
      </c>
      <c r="J205" s="3">
        <v>156.6</v>
      </c>
      <c r="K205" s="3">
        <v>122.4</v>
      </c>
      <c r="L205" s="3">
        <v>114.7</v>
      </c>
      <c r="M205" s="3">
        <v>139.4</v>
      </c>
      <c r="N205" s="3">
        <v>131.1</v>
      </c>
      <c r="O205" s="3">
        <v>153</v>
      </c>
      <c r="P205" s="3">
        <v>141.69999999999999</v>
      </c>
      <c r="Q205" s="3">
        <v>157.9</v>
      </c>
      <c r="R205" s="3">
        <v>147.30000000000001</v>
      </c>
      <c r="S205" s="3">
        <v>138.80000000000001</v>
      </c>
      <c r="T205" s="3">
        <v>146.1</v>
      </c>
      <c r="U205" s="3" t="s">
        <v>165</v>
      </c>
      <c r="V205" s="3">
        <v>140.9</v>
      </c>
      <c r="W205" s="3">
        <v>139.4</v>
      </c>
      <c r="X205" s="3">
        <v>137.69999999999999</v>
      </c>
      <c r="Y205" s="3">
        <v>124.3</v>
      </c>
      <c r="Z205" s="3">
        <v>133.6</v>
      </c>
      <c r="AA205" s="3">
        <v>146</v>
      </c>
      <c r="AB205" s="3">
        <v>130.1</v>
      </c>
      <c r="AC205" s="3">
        <v>133.9</v>
      </c>
      <c r="AD205" s="3">
        <v>140.4</v>
      </c>
    </row>
    <row r="206" spans="1:30" ht="15" customHeight="1" x14ac:dyDescent="0.2">
      <c r="A206" s="3" t="s">
        <v>84</v>
      </c>
      <c r="B206" s="3">
        <v>2018</v>
      </c>
      <c r="C206" s="3" t="s">
        <v>102</v>
      </c>
      <c r="D206" s="3">
        <v>139.4</v>
      </c>
      <c r="E206" s="3">
        <v>147.19999999999999</v>
      </c>
      <c r="F206" s="3">
        <v>136.6</v>
      </c>
      <c r="G206" s="3">
        <v>143.69999999999999</v>
      </c>
      <c r="H206" s="3">
        <v>124.6</v>
      </c>
      <c r="I206" s="3">
        <v>150.1</v>
      </c>
      <c r="J206" s="3">
        <v>149.4</v>
      </c>
      <c r="K206" s="3">
        <v>125.4</v>
      </c>
      <c r="L206" s="3">
        <v>114.4</v>
      </c>
      <c r="M206" s="3">
        <v>138.69999999999999</v>
      </c>
      <c r="N206" s="3">
        <v>133.1</v>
      </c>
      <c r="O206" s="3">
        <v>155.9</v>
      </c>
      <c r="P206" s="3">
        <v>141.30000000000001</v>
      </c>
      <c r="Q206" s="3">
        <v>157.69999999999999</v>
      </c>
      <c r="R206" s="3">
        <v>152.1</v>
      </c>
      <c r="S206" s="3">
        <v>146.1</v>
      </c>
      <c r="T206" s="3">
        <v>151.30000000000001</v>
      </c>
      <c r="V206" s="3">
        <v>149</v>
      </c>
      <c r="W206" s="3">
        <v>144</v>
      </c>
      <c r="X206" s="3">
        <v>140</v>
      </c>
      <c r="Y206" s="3">
        <v>129.9</v>
      </c>
      <c r="Z206" s="3">
        <v>140</v>
      </c>
      <c r="AA206" s="3">
        <v>147.6</v>
      </c>
      <c r="AB206" s="3">
        <v>132</v>
      </c>
      <c r="AC206" s="3">
        <v>137.4</v>
      </c>
      <c r="AD206" s="3">
        <v>142.1</v>
      </c>
    </row>
    <row r="207" spans="1:30" ht="15" customHeight="1" x14ac:dyDescent="0.2">
      <c r="A207" s="3" t="s">
        <v>87</v>
      </c>
      <c r="B207" s="3">
        <v>2018</v>
      </c>
      <c r="C207" s="3" t="s">
        <v>102</v>
      </c>
      <c r="D207" s="3">
        <v>137</v>
      </c>
      <c r="E207" s="3">
        <v>143.1</v>
      </c>
      <c r="F207" s="3">
        <v>132.80000000000001</v>
      </c>
      <c r="G207" s="3">
        <v>141.5</v>
      </c>
      <c r="H207" s="3">
        <v>117.8</v>
      </c>
      <c r="I207" s="3">
        <v>140</v>
      </c>
      <c r="J207" s="3">
        <v>151.30000000000001</v>
      </c>
      <c r="K207" s="3">
        <v>113.5</v>
      </c>
      <c r="L207" s="3">
        <v>112.3</v>
      </c>
      <c r="M207" s="3">
        <v>141.19999999999999</v>
      </c>
      <c r="N207" s="3">
        <v>127.7</v>
      </c>
      <c r="O207" s="3">
        <v>151.30000000000001</v>
      </c>
      <c r="P207" s="3">
        <v>138.9</v>
      </c>
      <c r="Q207" s="3">
        <v>163.30000000000001</v>
      </c>
      <c r="R207" s="3">
        <v>140.80000000000001</v>
      </c>
      <c r="S207" s="3">
        <v>129.30000000000001</v>
      </c>
      <c r="T207" s="3">
        <v>139.1</v>
      </c>
      <c r="U207" s="3" t="s">
        <v>166</v>
      </c>
      <c r="V207" s="3">
        <v>131.19999999999999</v>
      </c>
      <c r="W207" s="3">
        <v>134.9</v>
      </c>
      <c r="X207" s="3">
        <v>135.69999999999999</v>
      </c>
      <c r="Y207" s="3">
        <v>122.5</v>
      </c>
      <c r="Z207" s="3">
        <v>130.19999999999999</v>
      </c>
      <c r="AA207" s="3">
        <v>145.19999999999999</v>
      </c>
      <c r="AB207" s="3">
        <v>129.30000000000001</v>
      </c>
      <c r="AC207" s="3">
        <v>131.9</v>
      </c>
      <c r="AD207" s="3">
        <v>138.1</v>
      </c>
    </row>
    <row r="208" spans="1:30" ht="15" customHeight="1" x14ac:dyDescent="0.2">
      <c r="A208" s="3" t="s">
        <v>89</v>
      </c>
      <c r="B208" s="3">
        <v>2018</v>
      </c>
      <c r="C208" s="3" t="s">
        <v>102</v>
      </c>
      <c r="D208" s="3">
        <v>138.6</v>
      </c>
      <c r="E208" s="3">
        <v>145.80000000000001</v>
      </c>
      <c r="F208" s="3">
        <v>135.1</v>
      </c>
      <c r="G208" s="3">
        <v>142.9</v>
      </c>
      <c r="H208" s="3">
        <v>122.1</v>
      </c>
      <c r="I208" s="3">
        <v>145.4</v>
      </c>
      <c r="J208" s="3">
        <v>150</v>
      </c>
      <c r="K208" s="3">
        <v>121.4</v>
      </c>
      <c r="L208" s="3">
        <v>113.7</v>
      </c>
      <c r="M208" s="3">
        <v>139.5</v>
      </c>
      <c r="N208" s="3">
        <v>130.80000000000001</v>
      </c>
      <c r="O208" s="3">
        <v>153.80000000000001</v>
      </c>
      <c r="P208" s="3">
        <v>140.4</v>
      </c>
      <c r="Q208" s="3">
        <v>159.19999999999999</v>
      </c>
      <c r="R208" s="3">
        <v>147.69999999999999</v>
      </c>
      <c r="S208" s="3">
        <v>139.1</v>
      </c>
      <c r="T208" s="3">
        <v>146.5</v>
      </c>
      <c r="U208" s="3" t="s">
        <v>166</v>
      </c>
      <c r="V208" s="3">
        <v>142.30000000000001</v>
      </c>
      <c r="W208" s="3">
        <v>139.69999999999999</v>
      </c>
      <c r="X208" s="3">
        <v>138.4</v>
      </c>
      <c r="Y208" s="3">
        <v>126</v>
      </c>
      <c r="Z208" s="3">
        <v>134.5</v>
      </c>
      <c r="AA208" s="3">
        <v>146.19999999999999</v>
      </c>
      <c r="AB208" s="3">
        <v>130.9</v>
      </c>
      <c r="AC208" s="3">
        <v>134.69999999999999</v>
      </c>
      <c r="AD208" s="3">
        <v>140.19999999999999</v>
      </c>
    </row>
    <row r="209" spans="1:30" ht="15" customHeight="1" x14ac:dyDescent="0.2">
      <c r="A209" s="3" t="s">
        <v>84</v>
      </c>
      <c r="B209" s="3">
        <v>2018</v>
      </c>
      <c r="C209" s="3" t="s">
        <v>104</v>
      </c>
      <c r="D209" s="3">
        <v>139.30000000000001</v>
      </c>
      <c r="E209" s="3">
        <v>147.6</v>
      </c>
      <c r="F209" s="3">
        <v>134.6</v>
      </c>
      <c r="G209" s="3">
        <v>141.9</v>
      </c>
      <c r="H209" s="3">
        <v>123.5</v>
      </c>
      <c r="I209" s="3">
        <v>144.5</v>
      </c>
      <c r="J209" s="3">
        <v>147.6</v>
      </c>
      <c r="K209" s="3">
        <v>121.4</v>
      </c>
      <c r="L209" s="3">
        <v>112.3</v>
      </c>
      <c r="M209" s="3">
        <v>139.5</v>
      </c>
      <c r="N209" s="3">
        <v>134.6</v>
      </c>
      <c r="O209" s="3">
        <v>155.19999999999999</v>
      </c>
      <c r="P209" s="3">
        <v>140.19999999999999</v>
      </c>
      <c r="Q209" s="3">
        <v>159.6</v>
      </c>
      <c r="R209" s="3">
        <v>150.69999999999999</v>
      </c>
      <c r="S209" s="3">
        <v>144.5</v>
      </c>
      <c r="T209" s="3">
        <v>149.80000000000001</v>
      </c>
      <c r="V209" s="3">
        <v>149.69999999999999</v>
      </c>
      <c r="W209" s="3">
        <v>147.5</v>
      </c>
      <c r="X209" s="3">
        <v>144.80000000000001</v>
      </c>
      <c r="Y209" s="3">
        <v>130.80000000000001</v>
      </c>
      <c r="Z209" s="3">
        <v>140.1</v>
      </c>
      <c r="AA209" s="3">
        <v>148</v>
      </c>
      <c r="AB209" s="3">
        <v>134.4</v>
      </c>
      <c r="AC209" s="3">
        <v>139.80000000000001</v>
      </c>
      <c r="AD209" s="3">
        <v>142.19999999999999</v>
      </c>
    </row>
    <row r="210" spans="1:30" ht="15" customHeight="1" x14ac:dyDescent="0.2">
      <c r="A210" s="3" t="s">
        <v>87</v>
      </c>
      <c r="B210" s="3">
        <v>2018</v>
      </c>
      <c r="C210" s="3" t="s">
        <v>104</v>
      </c>
      <c r="D210" s="3">
        <v>137.6</v>
      </c>
      <c r="E210" s="3">
        <v>144.9</v>
      </c>
      <c r="F210" s="3">
        <v>133.5</v>
      </c>
      <c r="G210" s="3">
        <v>141.5</v>
      </c>
      <c r="H210" s="3">
        <v>118</v>
      </c>
      <c r="I210" s="3">
        <v>139.5</v>
      </c>
      <c r="J210" s="3">
        <v>153</v>
      </c>
      <c r="K210" s="3">
        <v>113.2</v>
      </c>
      <c r="L210" s="3">
        <v>112.8</v>
      </c>
      <c r="M210" s="3">
        <v>141.1</v>
      </c>
      <c r="N210" s="3">
        <v>127.6</v>
      </c>
      <c r="O210" s="3">
        <v>152</v>
      </c>
      <c r="P210" s="3">
        <v>139.4</v>
      </c>
      <c r="Q210" s="3">
        <v>164</v>
      </c>
      <c r="R210" s="3">
        <v>141.5</v>
      </c>
      <c r="S210" s="3">
        <v>129.80000000000001</v>
      </c>
      <c r="T210" s="3">
        <v>139.69999999999999</v>
      </c>
      <c r="U210" s="3" t="s">
        <v>167</v>
      </c>
      <c r="V210" s="3">
        <v>133.4</v>
      </c>
      <c r="W210" s="3">
        <v>135.1</v>
      </c>
      <c r="X210" s="3">
        <v>136.19999999999999</v>
      </c>
      <c r="Y210" s="3">
        <v>123.3</v>
      </c>
      <c r="Z210" s="3">
        <v>130.69999999999999</v>
      </c>
      <c r="AA210" s="3">
        <v>145.5</v>
      </c>
      <c r="AB210" s="3">
        <v>130.4</v>
      </c>
      <c r="AC210" s="3">
        <v>132.5</v>
      </c>
      <c r="AD210" s="3">
        <v>138.9</v>
      </c>
    </row>
    <row r="211" spans="1:30" ht="15" customHeight="1" x14ac:dyDescent="0.2">
      <c r="A211" s="3" t="s">
        <v>89</v>
      </c>
      <c r="B211" s="3">
        <v>2018</v>
      </c>
      <c r="C211" s="3" t="s">
        <v>104</v>
      </c>
      <c r="D211" s="3">
        <v>137.4</v>
      </c>
      <c r="E211" s="3">
        <v>149.5</v>
      </c>
      <c r="F211" s="3">
        <v>137.30000000000001</v>
      </c>
      <c r="G211" s="3">
        <v>141.9</v>
      </c>
      <c r="H211" s="3">
        <v>121.1</v>
      </c>
      <c r="I211" s="3">
        <v>142.5</v>
      </c>
      <c r="J211" s="3">
        <v>146.69999999999999</v>
      </c>
      <c r="K211" s="3">
        <v>119.1</v>
      </c>
      <c r="L211" s="3">
        <v>111.9</v>
      </c>
      <c r="M211" s="3">
        <v>141</v>
      </c>
      <c r="N211" s="3">
        <v>133.6</v>
      </c>
      <c r="O211" s="3">
        <v>154.5</v>
      </c>
      <c r="P211" s="3">
        <v>139.69999999999999</v>
      </c>
      <c r="Q211" s="3">
        <v>162.6</v>
      </c>
      <c r="R211" s="3">
        <v>148</v>
      </c>
      <c r="S211" s="3">
        <v>139.19999999999999</v>
      </c>
      <c r="T211" s="3">
        <v>146.80000000000001</v>
      </c>
      <c r="U211" s="3" t="s">
        <v>168</v>
      </c>
      <c r="V211" s="3">
        <v>145.30000000000001</v>
      </c>
      <c r="W211" s="3">
        <v>142.19999999999999</v>
      </c>
      <c r="X211" s="3">
        <v>142.1</v>
      </c>
      <c r="Y211" s="3">
        <v>125.5</v>
      </c>
      <c r="Z211" s="3">
        <v>136.5</v>
      </c>
      <c r="AA211" s="3">
        <v>147.80000000000001</v>
      </c>
      <c r="AB211" s="3">
        <v>132</v>
      </c>
      <c r="AC211" s="3">
        <v>136.30000000000001</v>
      </c>
      <c r="AD211" s="3">
        <v>140.80000000000001</v>
      </c>
    </row>
    <row r="212" spans="1:30" ht="15" customHeight="1" x14ac:dyDescent="0.2">
      <c r="A212" s="3" t="s">
        <v>84</v>
      </c>
      <c r="B212" s="3">
        <v>2018</v>
      </c>
      <c r="C212" s="3" t="s">
        <v>107</v>
      </c>
      <c r="D212" s="3">
        <v>137.1</v>
      </c>
      <c r="E212" s="3">
        <v>150.80000000000001</v>
      </c>
      <c r="F212" s="3">
        <v>136.69999999999999</v>
      </c>
      <c r="G212" s="3">
        <v>141.9</v>
      </c>
      <c r="H212" s="3">
        <v>122.8</v>
      </c>
      <c r="I212" s="3">
        <v>143.9</v>
      </c>
      <c r="J212" s="3">
        <v>147.5</v>
      </c>
      <c r="K212" s="3">
        <v>121</v>
      </c>
      <c r="L212" s="3">
        <v>111.6</v>
      </c>
      <c r="M212" s="3">
        <v>140.6</v>
      </c>
      <c r="N212" s="3">
        <v>137.5</v>
      </c>
      <c r="O212" s="3">
        <v>156.1</v>
      </c>
      <c r="P212" s="3">
        <v>140</v>
      </c>
      <c r="Q212" s="3">
        <v>161.9</v>
      </c>
      <c r="R212" s="3">
        <v>151.69999999999999</v>
      </c>
      <c r="S212" s="3">
        <v>145.5</v>
      </c>
      <c r="T212" s="3">
        <v>150.80000000000001</v>
      </c>
      <c r="V212" s="3">
        <v>150.30000000000001</v>
      </c>
      <c r="W212" s="3">
        <v>148</v>
      </c>
      <c r="X212" s="3">
        <v>145.4</v>
      </c>
      <c r="Y212" s="3">
        <v>130.30000000000001</v>
      </c>
      <c r="Z212" s="3">
        <v>143.1</v>
      </c>
      <c r="AA212" s="3">
        <v>150.19999999999999</v>
      </c>
      <c r="AB212" s="3">
        <v>133.1</v>
      </c>
      <c r="AC212" s="3">
        <v>140.1</v>
      </c>
      <c r="AD212" s="3">
        <v>142.4</v>
      </c>
    </row>
    <row r="213" spans="1:30" ht="15" customHeight="1" x14ac:dyDescent="0.2">
      <c r="A213" s="3" t="s">
        <v>87</v>
      </c>
      <c r="B213" s="3">
        <v>2018</v>
      </c>
      <c r="C213" s="3" t="s">
        <v>107</v>
      </c>
      <c r="D213" s="3">
        <v>138.1</v>
      </c>
      <c r="E213" s="3">
        <v>146.30000000000001</v>
      </c>
      <c r="F213" s="3">
        <v>137.80000000000001</v>
      </c>
      <c r="G213" s="3">
        <v>141.6</v>
      </c>
      <c r="H213" s="3">
        <v>118.1</v>
      </c>
      <c r="I213" s="3">
        <v>141.5</v>
      </c>
      <c r="J213" s="3">
        <v>145.19999999999999</v>
      </c>
      <c r="K213" s="3">
        <v>115.3</v>
      </c>
      <c r="L213" s="3">
        <v>112.5</v>
      </c>
      <c r="M213" s="3">
        <v>141.4</v>
      </c>
      <c r="N213" s="3">
        <v>128</v>
      </c>
      <c r="O213" s="3">
        <v>152.6</v>
      </c>
      <c r="P213" s="3">
        <v>139.1</v>
      </c>
      <c r="Q213" s="3">
        <v>164.4</v>
      </c>
      <c r="R213" s="3">
        <v>142.4</v>
      </c>
      <c r="S213" s="3">
        <v>130.19999999999999</v>
      </c>
      <c r="T213" s="3">
        <v>140.5</v>
      </c>
      <c r="U213" s="3" t="s">
        <v>168</v>
      </c>
      <c r="V213" s="3">
        <v>136.69999999999999</v>
      </c>
      <c r="W213" s="3">
        <v>135.80000000000001</v>
      </c>
      <c r="X213" s="3">
        <v>136.80000000000001</v>
      </c>
      <c r="Y213" s="3">
        <v>121.2</v>
      </c>
      <c r="Z213" s="3">
        <v>131.30000000000001</v>
      </c>
      <c r="AA213" s="3">
        <v>146.1</v>
      </c>
      <c r="AB213" s="3">
        <v>130.5</v>
      </c>
      <c r="AC213" s="3">
        <v>132.19999999999999</v>
      </c>
      <c r="AD213" s="3">
        <v>139</v>
      </c>
    </row>
    <row r="214" spans="1:30" ht="15" customHeight="1" x14ac:dyDescent="0.2">
      <c r="A214" s="3" t="s">
        <v>89</v>
      </c>
      <c r="B214" s="3">
        <v>2018</v>
      </c>
      <c r="C214" s="3" t="s">
        <v>107</v>
      </c>
      <c r="D214" s="3">
        <v>137.4</v>
      </c>
      <c r="E214" s="3">
        <v>149.19999999999999</v>
      </c>
      <c r="F214" s="3">
        <v>137.1</v>
      </c>
      <c r="G214" s="3">
        <v>141.80000000000001</v>
      </c>
      <c r="H214" s="3">
        <v>121.1</v>
      </c>
      <c r="I214" s="3">
        <v>142.80000000000001</v>
      </c>
      <c r="J214" s="3">
        <v>146.69999999999999</v>
      </c>
      <c r="K214" s="3">
        <v>119.1</v>
      </c>
      <c r="L214" s="3">
        <v>111.9</v>
      </c>
      <c r="M214" s="3">
        <v>140.9</v>
      </c>
      <c r="N214" s="3">
        <v>133.5</v>
      </c>
      <c r="O214" s="3">
        <v>154.5</v>
      </c>
      <c r="P214" s="3">
        <v>139.69999999999999</v>
      </c>
      <c r="Q214" s="3">
        <v>162.6</v>
      </c>
      <c r="R214" s="3">
        <v>148</v>
      </c>
      <c r="S214" s="3">
        <v>139.1</v>
      </c>
      <c r="T214" s="3">
        <v>146.69999999999999</v>
      </c>
      <c r="U214" s="3" t="s">
        <v>168</v>
      </c>
      <c r="V214" s="3">
        <v>145.1</v>
      </c>
      <c r="W214" s="3">
        <v>142.19999999999999</v>
      </c>
      <c r="X214" s="3">
        <v>142.1</v>
      </c>
      <c r="Y214" s="3">
        <v>125.5</v>
      </c>
      <c r="Z214" s="3">
        <v>136.5</v>
      </c>
      <c r="AA214" s="3">
        <v>147.80000000000001</v>
      </c>
      <c r="AB214" s="3">
        <v>132</v>
      </c>
      <c r="AC214" s="3">
        <v>136.30000000000001</v>
      </c>
      <c r="AD214" s="3">
        <v>140.80000000000001</v>
      </c>
    </row>
    <row r="215" spans="1:30" ht="15" customHeight="1" x14ac:dyDescent="0.2">
      <c r="A215" s="3" t="s">
        <v>84</v>
      </c>
      <c r="B215" s="3">
        <v>2018</v>
      </c>
      <c r="C215" s="3" t="s">
        <v>109</v>
      </c>
      <c r="D215" s="3">
        <v>137.1</v>
      </c>
      <c r="E215" s="3">
        <v>151.9</v>
      </c>
      <c r="F215" s="3">
        <v>137.4</v>
      </c>
      <c r="G215" s="3">
        <v>142.4</v>
      </c>
      <c r="H215" s="3">
        <v>124.2</v>
      </c>
      <c r="I215" s="3">
        <v>140.19999999999999</v>
      </c>
      <c r="J215" s="3">
        <v>136.6</v>
      </c>
      <c r="K215" s="3">
        <v>120.9</v>
      </c>
      <c r="L215" s="3">
        <v>109.9</v>
      </c>
      <c r="M215" s="3">
        <v>140.19999999999999</v>
      </c>
      <c r="N215" s="3">
        <v>137.80000000000001</v>
      </c>
      <c r="O215" s="3">
        <v>156</v>
      </c>
      <c r="P215" s="3">
        <v>138.5</v>
      </c>
      <c r="Q215" s="3">
        <v>162.4</v>
      </c>
      <c r="R215" s="3">
        <v>151.6</v>
      </c>
      <c r="S215" s="3">
        <v>145.9</v>
      </c>
      <c r="T215" s="3">
        <v>150.80000000000001</v>
      </c>
      <c r="V215" s="3">
        <v>149</v>
      </c>
      <c r="W215" s="3">
        <v>149.5</v>
      </c>
      <c r="X215" s="3">
        <v>149.6</v>
      </c>
      <c r="Y215" s="3">
        <v>128.9</v>
      </c>
      <c r="Z215" s="3">
        <v>143.30000000000001</v>
      </c>
      <c r="AA215" s="3">
        <v>155.1</v>
      </c>
      <c r="AB215" s="3">
        <v>133.19999999999999</v>
      </c>
      <c r="AC215" s="3">
        <v>141.6</v>
      </c>
      <c r="AD215" s="3">
        <v>141.9</v>
      </c>
    </row>
    <row r="216" spans="1:30" ht="15" customHeight="1" x14ac:dyDescent="0.2">
      <c r="A216" s="3" t="s">
        <v>87</v>
      </c>
      <c r="B216" s="3">
        <v>2018</v>
      </c>
      <c r="C216" s="3" t="s">
        <v>109</v>
      </c>
      <c r="D216" s="3">
        <v>138.5</v>
      </c>
      <c r="E216" s="3">
        <v>147.80000000000001</v>
      </c>
      <c r="F216" s="3">
        <v>141.1</v>
      </c>
      <c r="G216" s="3">
        <v>141.6</v>
      </c>
      <c r="H216" s="3">
        <v>118.1</v>
      </c>
      <c r="I216" s="3">
        <v>138.5</v>
      </c>
      <c r="J216" s="3">
        <v>132.4</v>
      </c>
      <c r="K216" s="3">
        <v>117.5</v>
      </c>
      <c r="L216" s="3">
        <v>111</v>
      </c>
      <c r="M216" s="3">
        <v>141.5</v>
      </c>
      <c r="N216" s="3">
        <v>128.1</v>
      </c>
      <c r="O216" s="3">
        <v>152.9</v>
      </c>
      <c r="P216" s="3">
        <v>137.6</v>
      </c>
      <c r="Q216" s="3">
        <v>164.6</v>
      </c>
      <c r="R216" s="3">
        <v>142.69999999999999</v>
      </c>
      <c r="S216" s="3">
        <v>130.30000000000001</v>
      </c>
      <c r="T216" s="3">
        <v>140.80000000000001</v>
      </c>
      <c r="U216" s="3" t="s">
        <v>169</v>
      </c>
      <c r="V216" s="3">
        <v>132.4</v>
      </c>
      <c r="W216" s="3">
        <v>136.19999999999999</v>
      </c>
      <c r="X216" s="3">
        <v>137.30000000000001</v>
      </c>
      <c r="Y216" s="3">
        <v>118.8</v>
      </c>
      <c r="Z216" s="3">
        <v>131.69999999999999</v>
      </c>
      <c r="AA216" s="3">
        <v>146.5</v>
      </c>
      <c r="AB216" s="3">
        <v>130.80000000000001</v>
      </c>
      <c r="AC216" s="3">
        <v>131.69999999999999</v>
      </c>
      <c r="AD216" s="3">
        <v>138</v>
      </c>
    </row>
    <row r="217" spans="1:30" ht="15" customHeight="1" x14ac:dyDescent="0.2">
      <c r="A217" s="3" t="s">
        <v>89</v>
      </c>
      <c r="B217" s="3">
        <v>2018</v>
      </c>
      <c r="C217" s="3" t="s">
        <v>109</v>
      </c>
      <c r="D217" s="3">
        <v>137.5</v>
      </c>
      <c r="E217" s="3">
        <v>150.5</v>
      </c>
      <c r="F217" s="3">
        <v>138.80000000000001</v>
      </c>
      <c r="G217" s="3">
        <v>142.1</v>
      </c>
      <c r="H217" s="3">
        <v>122</v>
      </c>
      <c r="I217" s="3">
        <v>139.4</v>
      </c>
      <c r="J217" s="3">
        <v>135.19999999999999</v>
      </c>
      <c r="K217" s="3">
        <v>119.8</v>
      </c>
      <c r="L217" s="3">
        <v>110.3</v>
      </c>
      <c r="M217" s="3">
        <v>140.6</v>
      </c>
      <c r="N217" s="3">
        <v>133.80000000000001</v>
      </c>
      <c r="O217" s="3">
        <v>154.6</v>
      </c>
      <c r="P217" s="3">
        <v>138.19999999999999</v>
      </c>
      <c r="Q217" s="3">
        <v>163</v>
      </c>
      <c r="R217" s="3">
        <v>148.1</v>
      </c>
      <c r="S217" s="3">
        <v>139.4</v>
      </c>
      <c r="T217" s="3">
        <v>146.80000000000001</v>
      </c>
      <c r="U217" s="3" t="s">
        <v>169</v>
      </c>
      <c r="V217" s="3">
        <v>142.69999999999999</v>
      </c>
      <c r="W217" s="3">
        <v>143.19999999999999</v>
      </c>
      <c r="X217" s="3">
        <v>144.9</v>
      </c>
      <c r="Y217" s="3">
        <v>123.6</v>
      </c>
      <c r="Z217" s="3">
        <v>136.80000000000001</v>
      </c>
      <c r="AA217" s="3">
        <v>150.1</v>
      </c>
      <c r="AB217" s="3">
        <v>132.19999999999999</v>
      </c>
      <c r="AC217" s="3">
        <v>136.80000000000001</v>
      </c>
      <c r="AD217" s="3">
        <v>140.1</v>
      </c>
    </row>
    <row r="218" spans="1:30" ht="15" customHeight="1" x14ac:dyDescent="0.2">
      <c r="A218" s="3" t="s">
        <v>84</v>
      </c>
      <c r="B218" s="3">
        <v>2019</v>
      </c>
      <c r="C218" s="3" t="s">
        <v>85</v>
      </c>
      <c r="D218" s="3">
        <v>136.6</v>
      </c>
      <c r="E218" s="3">
        <v>152.5</v>
      </c>
      <c r="F218" s="3">
        <v>138.19999999999999</v>
      </c>
      <c r="G218" s="3">
        <v>142.4</v>
      </c>
      <c r="H218" s="3">
        <v>123.9</v>
      </c>
      <c r="I218" s="3">
        <v>135.5</v>
      </c>
      <c r="J218" s="3">
        <v>131.69999999999999</v>
      </c>
      <c r="K218" s="3">
        <v>121.3</v>
      </c>
      <c r="L218" s="3">
        <v>108.4</v>
      </c>
      <c r="M218" s="3">
        <v>138.9</v>
      </c>
      <c r="N218" s="3">
        <v>137</v>
      </c>
      <c r="O218" s="3">
        <v>155.80000000000001</v>
      </c>
      <c r="P218" s="3">
        <v>137.4</v>
      </c>
      <c r="Q218" s="3">
        <v>162.69999999999999</v>
      </c>
      <c r="R218" s="3">
        <v>150.6</v>
      </c>
      <c r="S218" s="3">
        <v>145.1</v>
      </c>
      <c r="T218" s="3">
        <v>149.9</v>
      </c>
      <c r="V218" s="3">
        <v>146.19999999999999</v>
      </c>
      <c r="W218" s="3">
        <v>150.1</v>
      </c>
      <c r="X218" s="3">
        <v>149.6</v>
      </c>
      <c r="Y218" s="3">
        <v>128.6</v>
      </c>
      <c r="Z218" s="3">
        <v>142.9</v>
      </c>
      <c r="AA218" s="3">
        <v>155.19999999999999</v>
      </c>
      <c r="AB218" s="3">
        <v>133.5</v>
      </c>
      <c r="AC218" s="3">
        <v>141.69999999999999</v>
      </c>
      <c r="AD218" s="3">
        <v>141</v>
      </c>
    </row>
    <row r="219" spans="1:30" ht="15" customHeight="1" x14ac:dyDescent="0.2">
      <c r="A219" s="3" t="s">
        <v>87</v>
      </c>
      <c r="B219" s="3">
        <v>2019</v>
      </c>
      <c r="C219" s="3" t="s">
        <v>85</v>
      </c>
      <c r="D219" s="3">
        <v>138.30000000000001</v>
      </c>
      <c r="E219" s="3">
        <v>149.4</v>
      </c>
      <c r="F219" s="3">
        <v>143.5</v>
      </c>
      <c r="G219" s="3">
        <v>141.69999999999999</v>
      </c>
      <c r="H219" s="3">
        <v>118.1</v>
      </c>
      <c r="I219" s="3">
        <v>135.19999999999999</v>
      </c>
      <c r="J219" s="3">
        <v>130.5</v>
      </c>
      <c r="K219" s="3">
        <v>118.2</v>
      </c>
      <c r="L219" s="3">
        <v>110.4</v>
      </c>
      <c r="M219" s="3">
        <v>140.4</v>
      </c>
      <c r="N219" s="3">
        <v>128.1</v>
      </c>
      <c r="O219" s="3">
        <v>153.19999999999999</v>
      </c>
      <c r="P219" s="3">
        <v>137.30000000000001</v>
      </c>
      <c r="Q219" s="3">
        <v>164.7</v>
      </c>
      <c r="R219" s="3">
        <v>143</v>
      </c>
      <c r="S219" s="3">
        <v>130.4</v>
      </c>
      <c r="T219" s="3">
        <v>141.1</v>
      </c>
      <c r="U219" s="3" t="s">
        <v>170</v>
      </c>
      <c r="V219" s="3">
        <v>128.6</v>
      </c>
      <c r="W219" s="3">
        <v>136.30000000000001</v>
      </c>
      <c r="X219" s="3">
        <v>137.80000000000001</v>
      </c>
      <c r="Y219" s="3">
        <v>118.6</v>
      </c>
      <c r="Z219" s="3">
        <v>131.9</v>
      </c>
      <c r="AA219" s="3">
        <v>146.6</v>
      </c>
      <c r="AB219" s="3">
        <v>131.69999999999999</v>
      </c>
      <c r="AC219" s="3">
        <v>131.80000000000001</v>
      </c>
      <c r="AD219" s="3">
        <v>138</v>
      </c>
    </row>
    <row r="220" spans="1:30" ht="15" customHeight="1" x14ac:dyDescent="0.2">
      <c r="A220" s="3" t="s">
        <v>89</v>
      </c>
      <c r="B220" s="3">
        <v>2019</v>
      </c>
      <c r="C220" s="3" t="s">
        <v>85</v>
      </c>
      <c r="D220" s="3">
        <v>137.1</v>
      </c>
      <c r="E220" s="3">
        <v>151.4</v>
      </c>
      <c r="F220" s="3">
        <v>140.19999999999999</v>
      </c>
      <c r="G220" s="3">
        <v>142.1</v>
      </c>
      <c r="H220" s="3">
        <v>121.8</v>
      </c>
      <c r="I220" s="3">
        <v>135.4</v>
      </c>
      <c r="J220" s="3">
        <v>131.30000000000001</v>
      </c>
      <c r="K220" s="3">
        <v>120.3</v>
      </c>
      <c r="L220" s="3">
        <v>109.1</v>
      </c>
      <c r="M220" s="3">
        <v>139.4</v>
      </c>
      <c r="N220" s="3">
        <v>133.30000000000001</v>
      </c>
      <c r="O220" s="3">
        <v>154.6</v>
      </c>
      <c r="P220" s="3">
        <v>137.4</v>
      </c>
      <c r="Q220" s="3">
        <v>163.19999999999999</v>
      </c>
      <c r="R220" s="3">
        <v>147.6</v>
      </c>
      <c r="S220" s="3">
        <v>139</v>
      </c>
      <c r="T220" s="3">
        <v>146.4</v>
      </c>
      <c r="U220" s="3" t="s">
        <v>170</v>
      </c>
      <c r="V220" s="3">
        <v>139.5</v>
      </c>
      <c r="W220" s="3">
        <v>143.6</v>
      </c>
      <c r="X220" s="3">
        <v>145.1</v>
      </c>
      <c r="Y220" s="3">
        <v>123.3</v>
      </c>
      <c r="Z220" s="3">
        <v>136.69999999999999</v>
      </c>
      <c r="AA220" s="3">
        <v>150.19999999999999</v>
      </c>
      <c r="AB220" s="3">
        <v>132.80000000000001</v>
      </c>
      <c r="AC220" s="3">
        <v>136.9</v>
      </c>
      <c r="AD220" s="3">
        <v>139.6</v>
      </c>
    </row>
    <row r="221" spans="1:30" ht="15" customHeight="1" x14ac:dyDescent="0.2">
      <c r="A221" s="3" t="s">
        <v>84</v>
      </c>
      <c r="B221" s="3">
        <v>2019</v>
      </c>
      <c r="C221" s="3" t="s">
        <v>90</v>
      </c>
      <c r="D221" s="3">
        <v>136.80000000000001</v>
      </c>
      <c r="E221" s="3">
        <v>153</v>
      </c>
      <c r="F221" s="3">
        <v>139.1</v>
      </c>
      <c r="G221" s="3">
        <v>142.5</v>
      </c>
      <c r="H221" s="3">
        <v>124.1</v>
      </c>
      <c r="I221" s="3">
        <v>135.80000000000001</v>
      </c>
      <c r="J221" s="3">
        <v>128.69999999999999</v>
      </c>
      <c r="K221" s="3">
        <v>121.5</v>
      </c>
      <c r="L221" s="3">
        <v>108.3</v>
      </c>
      <c r="M221" s="3">
        <v>139.19999999999999</v>
      </c>
      <c r="N221" s="3">
        <v>137.4</v>
      </c>
      <c r="O221" s="3">
        <v>156.19999999999999</v>
      </c>
      <c r="P221" s="3">
        <v>137.19999999999999</v>
      </c>
      <c r="Q221" s="3">
        <v>162.80000000000001</v>
      </c>
      <c r="R221" s="3">
        <v>150.5</v>
      </c>
      <c r="S221" s="3">
        <v>146.1</v>
      </c>
      <c r="T221" s="3">
        <v>149.9</v>
      </c>
      <c r="V221" s="3">
        <v>145.30000000000001</v>
      </c>
      <c r="W221" s="3">
        <v>150.1</v>
      </c>
      <c r="X221" s="3">
        <v>149.9</v>
      </c>
      <c r="Y221" s="3">
        <v>129.19999999999999</v>
      </c>
      <c r="Z221" s="3">
        <v>143.4</v>
      </c>
      <c r="AA221" s="3">
        <v>155.5</v>
      </c>
      <c r="AB221" s="3">
        <v>134.9</v>
      </c>
      <c r="AC221" s="3">
        <v>142.19999999999999</v>
      </c>
      <c r="AD221" s="3">
        <v>141</v>
      </c>
    </row>
    <row r="222" spans="1:30" ht="15" customHeight="1" x14ac:dyDescent="0.2">
      <c r="A222" s="3" t="s">
        <v>87</v>
      </c>
      <c r="B222" s="3">
        <v>2019</v>
      </c>
      <c r="C222" s="3" t="s">
        <v>90</v>
      </c>
      <c r="D222" s="3">
        <v>139.4</v>
      </c>
      <c r="E222" s="3">
        <v>150.1</v>
      </c>
      <c r="F222" s="3">
        <v>145.30000000000001</v>
      </c>
      <c r="G222" s="3">
        <v>141.69999999999999</v>
      </c>
      <c r="H222" s="3">
        <v>118.4</v>
      </c>
      <c r="I222" s="3">
        <v>137</v>
      </c>
      <c r="J222" s="3">
        <v>131.6</v>
      </c>
      <c r="K222" s="3">
        <v>119.9</v>
      </c>
      <c r="L222" s="3">
        <v>110.4</v>
      </c>
      <c r="M222" s="3">
        <v>140.80000000000001</v>
      </c>
      <c r="N222" s="3">
        <v>128.30000000000001</v>
      </c>
      <c r="O222" s="3">
        <v>153.5</v>
      </c>
      <c r="P222" s="3">
        <v>138</v>
      </c>
      <c r="Q222" s="3">
        <v>164.9</v>
      </c>
      <c r="R222" s="3">
        <v>143.30000000000001</v>
      </c>
      <c r="S222" s="3">
        <v>130.80000000000001</v>
      </c>
      <c r="T222" s="3">
        <v>141.4</v>
      </c>
      <c r="U222" s="3" t="s">
        <v>171</v>
      </c>
      <c r="V222" s="3">
        <v>127.1</v>
      </c>
      <c r="W222" s="3">
        <v>136.6</v>
      </c>
      <c r="X222" s="3">
        <v>138.5</v>
      </c>
      <c r="Y222" s="3">
        <v>119.2</v>
      </c>
      <c r="Z222" s="3">
        <v>132.19999999999999</v>
      </c>
      <c r="AA222" s="3">
        <v>146.6</v>
      </c>
      <c r="AB222" s="3">
        <v>133</v>
      </c>
      <c r="AC222" s="3">
        <v>132.4</v>
      </c>
      <c r="AD222" s="3">
        <v>138.6</v>
      </c>
    </row>
    <row r="223" spans="1:30" ht="15" customHeight="1" x14ac:dyDescent="0.2">
      <c r="A223" s="3" t="s">
        <v>89</v>
      </c>
      <c r="B223" s="3">
        <v>2019</v>
      </c>
      <c r="C223" s="3" t="s">
        <v>90</v>
      </c>
      <c r="D223" s="3">
        <v>137.6</v>
      </c>
      <c r="E223" s="3">
        <v>152</v>
      </c>
      <c r="F223" s="3">
        <v>141.5</v>
      </c>
      <c r="G223" s="3">
        <v>142.19999999999999</v>
      </c>
      <c r="H223" s="3">
        <v>122</v>
      </c>
      <c r="I223" s="3">
        <v>136.4</v>
      </c>
      <c r="J223" s="3">
        <v>129.69999999999999</v>
      </c>
      <c r="K223" s="3">
        <v>121</v>
      </c>
      <c r="L223" s="3">
        <v>109</v>
      </c>
      <c r="M223" s="3">
        <v>139.69999999999999</v>
      </c>
      <c r="N223" s="3">
        <v>133.6</v>
      </c>
      <c r="O223" s="3">
        <v>154.9</v>
      </c>
      <c r="P223" s="3">
        <v>137.5</v>
      </c>
      <c r="Q223" s="3">
        <v>163.4</v>
      </c>
      <c r="R223" s="3">
        <v>147.69999999999999</v>
      </c>
      <c r="S223" s="3">
        <v>139.69999999999999</v>
      </c>
      <c r="T223" s="3">
        <v>146.5</v>
      </c>
      <c r="U223" s="3" t="s">
        <v>171</v>
      </c>
      <c r="V223" s="3">
        <v>138.4</v>
      </c>
      <c r="W223" s="3">
        <v>143.69999999999999</v>
      </c>
      <c r="X223" s="3">
        <v>145.6</v>
      </c>
      <c r="Y223" s="3">
        <v>123.9</v>
      </c>
      <c r="Z223" s="3">
        <v>137.1</v>
      </c>
      <c r="AA223" s="3">
        <v>150.30000000000001</v>
      </c>
      <c r="AB223" s="3">
        <v>134.1</v>
      </c>
      <c r="AC223" s="3">
        <v>137.4</v>
      </c>
      <c r="AD223" s="3">
        <v>139.9</v>
      </c>
    </row>
    <row r="224" spans="1:30" ht="15" customHeight="1" x14ac:dyDescent="0.2">
      <c r="A224" s="3" t="s">
        <v>84</v>
      </c>
      <c r="B224" s="3">
        <v>2019</v>
      </c>
      <c r="C224" s="3" t="s">
        <v>92</v>
      </c>
      <c r="D224" s="3">
        <v>136.9</v>
      </c>
      <c r="E224" s="3">
        <v>154.1</v>
      </c>
      <c r="F224" s="3">
        <v>138.69999999999999</v>
      </c>
      <c r="G224" s="3">
        <v>142.5</v>
      </c>
      <c r="H224" s="3">
        <v>124.1</v>
      </c>
      <c r="I224" s="3">
        <v>136.1</v>
      </c>
      <c r="J224" s="3">
        <v>128.19999999999999</v>
      </c>
      <c r="K224" s="3">
        <v>122.3</v>
      </c>
      <c r="L224" s="3">
        <v>108.3</v>
      </c>
      <c r="M224" s="3">
        <v>138.9</v>
      </c>
      <c r="N224" s="3">
        <v>137.4</v>
      </c>
      <c r="O224" s="3">
        <v>156.4</v>
      </c>
      <c r="P224" s="3">
        <v>137.30000000000001</v>
      </c>
      <c r="Q224" s="3">
        <v>162.9</v>
      </c>
      <c r="R224" s="3">
        <v>150.80000000000001</v>
      </c>
      <c r="S224" s="3">
        <v>146.1</v>
      </c>
      <c r="T224" s="3">
        <v>150.1</v>
      </c>
      <c r="V224" s="3">
        <v>146.4</v>
      </c>
      <c r="W224" s="3">
        <v>150</v>
      </c>
      <c r="X224" s="3">
        <v>150.4</v>
      </c>
      <c r="Y224" s="3">
        <v>129.9</v>
      </c>
      <c r="Z224" s="3">
        <v>143.80000000000001</v>
      </c>
      <c r="AA224" s="3">
        <v>155.5</v>
      </c>
      <c r="AB224" s="3">
        <v>134</v>
      </c>
      <c r="AC224" s="3">
        <v>142.4</v>
      </c>
      <c r="AD224" s="3">
        <v>141.19999999999999</v>
      </c>
    </row>
    <row r="225" spans="1:30" ht="15" customHeight="1" x14ac:dyDescent="0.2">
      <c r="A225" s="3" t="s">
        <v>87</v>
      </c>
      <c r="B225" s="3">
        <v>2019</v>
      </c>
      <c r="C225" s="3" t="s">
        <v>92</v>
      </c>
      <c r="D225" s="3">
        <v>139.69999999999999</v>
      </c>
      <c r="E225" s="3">
        <v>151.1</v>
      </c>
      <c r="F225" s="3">
        <v>142.9</v>
      </c>
      <c r="G225" s="3">
        <v>141.9</v>
      </c>
      <c r="H225" s="3">
        <v>118.4</v>
      </c>
      <c r="I225" s="3">
        <v>139.4</v>
      </c>
      <c r="J225" s="3">
        <v>141.19999999999999</v>
      </c>
      <c r="K225" s="3">
        <v>120.7</v>
      </c>
      <c r="L225" s="3">
        <v>110.4</v>
      </c>
      <c r="M225" s="3">
        <v>140.69999999999999</v>
      </c>
      <c r="N225" s="3">
        <v>128.5</v>
      </c>
      <c r="O225" s="3">
        <v>153.9</v>
      </c>
      <c r="P225" s="3">
        <v>139.6</v>
      </c>
      <c r="Q225" s="3">
        <v>165.3</v>
      </c>
      <c r="R225" s="3">
        <v>143.5</v>
      </c>
      <c r="S225" s="3">
        <v>131.19999999999999</v>
      </c>
      <c r="T225" s="3">
        <v>141.6</v>
      </c>
      <c r="U225" s="3" t="s">
        <v>172</v>
      </c>
      <c r="V225" s="3">
        <v>128.80000000000001</v>
      </c>
      <c r="W225" s="3">
        <v>136.80000000000001</v>
      </c>
      <c r="X225" s="3">
        <v>139.19999999999999</v>
      </c>
      <c r="Y225" s="3">
        <v>119.9</v>
      </c>
      <c r="Z225" s="3">
        <v>133</v>
      </c>
      <c r="AA225" s="3">
        <v>146.69999999999999</v>
      </c>
      <c r="AB225" s="3">
        <v>132.5</v>
      </c>
      <c r="AC225" s="3">
        <v>132.80000000000001</v>
      </c>
      <c r="AD225" s="3">
        <v>139.5</v>
      </c>
    </row>
    <row r="226" spans="1:30" ht="15" customHeight="1" x14ac:dyDescent="0.2">
      <c r="A226" s="3" t="s">
        <v>89</v>
      </c>
      <c r="B226" s="3">
        <v>2019</v>
      </c>
      <c r="C226" s="3" t="s">
        <v>92</v>
      </c>
      <c r="D226" s="3">
        <v>137.80000000000001</v>
      </c>
      <c r="E226" s="3">
        <v>153</v>
      </c>
      <c r="F226" s="3">
        <v>140.30000000000001</v>
      </c>
      <c r="G226" s="3">
        <v>142.30000000000001</v>
      </c>
      <c r="H226" s="3">
        <v>122</v>
      </c>
      <c r="I226" s="3">
        <v>137.6</v>
      </c>
      <c r="J226" s="3">
        <v>132.6</v>
      </c>
      <c r="K226" s="3">
        <v>121.8</v>
      </c>
      <c r="L226" s="3">
        <v>109</v>
      </c>
      <c r="M226" s="3">
        <v>139.5</v>
      </c>
      <c r="N226" s="3">
        <v>133.69999999999999</v>
      </c>
      <c r="O226" s="3">
        <v>155.19999999999999</v>
      </c>
      <c r="P226" s="3">
        <v>138.1</v>
      </c>
      <c r="Q226" s="3">
        <v>163.5</v>
      </c>
      <c r="R226" s="3">
        <v>147.9</v>
      </c>
      <c r="S226" s="3">
        <v>139.9</v>
      </c>
      <c r="T226" s="3">
        <v>146.69999999999999</v>
      </c>
      <c r="U226" s="3" t="s">
        <v>172</v>
      </c>
      <c r="V226" s="3">
        <v>139.69999999999999</v>
      </c>
      <c r="W226" s="3">
        <v>143.80000000000001</v>
      </c>
      <c r="X226" s="3">
        <v>146.19999999999999</v>
      </c>
      <c r="Y226" s="3">
        <v>124.6</v>
      </c>
      <c r="Z226" s="3">
        <v>137.69999999999999</v>
      </c>
      <c r="AA226" s="3">
        <v>150.30000000000001</v>
      </c>
      <c r="AB226" s="3">
        <v>133.4</v>
      </c>
      <c r="AC226" s="3">
        <v>137.69999999999999</v>
      </c>
      <c r="AD226" s="3">
        <v>140.4</v>
      </c>
    </row>
    <row r="227" spans="1:30" ht="15" customHeight="1" x14ac:dyDescent="0.2">
      <c r="A227" s="3" t="s">
        <v>84</v>
      </c>
      <c r="B227" s="3">
        <v>2019</v>
      </c>
      <c r="C227" s="3" t="s">
        <v>95</v>
      </c>
      <c r="D227" s="3">
        <v>137.4</v>
      </c>
      <c r="E227" s="3">
        <v>159.5</v>
      </c>
      <c r="F227" s="3">
        <v>134.5</v>
      </c>
      <c r="G227" s="3">
        <v>142.6</v>
      </c>
      <c r="H227" s="3">
        <v>124</v>
      </c>
      <c r="I227" s="3">
        <v>143.69999999999999</v>
      </c>
      <c r="J227" s="3">
        <v>133.4</v>
      </c>
      <c r="K227" s="3">
        <v>125.1</v>
      </c>
      <c r="L227" s="3">
        <v>109.3</v>
      </c>
      <c r="M227" s="3">
        <v>139.30000000000001</v>
      </c>
      <c r="N227" s="3">
        <v>137.69999999999999</v>
      </c>
      <c r="O227" s="3">
        <v>156.4</v>
      </c>
      <c r="P227" s="3">
        <v>139.19999999999999</v>
      </c>
      <c r="Q227" s="3">
        <v>163.30000000000001</v>
      </c>
      <c r="R227" s="3">
        <v>151.30000000000001</v>
      </c>
      <c r="S227" s="3">
        <v>146.6</v>
      </c>
      <c r="T227" s="3">
        <v>150.69999999999999</v>
      </c>
      <c r="V227" s="3">
        <v>146.9</v>
      </c>
      <c r="W227" s="3">
        <v>149.5</v>
      </c>
      <c r="X227" s="3">
        <v>151.30000000000001</v>
      </c>
      <c r="Y227" s="3">
        <v>130.19999999999999</v>
      </c>
      <c r="Z227" s="3">
        <v>145.9</v>
      </c>
      <c r="AA227" s="3">
        <v>156.69999999999999</v>
      </c>
      <c r="AB227" s="3">
        <v>133.9</v>
      </c>
      <c r="AC227" s="3">
        <v>142.9</v>
      </c>
      <c r="AD227" s="3">
        <v>142.4</v>
      </c>
    </row>
    <row r="228" spans="1:30" ht="15" customHeight="1" x14ac:dyDescent="0.2">
      <c r="A228" s="3" t="s">
        <v>87</v>
      </c>
      <c r="B228" s="3">
        <v>2019</v>
      </c>
      <c r="C228" s="3" t="s">
        <v>95</v>
      </c>
      <c r="D228" s="3">
        <v>140.4</v>
      </c>
      <c r="E228" s="3">
        <v>156.69999999999999</v>
      </c>
      <c r="F228" s="3">
        <v>138.30000000000001</v>
      </c>
      <c r="G228" s="3">
        <v>142.4</v>
      </c>
      <c r="H228" s="3">
        <v>118.6</v>
      </c>
      <c r="I228" s="3">
        <v>149.69999999999999</v>
      </c>
      <c r="J228" s="3">
        <v>161.6</v>
      </c>
      <c r="K228" s="3">
        <v>124.4</v>
      </c>
      <c r="L228" s="3">
        <v>111.2</v>
      </c>
      <c r="M228" s="3">
        <v>141</v>
      </c>
      <c r="N228" s="3">
        <v>128.9</v>
      </c>
      <c r="O228" s="3">
        <v>154.5</v>
      </c>
      <c r="P228" s="3">
        <v>143.80000000000001</v>
      </c>
      <c r="Q228" s="3">
        <v>166.2</v>
      </c>
      <c r="R228" s="3">
        <v>144</v>
      </c>
      <c r="S228" s="3">
        <v>131.69999999999999</v>
      </c>
      <c r="T228" s="3">
        <v>142.19999999999999</v>
      </c>
      <c r="U228" s="3" t="s">
        <v>173</v>
      </c>
      <c r="V228" s="3">
        <v>129.4</v>
      </c>
      <c r="W228" s="3">
        <v>137.19999999999999</v>
      </c>
      <c r="X228" s="3">
        <v>139.80000000000001</v>
      </c>
      <c r="Y228" s="3">
        <v>120.1</v>
      </c>
      <c r="Z228" s="3">
        <v>134</v>
      </c>
      <c r="AA228" s="3">
        <v>148</v>
      </c>
      <c r="AB228" s="3">
        <v>132.6</v>
      </c>
      <c r="AC228" s="3">
        <v>133.30000000000001</v>
      </c>
      <c r="AD228" s="3">
        <v>141.5</v>
      </c>
    </row>
    <row r="229" spans="1:30" ht="15" customHeight="1" x14ac:dyDescent="0.2">
      <c r="A229" s="3" t="s">
        <v>89</v>
      </c>
      <c r="B229" s="3">
        <v>2019</v>
      </c>
      <c r="C229" s="3" t="s">
        <v>95</v>
      </c>
      <c r="D229" s="3">
        <v>138.30000000000001</v>
      </c>
      <c r="E229" s="3">
        <v>158.5</v>
      </c>
      <c r="F229" s="3">
        <v>136</v>
      </c>
      <c r="G229" s="3">
        <v>142.5</v>
      </c>
      <c r="H229" s="3">
        <v>122</v>
      </c>
      <c r="I229" s="3">
        <v>146.5</v>
      </c>
      <c r="J229" s="3">
        <v>143</v>
      </c>
      <c r="K229" s="3">
        <v>124.9</v>
      </c>
      <c r="L229" s="3">
        <v>109.9</v>
      </c>
      <c r="M229" s="3">
        <v>139.9</v>
      </c>
      <c r="N229" s="3">
        <v>134</v>
      </c>
      <c r="O229" s="3">
        <v>155.5</v>
      </c>
      <c r="P229" s="3">
        <v>140.9</v>
      </c>
      <c r="Q229" s="3">
        <v>164.1</v>
      </c>
      <c r="R229" s="3">
        <v>148.4</v>
      </c>
      <c r="S229" s="3">
        <v>140.4</v>
      </c>
      <c r="T229" s="3">
        <v>147.30000000000001</v>
      </c>
      <c r="U229" s="3" t="s">
        <v>173</v>
      </c>
      <c r="V229" s="3">
        <v>140.30000000000001</v>
      </c>
      <c r="W229" s="3">
        <v>143.69999999999999</v>
      </c>
      <c r="X229" s="3">
        <v>146.9</v>
      </c>
      <c r="Y229" s="3">
        <v>124.9</v>
      </c>
      <c r="Z229" s="3">
        <v>139.19999999999999</v>
      </c>
      <c r="AA229" s="3">
        <v>151.6</v>
      </c>
      <c r="AB229" s="3">
        <v>133.4</v>
      </c>
      <c r="AC229" s="3">
        <v>138.19999999999999</v>
      </c>
      <c r="AD229" s="3">
        <v>142</v>
      </c>
    </row>
    <row r="230" spans="1:30" ht="15" customHeight="1" x14ac:dyDescent="0.2">
      <c r="A230" s="3" t="s">
        <v>84</v>
      </c>
      <c r="B230" s="3">
        <v>2019</v>
      </c>
      <c r="C230" s="3" t="s">
        <v>96</v>
      </c>
      <c r="D230" s="3">
        <v>137.80000000000001</v>
      </c>
      <c r="E230" s="3">
        <v>163.5</v>
      </c>
      <c r="F230" s="3">
        <v>136.19999999999999</v>
      </c>
      <c r="G230" s="3">
        <v>143.19999999999999</v>
      </c>
      <c r="H230" s="3">
        <v>124.3</v>
      </c>
      <c r="I230" s="3">
        <v>143.30000000000001</v>
      </c>
      <c r="J230" s="3">
        <v>140.6</v>
      </c>
      <c r="K230" s="3">
        <v>128.69999999999999</v>
      </c>
      <c r="L230" s="3">
        <v>110.6</v>
      </c>
      <c r="M230" s="3">
        <v>140.4</v>
      </c>
      <c r="N230" s="3">
        <v>138</v>
      </c>
      <c r="O230" s="3">
        <v>156.6</v>
      </c>
      <c r="P230" s="3">
        <v>141</v>
      </c>
      <c r="Q230" s="3">
        <v>164.2</v>
      </c>
      <c r="R230" s="3">
        <v>151.4</v>
      </c>
      <c r="S230" s="3">
        <v>146.5</v>
      </c>
      <c r="T230" s="3">
        <v>150.69999999999999</v>
      </c>
      <c r="V230" s="3">
        <v>147.80000000000001</v>
      </c>
      <c r="W230" s="3">
        <v>149.6</v>
      </c>
      <c r="X230" s="3">
        <v>151.69999999999999</v>
      </c>
      <c r="Y230" s="3">
        <v>130.19999999999999</v>
      </c>
      <c r="Z230" s="3">
        <v>146.4</v>
      </c>
      <c r="AA230" s="3">
        <v>157.69999999999999</v>
      </c>
      <c r="AB230" s="3">
        <v>134.80000000000001</v>
      </c>
      <c r="AC230" s="3">
        <v>143.30000000000001</v>
      </c>
      <c r="AD230" s="3">
        <v>143.6</v>
      </c>
    </row>
    <row r="231" spans="1:30" ht="15" customHeight="1" x14ac:dyDescent="0.2">
      <c r="A231" s="3" t="s">
        <v>87</v>
      </c>
      <c r="B231" s="3">
        <v>2019</v>
      </c>
      <c r="C231" s="3" t="s">
        <v>96</v>
      </c>
      <c r="D231" s="3">
        <v>140.69999999999999</v>
      </c>
      <c r="E231" s="3">
        <v>159.6</v>
      </c>
      <c r="F231" s="3">
        <v>140.4</v>
      </c>
      <c r="G231" s="3">
        <v>143.4</v>
      </c>
      <c r="H231" s="3">
        <v>118.6</v>
      </c>
      <c r="I231" s="3">
        <v>150.9</v>
      </c>
      <c r="J231" s="3">
        <v>169.8</v>
      </c>
      <c r="K231" s="3">
        <v>127.4</v>
      </c>
      <c r="L231" s="3">
        <v>111.8</v>
      </c>
      <c r="M231" s="3">
        <v>141</v>
      </c>
      <c r="N231" s="3">
        <v>129</v>
      </c>
      <c r="O231" s="3">
        <v>155.1</v>
      </c>
      <c r="P231" s="3">
        <v>145.6</v>
      </c>
      <c r="Q231" s="3">
        <v>166.7</v>
      </c>
      <c r="R231" s="3">
        <v>144.30000000000001</v>
      </c>
      <c r="S231" s="3">
        <v>131.69999999999999</v>
      </c>
      <c r="T231" s="3">
        <v>142.4</v>
      </c>
      <c r="U231" s="3" t="s">
        <v>174</v>
      </c>
      <c r="V231" s="3">
        <v>130.5</v>
      </c>
      <c r="W231" s="3">
        <v>137.4</v>
      </c>
      <c r="X231" s="3">
        <v>140.30000000000001</v>
      </c>
      <c r="Y231" s="3">
        <v>119.6</v>
      </c>
      <c r="Z231" s="3">
        <v>134.30000000000001</v>
      </c>
      <c r="AA231" s="3">
        <v>148.9</v>
      </c>
      <c r="AB231" s="3">
        <v>133.69999999999999</v>
      </c>
      <c r="AC231" s="3">
        <v>133.6</v>
      </c>
      <c r="AD231" s="3">
        <v>142.1</v>
      </c>
    </row>
    <row r="232" spans="1:30" ht="15" customHeight="1" x14ac:dyDescent="0.2">
      <c r="A232" s="3" t="s">
        <v>89</v>
      </c>
      <c r="B232" s="3">
        <v>2019</v>
      </c>
      <c r="C232" s="3" t="s">
        <v>96</v>
      </c>
      <c r="D232" s="3">
        <v>138.69999999999999</v>
      </c>
      <c r="E232" s="3">
        <v>162.1</v>
      </c>
      <c r="F232" s="3">
        <v>137.80000000000001</v>
      </c>
      <c r="G232" s="3">
        <v>143.30000000000001</v>
      </c>
      <c r="H232" s="3">
        <v>122.2</v>
      </c>
      <c r="I232" s="3">
        <v>146.80000000000001</v>
      </c>
      <c r="J232" s="3">
        <v>150.5</v>
      </c>
      <c r="K232" s="3">
        <v>128.30000000000001</v>
      </c>
      <c r="L232" s="3">
        <v>111</v>
      </c>
      <c r="M232" s="3">
        <v>140.6</v>
      </c>
      <c r="N232" s="3">
        <v>134.19999999999999</v>
      </c>
      <c r="O232" s="3">
        <v>155.9</v>
      </c>
      <c r="P232" s="3">
        <v>142.69999999999999</v>
      </c>
      <c r="Q232" s="3">
        <v>164.9</v>
      </c>
      <c r="R232" s="3">
        <v>148.6</v>
      </c>
      <c r="S232" s="3">
        <v>140.4</v>
      </c>
      <c r="T232" s="3">
        <v>147.4</v>
      </c>
      <c r="U232" s="3" t="s">
        <v>174</v>
      </c>
      <c r="V232" s="3">
        <v>141.19999999999999</v>
      </c>
      <c r="W232" s="3">
        <v>143.80000000000001</v>
      </c>
      <c r="X232" s="3">
        <v>147.4</v>
      </c>
      <c r="Y232" s="3">
        <v>124.6</v>
      </c>
      <c r="Z232" s="3">
        <v>139.6</v>
      </c>
      <c r="AA232" s="3">
        <v>152.5</v>
      </c>
      <c r="AB232" s="3">
        <v>134.30000000000001</v>
      </c>
      <c r="AC232" s="3">
        <v>138.6</v>
      </c>
      <c r="AD232" s="3">
        <v>142.9</v>
      </c>
    </row>
    <row r="233" spans="1:30" ht="15" customHeight="1" x14ac:dyDescent="0.2">
      <c r="A233" s="3" t="s">
        <v>84</v>
      </c>
      <c r="B233" s="3">
        <v>2019</v>
      </c>
      <c r="C233" s="3" t="s">
        <v>98</v>
      </c>
      <c r="D233" s="3">
        <v>138.4</v>
      </c>
      <c r="E233" s="3">
        <v>164</v>
      </c>
      <c r="F233" s="3">
        <v>138.4</v>
      </c>
      <c r="G233" s="3">
        <v>143.9</v>
      </c>
      <c r="H233" s="3">
        <v>124.4</v>
      </c>
      <c r="I233" s="3">
        <v>146.4</v>
      </c>
      <c r="J233" s="3">
        <v>150.1</v>
      </c>
      <c r="K233" s="3">
        <v>130.6</v>
      </c>
      <c r="L233" s="3">
        <v>110.8</v>
      </c>
      <c r="M233" s="3">
        <v>141.69999999999999</v>
      </c>
      <c r="N233" s="3">
        <v>138.5</v>
      </c>
      <c r="O233" s="3">
        <v>156.69999999999999</v>
      </c>
      <c r="P233" s="3">
        <v>143</v>
      </c>
      <c r="Q233" s="3">
        <v>164.5</v>
      </c>
      <c r="R233" s="3">
        <v>151.6</v>
      </c>
      <c r="S233" s="3">
        <v>146.6</v>
      </c>
      <c r="T233" s="3">
        <v>150.9</v>
      </c>
      <c r="V233" s="3">
        <v>146.80000000000001</v>
      </c>
      <c r="W233" s="3">
        <v>150</v>
      </c>
      <c r="X233" s="3">
        <v>152.19999999999999</v>
      </c>
      <c r="Y233" s="3">
        <v>131.19999999999999</v>
      </c>
      <c r="Z233" s="3">
        <v>147.5</v>
      </c>
      <c r="AA233" s="3">
        <v>159.1</v>
      </c>
      <c r="AB233" s="3">
        <v>136.1</v>
      </c>
      <c r="AC233" s="3">
        <v>144.19999999999999</v>
      </c>
      <c r="AD233" s="3">
        <v>144.9</v>
      </c>
    </row>
    <row r="234" spans="1:30" ht="15" customHeight="1" x14ac:dyDescent="0.2">
      <c r="A234" s="3" t="s">
        <v>87</v>
      </c>
      <c r="B234" s="3">
        <v>2019</v>
      </c>
      <c r="C234" s="3" t="s">
        <v>98</v>
      </c>
      <c r="D234" s="3">
        <v>141.4</v>
      </c>
      <c r="E234" s="3">
        <v>160.19999999999999</v>
      </c>
      <c r="F234" s="3">
        <v>142.5</v>
      </c>
      <c r="G234" s="3">
        <v>144.1</v>
      </c>
      <c r="H234" s="3">
        <v>119.3</v>
      </c>
      <c r="I234" s="3">
        <v>154.69999999999999</v>
      </c>
      <c r="J234" s="3">
        <v>180.1</v>
      </c>
      <c r="K234" s="3">
        <v>128.9</v>
      </c>
      <c r="L234" s="3">
        <v>111.8</v>
      </c>
      <c r="M234" s="3">
        <v>141.6</v>
      </c>
      <c r="N234" s="3">
        <v>129.5</v>
      </c>
      <c r="O234" s="3">
        <v>155.6</v>
      </c>
      <c r="P234" s="3">
        <v>147.69999999999999</v>
      </c>
      <c r="Q234" s="3">
        <v>167.2</v>
      </c>
      <c r="R234" s="3">
        <v>144.69999999999999</v>
      </c>
      <c r="S234" s="3">
        <v>131.9</v>
      </c>
      <c r="T234" s="3">
        <v>142.69999999999999</v>
      </c>
      <c r="U234" s="3" t="s">
        <v>175</v>
      </c>
      <c r="V234" s="3">
        <v>127</v>
      </c>
      <c r="W234" s="3">
        <v>137.69999999999999</v>
      </c>
      <c r="X234" s="3">
        <v>140.80000000000001</v>
      </c>
      <c r="Y234" s="3">
        <v>120.6</v>
      </c>
      <c r="Z234" s="3">
        <v>135</v>
      </c>
      <c r="AA234" s="3">
        <v>150.4</v>
      </c>
      <c r="AB234" s="3">
        <v>135.1</v>
      </c>
      <c r="AC234" s="3">
        <v>134.5</v>
      </c>
      <c r="AD234" s="3">
        <v>143.30000000000001</v>
      </c>
    </row>
    <row r="235" spans="1:30" ht="15" customHeight="1" x14ac:dyDescent="0.2">
      <c r="A235" s="3" t="s">
        <v>89</v>
      </c>
      <c r="B235" s="3">
        <v>2019</v>
      </c>
      <c r="C235" s="3" t="s">
        <v>98</v>
      </c>
      <c r="D235" s="3">
        <v>139.30000000000001</v>
      </c>
      <c r="E235" s="3">
        <v>162.69999999999999</v>
      </c>
      <c r="F235" s="3">
        <v>140</v>
      </c>
      <c r="G235" s="3">
        <v>144</v>
      </c>
      <c r="H235" s="3">
        <v>122.5</v>
      </c>
      <c r="I235" s="3">
        <v>150.30000000000001</v>
      </c>
      <c r="J235" s="3">
        <v>160.30000000000001</v>
      </c>
      <c r="K235" s="3">
        <v>130</v>
      </c>
      <c r="L235" s="3">
        <v>111.1</v>
      </c>
      <c r="M235" s="3">
        <v>141.69999999999999</v>
      </c>
      <c r="N235" s="3">
        <v>134.69999999999999</v>
      </c>
      <c r="O235" s="3">
        <v>156.19999999999999</v>
      </c>
      <c r="P235" s="3">
        <v>144.69999999999999</v>
      </c>
      <c r="Q235" s="3">
        <v>165.2</v>
      </c>
      <c r="R235" s="3">
        <v>148.9</v>
      </c>
      <c r="S235" s="3">
        <v>140.5</v>
      </c>
      <c r="T235" s="3">
        <v>147.6</v>
      </c>
      <c r="U235" s="3" t="s">
        <v>175</v>
      </c>
      <c r="V235" s="3">
        <v>139.30000000000001</v>
      </c>
      <c r="W235" s="3">
        <v>144.19999999999999</v>
      </c>
      <c r="X235" s="3">
        <v>147.9</v>
      </c>
      <c r="Y235" s="3">
        <v>125.6</v>
      </c>
      <c r="Z235" s="3">
        <v>140.5</v>
      </c>
      <c r="AA235" s="3">
        <v>154</v>
      </c>
      <c r="AB235" s="3">
        <v>135.69999999999999</v>
      </c>
      <c r="AC235" s="3">
        <v>139.5</v>
      </c>
      <c r="AD235" s="3">
        <v>144.19999999999999</v>
      </c>
    </row>
    <row r="236" spans="1:30" ht="15" customHeight="1" x14ac:dyDescent="0.2">
      <c r="A236" s="3" t="s">
        <v>84</v>
      </c>
      <c r="B236" s="3">
        <v>2019</v>
      </c>
      <c r="C236" s="3" t="s">
        <v>100</v>
      </c>
      <c r="D236" s="3">
        <v>139.19999999999999</v>
      </c>
      <c r="E236" s="3">
        <v>161.9</v>
      </c>
      <c r="F236" s="3">
        <v>137.1</v>
      </c>
      <c r="G236" s="3">
        <v>144.6</v>
      </c>
      <c r="H236" s="3">
        <v>124.7</v>
      </c>
      <c r="I236" s="3">
        <v>145.5</v>
      </c>
      <c r="J236" s="3">
        <v>156.19999999999999</v>
      </c>
      <c r="K236" s="3">
        <v>131.5</v>
      </c>
      <c r="L236" s="3">
        <v>111.7</v>
      </c>
      <c r="M236" s="3">
        <v>142.69999999999999</v>
      </c>
      <c r="N236" s="3">
        <v>138.5</v>
      </c>
      <c r="O236" s="3">
        <v>156.9</v>
      </c>
      <c r="P236" s="3">
        <v>144</v>
      </c>
      <c r="Q236" s="3">
        <v>165.1</v>
      </c>
      <c r="R236" s="3">
        <v>151.80000000000001</v>
      </c>
      <c r="S236" s="3">
        <v>146.6</v>
      </c>
      <c r="T236" s="3">
        <v>151.1</v>
      </c>
      <c r="V236" s="3">
        <v>146.4</v>
      </c>
      <c r="W236" s="3">
        <v>150.19999999999999</v>
      </c>
      <c r="X236" s="3">
        <v>152.69999999999999</v>
      </c>
      <c r="Y236" s="3">
        <v>131.4</v>
      </c>
      <c r="Z236" s="3">
        <v>148</v>
      </c>
      <c r="AA236" s="3">
        <v>159.69999999999999</v>
      </c>
      <c r="AB236" s="3">
        <v>138.80000000000001</v>
      </c>
      <c r="AC236" s="3">
        <v>144.9</v>
      </c>
      <c r="AD236" s="3">
        <v>145.69999999999999</v>
      </c>
    </row>
    <row r="237" spans="1:30" ht="15" customHeight="1" x14ac:dyDescent="0.2">
      <c r="A237" s="3" t="s">
        <v>87</v>
      </c>
      <c r="B237" s="3">
        <v>2019</v>
      </c>
      <c r="C237" s="3" t="s">
        <v>100</v>
      </c>
      <c r="D237" s="3">
        <v>142.1</v>
      </c>
      <c r="E237" s="3">
        <v>158.30000000000001</v>
      </c>
      <c r="F237" s="3">
        <v>140.80000000000001</v>
      </c>
      <c r="G237" s="3">
        <v>144.9</v>
      </c>
      <c r="H237" s="3">
        <v>119.9</v>
      </c>
      <c r="I237" s="3">
        <v>153.9</v>
      </c>
      <c r="J237" s="3">
        <v>189.1</v>
      </c>
      <c r="K237" s="3">
        <v>129.80000000000001</v>
      </c>
      <c r="L237" s="3">
        <v>112.7</v>
      </c>
      <c r="M237" s="3">
        <v>142.5</v>
      </c>
      <c r="N237" s="3">
        <v>129.80000000000001</v>
      </c>
      <c r="O237" s="3">
        <v>156.19999999999999</v>
      </c>
      <c r="P237" s="3">
        <v>149.1</v>
      </c>
      <c r="Q237" s="3">
        <v>167.9</v>
      </c>
      <c r="R237" s="3">
        <v>145</v>
      </c>
      <c r="S237" s="3">
        <v>132.19999999999999</v>
      </c>
      <c r="T237" s="3">
        <v>143</v>
      </c>
      <c r="U237" s="3" t="s">
        <v>176</v>
      </c>
      <c r="V237" s="3">
        <v>125.5</v>
      </c>
      <c r="W237" s="3">
        <v>138.1</v>
      </c>
      <c r="X237" s="3">
        <v>141.5</v>
      </c>
      <c r="Y237" s="3">
        <v>120.8</v>
      </c>
      <c r="Z237" s="3">
        <v>135.4</v>
      </c>
      <c r="AA237" s="3">
        <v>151.5</v>
      </c>
      <c r="AB237" s="3">
        <v>137.80000000000001</v>
      </c>
      <c r="AC237" s="3">
        <v>135.30000000000001</v>
      </c>
      <c r="AD237" s="3">
        <v>144.19999999999999</v>
      </c>
    </row>
    <row r="238" spans="1:30" ht="15" customHeight="1" x14ac:dyDescent="0.2">
      <c r="A238" s="3" t="s">
        <v>89</v>
      </c>
      <c r="B238" s="3">
        <v>2019</v>
      </c>
      <c r="C238" s="3" t="s">
        <v>100</v>
      </c>
      <c r="D238" s="3">
        <v>140.1</v>
      </c>
      <c r="E238" s="3">
        <v>160.6</v>
      </c>
      <c r="F238" s="3">
        <v>138.5</v>
      </c>
      <c r="G238" s="3">
        <v>144.69999999999999</v>
      </c>
      <c r="H238" s="3">
        <v>122.9</v>
      </c>
      <c r="I238" s="3">
        <v>149.4</v>
      </c>
      <c r="J238" s="3">
        <v>167.4</v>
      </c>
      <c r="K238" s="3">
        <v>130.9</v>
      </c>
      <c r="L238" s="3">
        <v>112</v>
      </c>
      <c r="M238" s="3">
        <v>142.6</v>
      </c>
      <c r="N238" s="3">
        <v>134.9</v>
      </c>
      <c r="O238" s="3">
        <v>156.6</v>
      </c>
      <c r="P238" s="3">
        <v>145.9</v>
      </c>
      <c r="Q238" s="3">
        <v>165.8</v>
      </c>
      <c r="R238" s="3">
        <v>149.1</v>
      </c>
      <c r="S238" s="3">
        <v>140.6</v>
      </c>
      <c r="T238" s="3">
        <v>147.9</v>
      </c>
      <c r="U238" s="3" t="s">
        <v>176</v>
      </c>
      <c r="V238" s="3">
        <v>138.5</v>
      </c>
      <c r="W238" s="3">
        <v>144.5</v>
      </c>
      <c r="X238" s="3">
        <v>148.5</v>
      </c>
      <c r="Y238" s="3">
        <v>125.8</v>
      </c>
      <c r="Z238" s="3">
        <v>140.9</v>
      </c>
      <c r="AA238" s="3">
        <v>154.9</v>
      </c>
      <c r="AB238" s="3">
        <v>138.4</v>
      </c>
      <c r="AC238" s="3">
        <v>140.19999999999999</v>
      </c>
      <c r="AD238" s="3">
        <v>145</v>
      </c>
    </row>
    <row r="239" spans="1:30" ht="15" customHeight="1" x14ac:dyDescent="0.2">
      <c r="A239" s="3" t="s">
        <v>84</v>
      </c>
      <c r="B239" s="3">
        <v>2019</v>
      </c>
      <c r="C239" s="3" t="s">
        <v>102</v>
      </c>
      <c r="D239" s="3">
        <v>140.1</v>
      </c>
      <c r="E239" s="3">
        <v>161.9</v>
      </c>
      <c r="F239" s="3">
        <v>138.30000000000001</v>
      </c>
      <c r="G239" s="3">
        <v>145.69999999999999</v>
      </c>
      <c r="H239" s="3">
        <v>125.1</v>
      </c>
      <c r="I239" s="3">
        <v>143.80000000000001</v>
      </c>
      <c r="J239" s="3">
        <v>163.4</v>
      </c>
      <c r="K239" s="3">
        <v>132.19999999999999</v>
      </c>
      <c r="L239" s="3">
        <v>112.8</v>
      </c>
      <c r="M239" s="3">
        <v>144.19999999999999</v>
      </c>
      <c r="N239" s="3">
        <v>138.5</v>
      </c>
      <c r="O239" s="3">
        <v>157.19999999999999</v>
      </c>
      <c r="P239" s="3">
        <v>145.5</v>
      </c>
      <c r="Q239" s="3">
        <v>165.7</v>
      </c>
      <c r="R239" s="3">
        <v>151.69999999999999</v>
      </c>
      <c r="S239" s="3">
        <v>146.6</v>
      </c>
      <c r="T239" s="3">
        <v>151</v>
      </c>
      <c r="V239" s="3">
        <v>146.9</v>
      </c>
      <c r="W239" s="3">
        <v>150.30000000000001</v>
      </c>
      <c r="X239" s="3">
        <v>153.4</v>
      </c>
      <c r="Y239" s="3">
        <v>131.6</v>
      </c>
      <c r="Z239" s="3">
        <v>148.30000000000001</v>
      </c>
      <c r="AA239" s="3">
        <v>160.19999999999999</v>
      </c>
      <c r="AB239" s="3">
        <v>140.19999999999999</v>
      </c>
      <c r="AC239" s="3">
        <v>145.4</v>
      </c>
      <c r="AD239" s="3">
        <v>146.69999999999999</v>
      </c>
    </row>
    <row r="240" spans="1:30" ht="15" customHeight="1" x14ac:dyDescent="0.2">
      <c r="A240" s="3" t="s">
        <v>87</v>
      </c>
      <c r="B240" s="3">
        <v>2019</v>
      </c>
      <c r="C240" s="3" t="s">
        <v>102</v>
      </c>
      <c r="D240" s="3">
        <v>142.69999999999999</v>
      </c>
      <c r="E240" s="3">
        <v>158.69999999999999</v>
      </c>
      <c r="F240" s="3">
        <v>141.6</v>
      </c>
      <c r="G240" s="3">
        <v>144.9</v>
      </c>
      <c r="H240" s="3">
        <v>120.8</v>
      </c>
      <c r="I240" s="3">
        <v>149.80000000000001</v>
      </c>
      <c r="J240" s="3">
        <v>192.4</v>
      </c>
      <c r="K240" s="3">
        <v>130.30000000000001</v>
      </c>
      <c r="L240" s="3">
        <v>114</v>
      </c>
      <c r="M240" s="3">
        <v>143.80000000000001</v>
      </c>
      <c r="N240" s="3">
        <v>130</v>
      </c>
      <c r="O240" s="3">
        <v>156.4</v>
      </c>
      <c r="P240" s="3">
        <v>149.5</v>
      </c>
      <c r="Q240" s="3">
        <v>168.6</v>
      </c>
      <c r="R240" s="3">
        <v>145.30000000000001</v>
      </c>
      <c r="S240" s="3">
        <v>132.19999999999999</v>
      </c>
      <c r="T240" s="3">
        <v>143.30000000000001</v>
      </c>
      <c r="U240" s="3" t="s">
        <v>177</v>
      </c>
      <c r="V240" s="3">
        <v>126.6</v>
      </c>
      <c r="W240" s="3">
        <v>138.30000000000001</v>
      </c>
      <c r="X240" s="3">
        <v>141.9</v>
      </c>
      <c r="Y240" s="3">
        <v>121.2</v>
      </c>
      <c r="Z240" s="3">
        <v>135.9</v>
      </c>
      <c r="AA240" s="3">
        <v>151.6</v>
      </c>
      <c r="AB240" s="3">
        <v>139</v>
      </c>
      <c r="AC240" s="3">
        <v>135.69999999999999</v>
      </c>
      <c r="AD240" s="3">
        <v>144.69999999999999</v>
      </c>
    </row>
    <row r="241" spans="1:30" ht="15" customHeight="1" x14ac:dyDescent="0.2">
      <c r="A241" s="3" t="s">
        <v>89</v>
      </c>
      <c r="B241" s="3">
        <v>2019</v>
      </c>
      <c r="C241" s="3" t="s">
        <v>102</v>
      </c>
      <c r="D241" s="3">
        <v>140.9</v>
      </c>
      <c r="E241" s="3">
        <v>160.80000000000001</v>
      </c>
      <c r="F241" s="3">
        <v>139.6</v>
      </c>
      <c r="G241" s="3">
        <v>145.4</v>
      </c>
      <c r="H241" s="3">
        <v>123.5</v>
      </c>
      <c r="I241" s="3">
        <v>146.6</v>
      </c>
      <c r="J241" s="3">
        <v>173.2</v>
      </c>
      <c r="K241" s="3">
        <v>131.6</v>
      </c>
      <c r="L241" s="3">
        <v>113.2</v>
      </c>
      <c r="M241" s="3">
        <v>144.1</v>
      </c>
      <c r="N241" s="3">
        <v>135</v>
      </c>
      <c r="O241" s="3">
        <v>156.80000000000001</v>
      </c>
      <c r="P241" s="3">
        <v>147</v>
      </c>
      <c r="Q241" s="3">
        <v>166.5</v>
      </c>
      <c r="R241" s="3">
        <v>149.19999999999999</v>
      </c>
      <c r="S241" s="3">
        <v>140.6</v>
      </c>
      <c r="T241" s="3">
        <v>147.9</v>
      </c>
      <c r="U241" s="3" t="s">
        <v>177</v>
      </c>
      <c r="V241" s="3">
        <v>139.19999999999999</v>
      </c>
      <c r="W241" s="3">
        <v>144.6</v>
      </c>
      <c r="X241" s="3">
        <v>149</v>
      </c>
      <c r="Y241" s="3">
        <v>126.1</v>
      </c>
      <c r="Z241" s="3">
        <v>141.30000000000001</v>
      </c>
      <c r="AA241" s="3">
        <v>155.19999999999999</v>
      </c>
      <c r="AB241" s="3">
        <v>139.69999999999999</v>
      </c>
      <c r="AC241" s="3">
        <v>140.69999999999999</v>
      </c>
      <c r="AD241" s="3">
        <v>145.80000000000001</v>
      </c>
    </row>
    <row r="242" spans="1:30" ht="15" customHeight="1" x14ac:dyDescent="0.2">
      <c r="A242" s="3" t="s">
        <v>84</v>
      </c>
      <c r="B242" s="3">
        <v>2019</v>
      </c>
      <c r="C242" s="3" t="s">
        <v>104</v>
      </c>
      <c r="D242" s="3">
        <v>141</v>
      </c>
      <c r="E242" s="3">
        <v>161.6</v>
      </c>
      <c r="F242" s="3">
        <v>141.19999999999999</v>
      </c>
      <c r="G242" s="3">
        <v>146.5</v>
      </c>
      <c r="H242" s="3">
        <v>125.6</v>
      </c>
      <c r="I242" s="3">
        <v>145.69999999999999</v>
      </c>
      <c r="J242" s="3">
        <v>178.8</v>
      </c>
      <c r="K242" s="3">
        <v>133.1</v>
      </c>
      <c r="L242" s="3">
        <v>113.6</v>
      </c>
      <c r="M242" s="3">
        <v>145.5</v>
      </c>
      <c r="N242" s="3">
        <v>138.6</v>
      </c>
      <c r="O242" s="3">
        <v>157.4</v>
      </c>
      <c r="P242" s="3">
        <v>148.30000000000001</v>
      </c>
      <c r="Q242" s="3">
        <v>166.3</v>
      </c>
      <c r="R242" s="3">
        <v>151.69999999999999</v>
      </c>
      <c r="S242" s="3">
        <v>146.69999999999999</v>
      </c>
      <c r="T242" s="3">
        <v>151</v>
      </c>
      <c r="V242" s="3">
        <v>147.69999999999999</v>
      </c>
      <c r="W242" s="3">
        <v>150.6</v>
      </c>
      <c r="X242" s="3">
        <v>153.69999999999999</v>
      </c>
      <c r="Y242" s="3">
        <v>131.69999999999999</v>
      </c>
      <c r="Z242" s="3">
        <v>148.69999999999999</v>
      </c>
      <c r="AA242" s="3">
        <v>160.69999999999999</v>
      </c>
      <c r="AB242" s="3">
        <v>140.30000000000001</v>
      </c>
      <c r="AC242" s="3">
        <v>145.69999999999999</v>
      </c>
      <c r="AD242" s="3">
        <v>148.30000000000001</v>
      </c>
    </row>
    <row r="243" spans="1:30" ht="15" customHeight="1" x14ac:dyDescent="0.2">
      <c r="A243" s="3" t="s">
        <v>87</v>
      </c>
      <c r="B243" s="3">
        <v>2019</v>
      </c>
      <c r="C243" s="3" t="s">
        <v>104</v>
      </c>
      <c r="D243" s="3">
        <v>143.5</v>
      </c>
      <c r="E243" s="3">
        <v>159.80000000000001</v>
      </c>
      <c r="F243" s="3">
        <v>144.69999999999999</v>
      </c>
      <c r="G243" s="3">
        <v>145.6</v>
      </c>
      <c r="H243" s="3">
        <v>121.1</v>
      </c>
      <c r="I243" s="3">
        <v>150.6</v>
      </c>
      <c r="J243" s="3">
        <v>207.2</v>
      </c>
      <c r="K243" s="3">
        <v>131.19999999999999</v>
      </c>
      <c r="L243" s="3">
        <v>114.8</v>
      </c>
      <c r="M243" s="3">
        <v>145.19999999999999</v>
      </c>
      <c r="N243" s="3">
        <v>130.19999999999999</v>
      </c>
      <c r="O243" s="3">
        <v>156.80000000000001</v>
      </c>
      <c r="P243" s="3">
        <v>151.9</v>
      </c>
      <c r="Q243" s="3">
        <v>169.3</v>
      </c>
      <c r="R243" s="3">
        <v>145.9</v>
      </c>
      <c r="S243" s="3">
        <v>132.4</v>
      </c>
      <c r="T243" s="3">
        <v>143.9</v>
      </c>
      <c r="U243" s="3" t="s">
        <v>178</v>
      </c>
      <c r="V243" s="3">
        <v>128.9</v>
      </c>
      <c r="W243" s="3">
        <v>138.69999999999999</v>
      </c>
      <c r="X243" s="3">
        <v>142.4</v>
      </c>
      <c r="Y243" s="3">
        <v>121.5</v>
      </c>
      <c r="Z243" s="3">
        <v>136.19999999999999</v>
      </c>
      <c r="AA243" s="3">
        <v>151.69999999999999</v>
      </c>
      <c r="AB243" s="3">
        <v>139.5</v>
      </c>
      <c r="AC243" s="3">
        <v>136</v>
      </c>
      <c r="AD243" s="3">
        <v>146</v>
      </c>
    </row>
    <row r="244" spans="1:30" ht="15" customHeight="1" x14ac:dyDescent="0.2">
      <c r="A244" s="3" t="s">
        <v>89</v>
      </c>
      <c r="B244" s="3">
        <v>2019</v>
      </c>
      <c r="C244" s="3" t="s">
        <v>104</v>
      </c>
      <c r="D244" s="3">
        <v>141.80000000000001</v>
      </c>
      <c r="E244" s="3">
        <v>161</v>
      </c>
      <c r="F244" s="3">
        <v>142.6</v>
      </c>
      <c r="G244" s="3">
        <v>146.19999999999999</v>
      </c>
      <c r="H244" s="3">
        <v>123.9</v>
      </c>
      <c r="I244" s="3">
        <v>148</v>
      </c>
      <c r="J244" s="3">
        <v>188.4</v>
      </c>
      <c r="K244" s="3">
        <v>132.5</v>
      </c>
      <c r="L244" s="3">
        <v>114</v>
      </c>
      <c r="M244" s="3">
        <v>145.4</v>
      </c>
      <c r="N244" s="3">
        <v>135.1</v>
      </c>
      <c r="O244" s="3">
        <v>157.1</v>
      </c>
      <c r="P244" s="3">
        <v>149.6</v>
      </c>
      <c r="Q244" s="3">
        <v>167.1</v>
      </c>
      <c r="R244" s="3">
        <v>149.4</v>
      </c>
      <c r="S244" s="3">
        <v>140.80000000000001</v>
      </c>
      <c r="T244" s="3">
        <v>148.19999999999999</v>
      </c>
      <c r="U244" s="3" t="s">
        <v>178</v>
      </c>
      <c r="V244" s="3">
        <v>140.6</v>
      </c>
      <c r="W244" s="3">
        <v>145</v>
      </c>
      <c r="X244" s="3">
        <v>149.4</v>
      </c>
      <c r="Y244" s="3">
        <v>126.3</v>
      </c>
      <c r="Z244" s="3">
        <v>141.69999999999999</v>
      </c>
      <c r="AA244" s="3">
        <v>155.4</v>
      </c>
      <c r="AB244" s="3">
        <v>140</v>
      </c>
      <c r="AC244" s="3">
        <v>141</v>
      </c>
      <c r="AD244" s="3">
        <v>147.19999999999999</v>
      </c>
    </row>
    <row r="245" spans="1:30" ht="15" customHeight="1" x14ac:dyDescent="0.2">
      <c r="A245" s="3" t="s">
        <v>84</v>
      </c>
      <c r="B245" s="3">
        <v>2019</v>
      </c>
      <c r="C245" s="3" t="s">
        <v>107</v>
      </c>
      <c r="D245" s="3">
        <v>141.80000000000001</v>
      </c>
      <c r="E245" s="3">
        <v>163.69999999999999</v>
      </c>
      <c r="F245" s="3">
        <v>143.80000000000001</v>
      </c>
      <c r="G245" s="3">
        <v>147.1</v>
      </c>
      <c r="H245" s="3">
        <v>126</v>
      </c>
      <c r="I245" s="3">
        <v>146.19999999999999</v>
      </c>
      <c r="J245" s="3">
        <v>191.4</v>
      </c>
      <c r="K245" s="3">
        <v>136.19999999999999</v>
      </c>
      <c r="L245" s="3">
        <v>113.8</v>
      </c>
      <c r="M245" s="3">
        <v>147.30000000000001</v>
      </c>
      <c r="N245" s="3">
        <v>138.69999999999999</v>
      </c>
      <c r="O245" s="3">
        <v>157.69999999999999</v>
      </c>
      <c r="P245" s="3">
        <v>150.9</v>
      </c>
      <c r="Q245" s="3">
        <v>167.2</v>
      </c>
      <c r="R245" s="3">
        <v>152.30000000000001</v>
      </c>
      <c r="S245" s="3">
        <v>147</v>
      </c>
      <c r="T245" s="3">
        <v>151.5</v>
      </c>
      <c r="V245" s="3">
        <v>148.4</v>
      </c>
      <c r="W245" s="3">
        <v>150.9</v>
      </c>
      <c r="X245" s="3">
        <v>154.30000000000001</v>
      </c>
      <c r="Y245" s="3">
        <v>132.1</v>
      </c>
      <c r="Z245" s="3">
        <v>149.1</v>
      </c>
      <c r="AA245" s="3">
        <v>160.80000000000001</v>
      </c>
      <c r="AB245" s="3">
        <v>140.6</v>
      </c>
      <c r="AC245" s="3">
        <v>146.1</v>
      </c>
      <c r="AD245" s="3">
        <v>149.9</v>
      </c>
    </row>
    <row r="246" spans="1:30" ht="15" customHeight="1" x14ac:dyDescent="0.2">
      <c r="A246" s="3" t="s">
        <v>87</v>
      </c>
      <c r="B246" s="3">
        <v>2019</v>
      </c>
      <c r="C246" s="3" t="s">
        <v>107</v>
      </c>
      <c r="D246" s="3">
        <v>144.1</v>
      </c>
      <c r="E246" s="3">
        <v>162.4</v>
      </c>
      <c r="F246" s="3">
        <v>148.4</v>
      </c>
      <c r="G246" s="3">
        <v>145.9</v>
      </c>
      <c r="H246" s="3">
        <v>121.5</v>
      </c>
      <c r="I246" s="3">
        <v>148.80000000000001</v>
      </c>
      <c r="J246" s="3">
        <v>215.7</v>
      </c>
      <c r="K246" s="3">
        <v>134.6</v>
      </c>
      <c r="L246" s="3">
        <v>115</v>
      </c>
      <c r="M246" s="3">
        <v>146.30000000000001</v>
      </c>
      <c r="N246" s="3">
        <v>130.5</v>
      </c>
      <c r="O246" s="3">
        <v>157.19999999999999</v>
      </c>
      <c r="P246" s="3">
        <v>153.6</v>
      </c>
      <c r="Q246" s="3">
        <v>169.9</v>
      </c>
      <c r="R246" s="3">
        <v>146.30000000000001</v>
      </c>
      <c r="S246" s="3">
        <v>132.6</v>
      </c>
      <c r="T246" s="3">
        <v>144.19999999999999</v>
      </c>
      <c r="U246" s="3" t="s">
        <v>179</v>
      </c>
      <c r="V246" s="3">
        <v>132.19999999999999</v>
      </c>
      <c r="W246" s="3">
        <v>139.1</v>
      </c>
      <c r="X246" s="3">
        <v>142.80000000000001</v>
      </c>
      <c r="Y246" s="3">
        <v>121.7</v>
      </c>
      <c r="Z246" s="3">
        <v>136.69999999999999</v>
      </c>
      <c r="AA246" s="3">
        <v>151.80000000000001</v>
      </c>
      <c r="AB246" s="3">
        <v>139.80000000000001</v>
      </c>
      <c r="AC246" s="3">
        <v>136.30000000000001</v>
      </c>
      <c r="AD246" s="3">
        <v>147</v>
      </c>
    </row>
    <row r="247" spans="1:30" ht="15" customHeight="1" x14ac:dyDescent="0.2">
      <c r="A247" s="3" t="s">
        <v>89</v>
      </c>
      <c r="B247" s="3">
        <v>2019</v>
      </c>
      <c r="C247" s="3" t="s">
        <v>107</v>
      </c>
      <c r="D247" s="3">
        <v>142.5</v>
      </c>
      <c r="E247" s="3">
        <v>163.19999999999999</v>
      </c>
      <c r="F247" s="3">
        <v>145.6</v>
      </c>
      <c r="G247" s="3">
        <v>146.69999999999999</v>
      </c>
      <c r="H247" s="3">
        <v>124.3</v>
      </c>
      <c r="I247" s="3">
        <v>147.4</v>
      </c>
      <c r="J247" s="3">
        <v>199.6</v>
      </c>
      <c r="K247" s="3">
        <v>135.69999999999999</v>
      </c>
      <c r="L247" s="3">
        <v>114.2</v>
      </c>
      <c r="M247" s="3">
        <v>147</v>
      </c>
      <c r="N247" s="3">
        <v>135.30000000000001</v>
      </c>
      <c r="O247" s="3">
        <v>157.5</v>
      </c>
      <c r="P247" s="3">
        <v>151.9</v>
      </c>
      <c r="Q247" s="3">
        <v>167.9</v>
      </c>
      <c r="R247" s="3">
        <v>149.9</v>
      </c>
      <c r="S247" s="3">
        <v>141</v>
      </c>
      <c r="T247" s="3">
        <v>148.6</v>
      </c>
      <c r="U247" s="3" t="s">
        <v>179</v>
      </c>
      <c r="V247" s="3">
        <v>142.30000000000001</v>
      </c>
      <c r="W247" s="3">
        <v>145.30000000000001</v>
      </c>
      <c r="X247" s="3">
        <v>149.9</v>
      </c>
      <c r="Y247" s="3">
        <v>126.6</v>
      </c>
      <c r="Z247" s="3">
        <v>142.1</v>
      </c>
      <c r="AA247" s="3">
        <v>155.5</v>
      </c>
      <c r="AB247" s="3">
        <v>140.30000000000001</v>
      </c>
      <c r="AC247" s="3">
        <v>141.30000000000001</v>
      </c>
      <c r="AD247" s="3">
        <v>148.6</v>
      </c>
    </row>
    <row r="248" spans="1:30" ht="15" customHeight="1" x14ac:dyDescent="0.2">
      <c r="A248" s="3" t="s">
        <v>84</v>
      </c>
      <c r="B248" s="3">
        <v>2019</v>
      </c>
      <c r="C248" s="3" t="s">
        <v>109</v>
      </c>
      <c r="D248" s="3">
        <v>142.80000000000001</v>
      </c>
      <c r="E248" s="3">
        <v>165.3</v>
      </c>
      <c r="F248" s="3">
        <v>149.5</v>
      </c>
      <c r="G248" s="3">
        <v>148.69999999999999</v>
      </c>
      <c r="H248" s="3">
        <v>127.5</v>
      </c>
      <c r="I248" s="3">
        <v>144.30000000000001</v>
      </c>
      <c r="J248" s="3">
        <v>209.5</v>
      </c>
      <c r="K248" s="3">
        <v>138.80000000000001</v>
      </c>
      <c r="L248" s="3">
        <v>113.6</v>
      </c>
      <c r="M248" s="3">
        <v>149.1</v>
      </c>
      <c r="N248" s="3">
        <v>139.30000000000001</v>
      </c>
      <c r="O248" s="3">
        <v>158.30000000000001</v>
      </c>
      <c r="P248" s="3">
        <v>154.30000000000001</v>
      </c>
      <c r="Q248" s="3">
        <v>167.8</v>
      </c>
      <c r="R248" s="3">
        <v>152.6</v>
      </c>
      <c r="S248" s="3">
        <v>147.30000000000001</v>
      </c>
      <c r="T248" s="3">
        <v>151.9</v>
      </c>
      <c r="V248" s="3">
        <v>149.9</v>
      </c>
      <c r="W248" s="3">
        <v>151.19999999999999</v>
      </c>
      <c r="X248" s="3">
        <v>154.80000000000001</v>
      </c>
      <c r="Y248" s="3">
        <v>135</v>
      </c>
      <c r="Z248" s="3">
        <v>149.5</v>
      </c>
      <c r="AA248" s="3">
        <v>161.1</v>
      </c>
      <c r="AB248" s="3">
        <v>140.6</v>
      </c>
      <c r="AC248" s="3">
        <v>147.1</v>
      </c>
      <c r="AD248" s="3">
        <v>152.30000000000001</v>
      </c>
    </row>
    <row r="249" spans="1:30" ht="15" customHeight="1" x14ac:dyDescent="0.2">
      <c r="A249" s="3" t="s">
        <v>87</v>
      </c>
      <c r="B249" s="3">
        <v>2019</v>
      </c>
      <c r="C249" s="3" t="s">
        <v>109</v>
      </c>
      <c r="D249" s="3">
        <v>144.9</v>
      </c>
      <c r="E249" s="3">
        <v>164.5</v>
      </c>
      <c r="F249" s="3">
        <v>153.69999999999999</v>
      </c>
      <c r="G249" s="3">
        <v>147.5</v>
      </c>
      <c r="H249" s="3">
        <v>122.7</v>
      </c>
      <c r="I249" s="3">
        <v>147.19999999999999</v>
      </c>
      <c r="J249" s="3">
        <v>231.5</v>
      </c>
      <c r="K249" s="3">
        <v>137.19999999999999</v>
      </c>
      <c r="L249" s="3">
        <v>114.7</v>
      </c>
      <c r="M249" s="3">
        <v>148</v>
      </c>
      <c r="N249" s="3">
        <v>130.80000000000001</v>
      </c>
      <c r="O249" s="3">
        <v>157.69999999999999</v>
      </c>
      <c r="P249" s="3">
        <v>156.30000000000001</v>
      </c>
      <c r="Q249" s="3">
        <v>170.4</v>
      </c>
      <c r="R249" s="3">
        <v>146.80000000000001</v>
      </c>
      <c r="S249" s="3">
        <v>132.80000000000001</v>
      </c>
      <c r="T249" s="3">
        <v>144.6</v>
      </c>
      <c r="U249" s="3" t="s">
        <v>180</v>
      </c>
      <c r="V249" s="3">
        <v>133.6</v>
      </c>
      <c r="W249" s="3">
        <v>139.80000000000001</v>
      </c>
      <c r="X249" s="3">
        <v>143.19999999999999</v>
      </c>
      <c r="Y249" s="3">
        <v>125.2</v>
      </c>
      <c r="Z249" s="3">
        <v>136.80000000000001</v>
      </c>
      <c r="AA249" s="3">
        <v>151.9</v>
      </c>
      <c r="AB249" s="3">
        <v>140.19999999999999</v>
      </c>
      <c r="AC249" s="3">
        <v>137.69999999999999</v>
      </c>
      <c r="AD249" s="3">
        <v>148.30000000000001</v>
      </c>
    </row>
    <row r="250" spans="1:30" ht="15" customHeight="1" x14ac:dyDescent="0.2">
      <c r="A250" s="3" t="s">
        <v>89</v>
      </c>
      <c r="B250" s="3">
        <v>2019</v>
      </c>
      <c r="C250" s="3" t="s">
        <v>109</v>
      </c>
      <c r="D250" s="3">
        <v>143.5</v>
      </c>
      <c r="E250" s="3">
        <v>165</v>
      </c>
      <c r="F250" s="3">
        <v>151.1</v>
      </c>
      <c r="G250" s="3">
        <v>148.30000000000001</v>
      </c>
      <c r="H250" s="3">
        <v>125.7</v>
      </c>
      <c r="I250" s="3">
        <v>145.69999999999999</v>
      </c>
      <c r="J250" s="3">
        <v>217</v>
      </c>
      <c r="K250" s="3">
        <v>138.30000000000001</v>
      </c>
      <c r="L250" s="3">
        <v>114</v>
      </c>
      <c r="M250" s="3">
        <v>148.69999999999999</v>
      </c>
      <c r="N250" s="3">
        <v>135.80000000000001</v>
      </c>
      <c r="O250" s="3">
        <v>158</v>
      </c>
      <c r="P250" s="3">
        <v>155</v>
      </c>
      <c r="Q250" s="3">
        <v>168.5</v>
      </c>
      <c r="R250" s="3">
        <v>150.30000000000001</v>
      </c>
      <c r="S250" s="3">
        <v>141.30000000000001</v>
      </c>
      <c r="T250" s="3">
        <v>149</v>
      </c>
      <c r="U250" s="3" t="s">
        <v>180</v>
      </c>
      <c r="V250" s="3">
        <v>143.69999999999999</v>
      </c>
      <c r="W250" s="3">
        <v>145.80000000000001</v>
      </c>
      <c r="X250" s="3">
        <v>150.4</v>
      </c>
      <c r="Y250" s="3">
        <v>129.80000000000001</v>
      </c>
      <c r="Z250" s="3">
        <v>142.30000000000001</v>
      </c>
      <c r="AA250" s="3">
        <v>155.69999999999999</v>
      </c>
      <c r="AB250" s="3">
        <v>140.4</v>
      </c>
      <c r="AC250" s="3">
        <v>142.5</v>
      </c>
      <c r="AD250" s="3">
        <v>150.4</v>
      </c>
    </row>
    <row r="251" spans="1:30" ht="15" customHeight="1" x14ac:dyDescent="0.2">
      <c r="A251" s="3" t="s">
        <v>84</v>
      </c>
      <c r="B251" s="3">
        <v>2020</v>
      </c>
      <c r="C251" s="3" t="s">
        <v>85</v>
      </c>
      <c r="D251" s="3">
        <v>143.69999999999999</v>
      </c>
      <c r="E251" s="3">
        <v>167.3</v>
      </c>
      <c r="F251" s="3">
        <v>153.5</v>
      </c>
      <c r="G251" s="3">
        <v>150.5</v>
      </c>
      <c r="H251" s="3">
        <v>132</v>
      </c>
      <c r="I251" s="3">
        <v>142.19999999999999</v>
      </c>
      <c r="J251" s="3">
        <v>191.5</v>
      </c>
      <c r="K251" s="3">
        <v>141.1</v>
      </c>
      <c r="L251" s="3">
        <v>113.8</v>
      </c>
      <c r="M251" s="3">
        <v>151.6</v>
      </c>
      <c r="N251" s="3">
        <v>139.69999999999999</v>
      </c>
      <c r="O251" s="3">
        <v>158.69999999999999</v>
      </c>
      <c r="P251" s="3">
        <v>153</v>
      </c>
      <c r="Q251" s="3">
        <v>168.6</v>
      </c>
      <c r="R251" s="3">
        <v>152.80000000000001</v>
      </c>
      <c r="S251" s="3">
        <v>147.4</v>
      </c>
      <c r="T251" s="3">
        <v>152.1</v>
      </c>
      <c r="V251" s="3">
        <v>150.4</v>
      </c>
      <c r="W251" s="3">
        <v>151.69999999999999</v>
      </c>
      <c r="X251" s="3">
        <v>155.69999999999999</v>
      </c>
      <c r="Y251" s="3">
        <v>136.30000000000001</v>
      </c>
      <c r="Z251" s="3">
        <v>150.1</v>
      </c>
      <c r="AA251" s="3">
        <v>161.69999999999999</v>
      </c>
      <c r="AB251" s="3">
        <v>142.5</v>
      </c>
      <c r="AC251" s="3">
        <v>148.1</v>
      </c>
      <c r="AD251" s="3">
        <v>151.9</v>
      </c>
    </row>
    <row r="252" spans="1:30" ht="15" customHeight="1" x14ac:dyDescent="0.2">
      <c r="A252" s="3" t="s">
        <v>87</v>
      </c>
      <c r="B252" s="3">
        <v>2020</v>
      </c>
      <c r="C252" s="3" t="s">
        <v>85</v>
      </c>
      <c r="D252" s="3">
        <v>145.6</v>
      </c>
      <c r="E252" s="3">
        <v>167.6</v>
      </c>
      <c r="F252" s="3">
        <v>157</v>
      </c>
      <c r="G252" s="3">
        <v>149.30000000000001</v>
      </c>
      <c r="H252" s="3">
        <v>126.3</v>
      </c>
      <c r="I252" s="3">
        <v>144.4</v>
      </c>
      <c r="J252" s="3">
        <v>207.8</v>
      </c>
      <c r="K252" s="3">
        <v>139.1</v>
      </c>
      <c r="L252" s="3">
        <v>114.8</v>
      </c>
      <c r="M252" s="3">
        <v>149.5</v>
      </c>
      <c r="N252" s="3">
        <v>131.1</v>
      </c>
      <c r="O252" s="3">
        <v>158.5</v>
      </c>
      <c r="P252" s="3">
        <v>154.4</v>
      </c>
      <c r="Q252" s="3">
        <v>170.8</v>
      </c>
      <c r="R252" s="3">
        <v>147</v>
      </c>
      <c r="S252" s="3">
        <v>133.19999999999999</v>
      </c>
      <c r="T252" s="3">
        <v>144.9</v>
      </c>
      <c r="U252" s="3" t="s">
        <v>181</v>
      </c>
      <c r="V252" s="3">
        <v>135.1</v>
      </c>
      <c r="W252" s="3">
        <v>140.1</v>
      </c>
      <c r="X252" s="3">
        <v>143.80000000000001</v>
      </c>
      <c r="Y252" s="3">
        <v>126.1</v>
      </c>
      <c r="Z252" s="3">
        <v>137.19999999999999</v>
      </c>
      <c r="AA252" s="3">
        <v>152.1</v>
      </c>
      <c r="AB252" s="3">
        <v>142.1</v>
      </c>
      <c r="AC252" s="3">
        <v>138.4</v>
      </c>
      <c r="AD252" s="3">
        <v>148.19999999999999</v>
      </c>
    </row>
    <row r="253" spans="1:30" ht="15" customHeight="1" x14ac:dyDescent="0.2">
      <c r="A253" s="3" t="s">
        <v>89</v>
      </c>
      <c r="B253" s="3">
        <v>2020</v>
      </c>
      <c r="C253" s="3" t="s">
        <v>85</v>
      </c>
      <c r="D253" s="3">
        <v>144.30000000000001</v>
      </c>
      <c r="E253" s="3">
        <v>167.4</v>
      </c>
      <c r="F253" s="3">
        <v>154.9</v>
      </c>
      <c r="G253" s="3">
        <v>150.1</v>
      </c>
      <c r="H253" s="3">
        <v>129.9</v>
      </c>
      <c r="I253" s="3">
        <v>143.19999999999999</v>
      </c>
      <c r="J253" s="3">
        <v>197</v>
      </c>
      <c r="K253" s="3">
        <v>140.4</v>
      </c>
      <c r="L253" s="3">
        <v>114.1</v>
      </c>
      <c r="M253" s="3">
        <v>150.9</v>
      </c>
      <c r="N253" s="3">
        <v>136.1</v>
      </c>
      <c r="O253" s="3">
        <v>158.6</v>
      </c>
      <c r="P253" s="3">
        <v>153.5</v>
      </c>
      <c r="Q253" s="3">
        <v>169.2</v>
      </c>
      <c r="R253" s="3">
        <v>150.5</v>
      </c>
      <c r="S253" s="3">
        <v>141.5</v>
      </c>
      <c r="T253" s="3">
        <v>149.19999999999999</v>
      </c>
      <c r="U253" s="3" t="s">
        <v>181</v>
      </c>
      <c r="V253" s="3">
        <v>144.6</v>
      </c>
      <c r="W253" s="3">
        <v>146.19999999999999</v>
      </c>
      <c r="X253" s="3">
        <v>151.19999999999999</v>
      </c>
      <c r="Y253" s="3">
        <v>130.9</v>
      </c>
      <c r="Z253" s="3">
        <v>142.80000000000001</v>
      </c>
      <c r="AA253" s="3">
        <v>156.1</v>
      </c>
      <c r="AB253" s="3">
        <v>142.30000000000001</v>
      </c>
      <c r="AC253" s="3">
        <v>143.4</v>
      </c>
      <c r="AD253" s="3">
        <v>150.19999999999999</v>
      </c>
    </row>
    <row r="254" spans="1:30" ht="15" customHeight="1" x14ac:dyDescent="0.2">
      <c r="A254" s="3" t="s">
        <v>84</v>
      </c>
      <c r="B254" s="3">
        <v>2020</v>
      </c>
      <c r="C254" s="3" t="s">
        <v>90</v>
      </c>
      <c r="D254" s="3">
        <v>144.19999999999999</v>
      </c>
      <c r="E254" s="3">
        <v>167.5</v>
      </c>
      <c r="F254" s="3">
        <v>150.9</v>
      </c>
      <c r="G254" s="3">
        <v>150.9</v>
      </c>
      <c r="H254" s="3">
        <v>133.69999999999999</v>
      </c>
      <c r="I254" s="3">
        <v>140.69999999999999</v>
      </c>
      <c r="J254" s="3">
        <v>165.1</v>
      </c>
      <c r="K254" s="3">
        <v>141.80000000000001</v>
      </c>
      <c r="L254" s="3">
        <v>113.1</v>
      </c>
      <c r="M254" s="3">
        <v>152.80000000000001</v>
      </c>
      <c r="N254" s="3">
        <v>140.1</v>
      </c>
      <c r="O254" s="3">
        <v>159.19999999999999</v>
      </c>
      <c r="P254" s="3">
        <v>149.80000000000001</v>
      </c>
      <c r="Q254" s="3">
        <v>169.4</v>
      </c>
      <c r="R254" s="3">
        <v>153</v>
      </c>
      <c r="S254" s="3">
        <v>147.5</v>
      </c>
      <c r="T254" s="3">
        <v>152.30000000000001</v>
      </c>
      <c r="V254" s="3">
        <v>152.30000000000001</v>
      </c>
      <c r="W254" s="3">
        <v>151.80000000000001</v>
      </c>
      <c r="X254" s="3">
        <v>156.19999999999999</v>
      </c>
      <c r="Y254" s="3">
        <v>136</v>
      </c>
      <c r="Z254" s="3">
        <v>150.4</v>
      </c>
      <c r="AA254" s="3">
        <v>161.9</v>
      </c>
      <c r="AB254" s="3">
        <v>143.4</v>
      </c>
      <c r="AC254" s="3">
        <v>148.4</v>
      </c>
      <c r="AD254" s="3">
        <v>150.4</v>
      </c>
    </row>
    <row r="255" spans="1:30" ht="15" customHeight="1" x14ac:dyDescent="0.2">
      <c r="A255" s="3" t="s">
        <v>87</v>
      </c>
      <c r="B255" s="3">
        <v>2020</v>
      </c>
      <c r="C255" s="3" t="s">
        <v>90</v>
      </c>
      <c r="D255" s="3">
        <v>146.19999999999999</v>
      </c>
      <c r="E255" s="3">
        <v>167.6</v>
      </c>
      <c r="F255" s="3">
        <v>153.1</v>
      </c>
      <c r="G255" s="3">
        <v>150.69999999999999</v>
      </c>
      <c r="H255" s="3">
        <v>127.4</v>
      </c>
      <c r="I255" s="3">
        <v>143.1</v>
      </c>
      <c r="J255" s="3">
        <v>181.7</v>
      </c>
      <c r="K255" s="3">
        <v>139.6</v>
      </c>
      <c r="L255" s="3">
        <v>114.6</v>
      </c>
      <c r="M255" s="3">
        <v>150.4</v>
      </c>
      <c r="N255" s="3">
        <v>131.5</v>
      </c>
      <c r="O255" s="3">
        <v>159</v>
      </c>
      <c r="P255" s="3">
        <v>151.69999999999999</v>
      </c>
      <c r="Q255" s="3">
        <v>172</v>
      </c>
      <c r="R255" s="3">
        <v>147.30000000000001</v>
      </c>
      <c r="S255" s="3">
        <v>133.5</v>
      </c>
      <c r="T255" s="3">
        <v>145.19999999999999</v>
      </c>
      <c r="U255" s="3" t="s">
        <v>182</v>
      </c>
      <c r="V255" s="3">
        <v>138.9</v>
      </c>
      <c r="W255" s="3">
        <v>140.4</v>
      </c>
      <c r="X255" s="3">
        <v>144.4</v>
      </c>
      <c r="Y255" s="3">
        <v>125.2</v>
      </c>
      <c r="Z255" s="3">
        <v>137.69999999999999</v>
      </c>
      <c r="AA255" s="3">
        <v>152.19999999999999</v>
      </c>
      <c r="AB255" s="3">
        <v>143.5</v>
      </c>
      <c r="AC255" s="3">
        <v>138.4</v>
      </c>
      <c r="AD255" s="3">
        <v>147.69999999999999</v>
      </c>
    </row>
    <row r="256" spans="1:30" ht="15" customHeight="1" x14ac:dyDescent="0.2">
      <c r="A256" s="3" t="s">
        <v>89</v>
      </c>
      <c r="B256" s="3">
        <v>2020</v>
      </c>
      <c r="C256" s="3" t="s">
        <v>90</v>
      </c>
      <c r="D256" s="3">
        <v>144.80000000000001</v>
      </c>
      <c r="E256" s="3">
        <v>167.5</v>
      </c>
      <c r="F256" s="3">
        <v>151.80000000000001</v>
      </c>
      <c r="G256" s="3">
        <v>150.80000000000001</v>
      </c>
      <c r="H256" s="3">
        <v>131.4</v>
      </c>
      <c r="I256" s="3">
        <v>141.80000000000001</v>
      </c>
      <c r="J256" s="3">
        <v>170.7</v>
      </c>
      <c r="K256" s="3">
        <v>141.1</v>
      </c>
      <c r="L256" s="3">
        <v>113.6</v>
      </c>
      <c r="M256" s="3">
        <v>152</v>
      </c>
      <c r="N256" s="3">
        <v>136.5</v>
      </c>
      <c r="O256" s="3">
        <v>159.1</v>
      </c>
      <c r="P256" s="3">
        <v>150.5</v>
      </c>
      <c r="Q256" s="3">
        <v>170.1</v>
      </c>
      <c r="R256" s="3">
        <v>150.80000000000001</v>
      </c>
      <c r="S256" s="3">
        <v>141.69999999999999</v>
      </c>
      <c r="T256" s="3">
        <v>149.5</v>
      </c>
      <c r="U256" s="3" t="s">
        <v>182</v>
      </c>
      <c r="V256" s="3">
        <v>147.19999999999999</v>
      </c>
      <c r="W256" s="3">
        <v>146.4</v>
      </c>
      <c r="X256" s="3">
        <v>151.69999999999999</v>
      </c>
      <c r="Y256" s="3">
        <v>130.30000000000001</v>
      </c>
      <c r="Z256" s="3">
        <v>143.19999999999999</v>
      </c>
      <c r="AA256" s="3">
        <v>156.19999999999999</v>
      </c>
      <c r="AB256" s="3">
        <v>143.4</v>
      </c>
      <c r="AC256" s="3">
        <v>143.6</v>
      </c>
      <c r="AD256" s="3">
        <v>149.1</v>
      </c>
    </row>
    <row r="257" spans="1:30" ht="15" customHeight="1" x14ac:dyDescent="0.2">
      <c r="A257" s="3" t="s">
        <v>84</v>
      </c>
      <c r="B257" s="3">
        <v>2020</v>
      </c>
      <c r="C257" s="3" t="s">
        <v>92</v>
      </c>
      <c r="D257" s="3">
        <v>144.4</v>
      </c>
      <c r="E257" s="3">
        <v>166.8</v>
      </c>
      <c r="F257" s="3">
        <v>147.6</v>
      </c>
      <c r="G257" s="3">
        <v>151.69999999999999</v>
      </c>
      <c r="H257" s="3">
        <v>133.30000000000001</v>
      </c>
      <c r="I257" s="3">
        <v>141.80000000000001</v>
      </c>
      <c r="J257" s="3">
        <v>152.30000000000001</v>
      </c>
      <c r="K257" s="3">
        <v>141.80000000000001</v>
      </c>
      <c r="L257" s="3">
        <v>112.6</v>
      </c>
      <c r="M257" s="3">
        <v>154</v>
      </c>
      <c r="N257" s="3">
        <v>140.1</v>
      </c>
      <c r="O257" s="3">
        <v>160</v>
      </c>
      <c r="P257" s="3">
        <v>148.19999999999999</v>
      </c>
      <c r="Q257" s="3">
        <v>170.5</v>
      </c>
      <c r="R257" s="3">
        <v>153.4</v>
      </c>
      <c r="S257" s="3">
        <v>147.6</v>
      </c>
      <c r="T257" s="3">
        <v>152.5</v>
      </c>
      <c r="V257" s="3">
        <v>153.4</v>
      </c>
      <c r="W257" s="3">
        <v>151.5</v>
      </c>
      <c r="X257" s="3">
        <v>156.69999999999999</v>
      </c>
      <c r="Y257" s="3">
        <v>135.80000000000001</v>
      </c>
      <c r="Z257" s="3">
        <v>151.19999999999999</v>
      </c>
      <c r="AA257" s="3">
        <v>161.19999999999999</v>
      </c>
      <c r="AB257" s="3">
        <v>145.1</v>
      </c>
      <c r="AC257" s="3">
        <v>148.6</v>
      </c>
      <c r="AD257" s="3">
        <v>149.80000000000001</v>
      </c>
    </row>
    <row r="258" spans="1:30" ht="15" customHeight="1" x14ac:dyDescent="0.2">
      <c r="A258" s="3" t="s">
        <v>87</v>
      </c>
      <c r="B258" s="3">
        <v>2020</v>
      </c>
      <c r="C258" s="3" t="s">
        <v>92</v>
      </c>
      <c r="D258" s="3">
        <v>146.5</v>
      </c>
      <c r="E258" s="3">
        <v>167.5</v>
      </c>
      <c r="F258" s="3">
        <v>148.9</v>
      </c>
      <c r="G258" s="3">
        <v>151.1</v>
      </c>
      <c r="H258" s="3">
        <v>127.5</v>
      </c>
      <c r="I258" s="3">
        <v>143.30000000000001</v>
      </c>
      <c r="J258" s="3">
        <v>167</v>
      </c>
      <c r="K258" s="3">
        <v>139.69999999999999</v>
      </c>
      <c r="L258" s="3">
        <v>114.4</v>
      </c>
      <c r="M258" s="3">
        <v>151.5</v>
      </c>
      <c r="N258" s="3">
        <v>131.9</v>
      </c>
      <c r="O258" s="3">
        <v>159.1</v>
      </c>
      <c r="P258" s="3">
        <v>150.1</v>
      </c>
      <c r="Q258" s="3">
        <v>173.3</v>
      </c>
      <c r="R258" s="3">
        <v>147.69999999999999</v>
      </c>
      <c r="S258" s="3">
        <v>133.80000000000001</v>
      </c>
      <c r="T258" s="3">
        <v>145.6</v>
      </c>
      <c r="U258" s="3" t="s">
        <v>183</v>
      </c>
      <c r="V258" s="3">
        <v>141.4</v>
      </c>
      <c r="W258" s="3">
        <v>140.80000000000001</v>
      </c>
      <c r="X258" s="3">
        <v>145</v>
      </c>
      <c r="Y258" s="3">
        <v>124.6</v>
      </c>
      <c r="Z258" s="3">
        <v>137.9</v>
      </c>
      <c r="AA258" s="3">
        <v>152.5</v>
      </c>
      <c r="AB258" s="3">
        <v>145.30000000000001</v>
      </c>
      <c r="AC258" s="3">
        <v>138.69999999999999</v>
      </c>
      <c r="AD258" s="3">
        <v>147.30000000000001</v>
      </c>
    </row>
    <row r="259" spans="1:30" ht="15" customHeight="1" x14ac:dyDescent="0.2">
      <c r="A259" s="3" t="s">
        <v>89</v>
      </c>
      <c r="B259" s="3">
        <v>2020</v>
      </c>
      <c r="C259" s="3" t="s">
        <v>92</v>
      </c>
      <c r="D259" s="3">
        <v>145.1</v>
      </c>
      <c r="E259" s="3">
        <v>167</v>
      </c>
      <c r="F259" s="3">
        <v>148.1</v>
      </c>
      <c r="G259" s="3">
        <v>151.5</v>
      </c>
      <c r="H259" s="3">
        <v>131.19999999999999</v>
      </c>
      <c r="I259" s="3">
        <v>142.5</v>
      </c>
      <c r="J259" s="3">
        <v>157.30000000000001</v>
      </c>
      <c r="K259" s="3">
        <v>141.1</v>
      </c>
      <c r="L259" s="3">
        <v>113.2</v>
      </c>
      <c r="M259" s="3">
        <v>153.19999999999999</v>
      </c>
      <c r="N259" s="3">
        <v>136.69999999999999</v>
      </c>
      <c r="O259" s="3">
        <v>159.6</v>
      </c>
      <c r="P259" s="3">
        <v>148.9</v>
      </c>
      <c r="Q259" s="3">
        <v>171.2</v>
      </c>
      <c r="R259" s="3">
        <v>151.19999999999999</v>
      </c>
      <c r="S259" s="3">
        <v>141.9</v>
      </c>
      <c r="T259" s="3">
        <v>149.80000000000001</v>
      </c>
      <c r="U259" s="3" t="s">
        <v>183</v>
      </c>
      <c r="V259" s="3">
        <v>148.9</v>
      </c>
      <c r="W259" s="3">
        <v>146.4</v>
      </c>
      <c r="X259" s="3">
        <v>152.30000000000001</v>
      </c>
      <c r="Y259" s="3">
        <v>129.9</v>
      </c>
      <c r="Z259" s="3">
        <v>143.69999999999999</v>
      </c>
      <c r="AA259" s="3">
        <v>156.1</v>
      </c>
      <c r="AB259" s="3">
        <v>145.19999999999999</v>
      </c>
      <c r="AC259" s="3">
        <v>143.80000000000001</v>
      </c>
      <c r="AD259" s="3">
        <v>148.6</v>
      </c>
    </row>
    <row r="260" spans="1:30" ht="15" customHeight="1" x14ac:dyDescent="0.2">
      <c r="A260" s="3" t="s">
        <v>84</v>
      </c>
      <c r="B260" s="3">
        <v>2020</v>
      </c>
      <c r="C260" s="3" t="s">
        <v>93</v>
      </c>
      <c r="D260" s="3">
        <v>147.19999999999999</v>
      </c>
      <c r="F260" s="3">
        <v>146.9</v>
      </c>
      <c r="G260" s="3">
        <v>155.6</v>
      </c>
      <c r="H260" s="3">
        <v>137.1</v>
      </c>
      <c r="I260" s="3">
        <v>147.30000000000001</v>
      </c>
      <c r="J260" s="3">
        <v>162.69999999999999</v>
      </c>
      <c r="K260" s="3">
        <v>150.19999999999999</v>
      </c>
      <c r="L260" s="3">
        <v>119.8</v>
      </c>
      <c r="M260" s="3">
        <v>158.69999999999999</v>
      </c>
      <c r="N260" s="3">
        <v>139.19999999999999</v>
      </c>
      <c r="P260" s="3">
        <v>150.1</v>
      </c>
      <c r="V260" s="3">
        <v>148.4</v>
      </c>
      <c r="X260" s="3">
        <v>154.30000000000001</v>
      </c>
    </row>
    <row r="261" spans="1:30" ht="15" customHeight="1" x14ac:dyDescent="0.2">
      <c r="A261" s="3" t="s">
        <v>87</v>
      </c>
      <c r="B261" s="3">
        <v>2020</v>
      </c>
      <c r="C261" s="3" t="s">
        <v>93</v>
      </c>
      <c r="D261" s="3">
        <v>151.80000000000001</v>
      </c>
      <c r="F261" s="3">
        <v>151.9</v>
      </c>
      <c r="G261" s="3">
        <v>155.5</v>
      </c>
      <c r="H261" s="3">
        <v>131.6</v>
      </c>
      <c r="I261" s="3">
        <v>152.9</v>
      </c>
      <c r="J261" s="3">
        <v>180</v>
      </c>
      <c r="K261" s="3">
        <v>150.80000000000001</v>
      </c>
      <c r="L261" s="3">
        <v>121.2</v>
      </c>
      <c r="M261" s="3">
        <v>154</v>
      </c>
      <c r="N261" s="3">
        <v>133.5</v>
      </c>
      <c r="P261" s="3">
        <v>153.5</v>
      </c>
      <c r="U261" s="3" t="s">
        <v>184</v>
      </c>
      <c r="V261" s="3">
        <v>137.1</v>
      </c>
      <c r="X261" s="3">
        <v>144.80000000000001</v>
      </c>
    </row>
    <row r="262" spans="1:30" ht="15" customHeight="1" x14ac:dyDescent="0.2">
      <c r="A262" s="3" t="s">
        <v>89</v>
      </c>
      <c r="B262" s="3">
        <v>2020</v>
      </c>
      <c r="C262" s="3" t="s">
        <v>93</v>
      </c>
      <c r="D262" s="3">
        <v>148.69999999999999</v>
      </c>
      <c r="F262" s="3">
        <v>148.80000000000001</v>
      </c>
      <c r="G262" s="3">
        <v>155.6</v>
      </c>
      <c r="H262" s="3">
        <v>135.1</v>
      </c>
      <c r="I262" s="3">
        <v>149.9</v>
      </c>
      <c r="J262" s="3">
        <v>168.6</v>
      </c>
      <c r="K262" s="3">
        <v>150.4</v>
      </c>
      <c r="L262" s="3">
        <v>120.3</v>
      </c>
      <c r="M262" s="3">
        <v>157.1</v>
      </c>
      <c r="N262" s="3">
        <v>136.80000000000001</v>
      </c>
      <c r="P262" s="3">
        <v>151.4</v>
      </c>
      <c r="U262" s="3" t="s">
        <v>184</v>
      </c>
      <c r="V262" s="3">
        <v>144.1</v>
      </c>
      <c r="X262" s="3">
        <v>150.69999999999999</v>
      </c>
    </row>
    <row r="263" spans="1:30" ht="15" customHeight="1" x14ac:dyDescent="0.2">
      <c r="A263" s="3" t="s">
        <v>84</v>
      </c>
      <c r="B263" s="3">
        <v>2020</v>
      </c>
      <c r="C263" s="3" t="s">
        <v>95</v>
      </c>
    </row>
    <row r="264" spans="1:30" ht="15" customHeight="1" x14ac:dyDescent="0.2">
      <c r="A264" s="3" t="s">
        <v>87</v>
      </c>
      <c r="B264" s="3">
        <v>2020</v>
      </c>
      <c r="C264" s="3" t="s">
        <v>95</v>
      </c>
    </row>
    <row r="265" spans="1:30" ht="15" customHeight="1" x14ac:dyDescent="0.2">
      <c r="A265" s="3" t="s">
        <v>89</v>
      </c>
      <c r="B265" s="3">
        <v>2020</v>
      </c>
      <c r="C265" s="3" t="s">
        <v>95</v>
      </c>
    </row>
    <row r="266" spans="1:30" ht="15" customHeight="1" x14ac:dyDescent="0.2">
      <c r="A266" s="3" t="s">
        <v>84</v>
      </c>
      <c r="B266" s="3">
        <v>2020</v>
      </c>
      <c r="C266" s="3" t="s">
        <v>96</v>
      </c>
      <c r="D266" s="3">
        <v>148.19999999999999</v>
      </c>
      <c r="E266" s="3">
        <v>190.3</v>
      </c>
      <c r="F266" s="3">
        <v>149.4</v>
      </c>
      <c r="G266" s="3">
        <v>153.30000000000001</v>
      </c>
      <c r="H266" s="3">
        <v>138.19999999999999</v>
      </c>
      <c r="I266" s="3">
        <v>143.19999999999999</v>
      </c>
      <c r="J266" s="3">
        <v>148.9</v>
      </c>
      <c r="K266" s="3">
        <v>150.30000000000001</v>
      </c>
      <c r="L266" s="3">
        <v>113.2</v>
      </c>
      <c r="M266" s="3">
        <v>159.80000000000001</v>
      </c>
      <c r="N266" s="3">
        <v>142.1</v>
      </c>
      <c r="O266" s="3">
        <v>161.80000000000001</v>
      </c>
      <c r="P266" s="3">
        <v>152.30000000000001</v>
      </c>
      <c r="Q266" s="3">
        <v>182.4</v>
      </c>
      <c r="R266" s="3">
        <v>154.69999999999999</v>
      </c>
      <c r="S266" s="3">
        <v>150</v>
      </c>
      <c r="T266" s="3">
        <v>154.1</v>
      </c>
      <c r="V266" s="3">
        <v>144.9</v>
      </c>
      <c r="W266" s="3">
        <v>151.69999999999999</v>
      </c>
      <c r="X266" s="3">
        <v>158.19999999999999</v>
      </c>
      <c r="Y266" s="3">
        <v>141.4</v>
      </c>
      <c r="Z266" s="3">
        <v>153.19999999999999</v>
      </c>
      <c r="AA266" s="3">
        <v>161.80000000000001</v>
      </c>
      <c r="AB266" s="3">
        <v>151.19999999999999</v>
      </c>
      <c r="AC266" s="3">
        <v>151.69999999999999</v>
      </c>
      <c r="AD266" s="3">
        <v>152.69999999999999</v>
      </c>
    </row>
    <row r="267" spans="1:30" ht="15" customHeight="1" x14ac:dyDescent="0.2">
      <c r="A267" s="3" t="s">
        <v>87</v>
      </c>
      <c r="B267" s="3">
        <v>2020</v>
      </c>
      <c r="C267" s="3" t="s">
        <v>96</v>
      </c>
      <c r="D267" s="3">
        <v>152.69999999999999</v>
      </c>
      <c r="E267" s="3">
        <v>197</v>
      </c>
      <c r="F267" s="3">
        <v>154.6</v>
      </c>
      <c r="G267" s="3">
        <v>153.4</v>
      </c>
      <c r="H267" s="3">
        <v>132.9</v>
      </c>
      <c r="I267" s="3">
        <v>151.80000000000001</v>
      </c>
      <c r="J267" s="3">
        <v>171.2</v>
      </c>
      <c r="K267" s="3">
        <v>152</v>
      </c>
      <c r="L267" s="3">
        <v>116.3</v>
      </c>
      <c r="M267" s="3">
        <v>158.80000000000001</v>
      </c>
      <c r="N267" s="3">
        <v>135.6</v>
      </c>
      <c r="O267" s="3">
        <v>161.69999999999999</v>
      </c>
      <c r="P267" s="3">
        <v>157</v>
      </c>
      <c r="Q267" s="3">
        <v>186.7</v>
      </c>
      <c r="R267" s="3">
        <v>149.1</v>
      </c>
      <c r="S267" s="3">
        <v>136.6</v>
      </c>
      <c r="T267" s="3">
        <v>147.19999999999999</v>
      </c>
      <c r="U267" s="3" t="s">
        <v>185</v>
      </c>
      <c r="V267" s="3">
        <v>137.1</v>
      </c>
      <c r="W267" s="3">
        <v>140.4</v>
      </c>
      <c r="X267" s="3">
        <v>148.1</v>
      </c>
      <c r="Y267" s="3">
        <v>129.30000000000001</v>
      </c>
      <c r="Z267" s="3">
        <v>144.5</v>
      </c>
      <c r="AA267" s="3">
        <v>152.5</v>
      </c>
      <c r="AB267" s="3">
        <v>152.19999999999999</v>
      </c>
      <c r="AC267" s="3">
        <v>142</v>
      </c>
      <c r="AD267" s="3">
        <v>150.80000000000001</v>
      </c>
    </row>
    <row r="268" spans="1:30" ht="15" customHeight="1" x14ac:dyDescent="0.2">
      <c r="A268" s="3" t="s">
        <v>89</v>
      </c>
      <c r="B268" s="3">
        <v>2020</v>
      </c>
      <c r="C268" s="3" t="s">
        <v>96</v>
      </c>
      <c r="D268" s="3">
        <v>149.6</v>
      </c>
      <c r="E268" s="3">
        <v>192.7</v>
      </c>
      <c r="F268" s="3">
        <v>151.4</v>
      </c>
      <c r="G268" s="3">
        <v>153.30000000000001</v>
      </c>
      <c r="H268" s="3">
        <v>136.30000000000001</v>
      </c>
      <c r="I268" s="3">
        <v>147.19999999999999</v>
      </c>
      <c r="J268" s="3">
        <v>156.5</v>
      </c>
      <c r="K268" s="3">
        <v>150.9</v>
      </c>
      <c r="L268" s="3">
        <v>114.2</v>
      </c>
      <c r="M268" s="3">
        <v>159.5</v>
      </c>
      <c r="N268" s="3">
        <v>139.4</v>
      </c>
      <c r="O268" s="3">
        <v>161.80000000000001</v>
      </c>
      <c r="P268" s="3">
        <v>154</v>
      </c>
      <c r="Q268" s="3">
        <v>183.5</v>
      </c>
      <c r="R268" s="3">
        <v>152.5</v>
      </c>
      <c r="S268" s="3">
        <v>144.4</v>
      </c>
      <c r="T268" s="3">
        <v>151.4</v>
      </c>
      <c r="U268" s="3" t="s">
        <v>185</v>
      </c>
      <c r="V268" s="3">
        <v>141.9</v>
      </c>
      <c r="W268" s="3">
        <v>146.4</v>
      </c>
      <c r="X268" s="3">
        <v>154.4</v>
      </c>
      <c r="Y268" s="3">
        <v>135</v>
      </c>
      <c r="Z268" s="3">
        <v>148.30000000000001</v>
      </c>
      <c r="AA268" s="3">
        <v>156.4</v>
      </c>
      <c r="AB268" s="3">
        <v>151.6</v>
      </c>
      <c r="AC268" s="3">
        <v>147</v>
      </c>
      <c r="AD268" s="3">
        <v>151.80000000000001</v>
      </c>
    </row>
    <row r="269" spans="1:30" ht="15" customHeight="1" x14ac:dyDescent="0.2">
      <c r="A269" s="3" t="s">
        <v>84</v>
      </c>
      <c r="B269" s="3">
        <v>2020</v>
      </c>
      <c r="C269" s="3" t="s">
        <v>98</v>
      </c>
      <c r="D269" s="3">
        <v>148.19999999999999</v>
      </c>
      <c r="E269" s="3">
        <v>190.3</v>
      </c>
      <c r="F269" s="3">
        <v>149.4</v>
      </c>
      <c r="G269" s="3">
        <v>153.30000000000001</v>
      </c>
      <c r="H269" s="3">
        <v>138.19999999999999</v>
      </c>
      <c r="I269" s="3">
        <v>143.19999999999999</v>
      </c>
      <c r="J269" s="3">
        <v>148.9</v>
      </c>
      <c r="K269" s="3">
        <v>150.30000000000001</v>
      </c>
      <c r="L269" s="3">
        <v>113.2</v>
      </c>
      <c r="M269" s="3">
        <v>159.80000000000001</v>
      </c>
      <c r="N269" s="3">
        <v>142.1</v>
      </c>
      <c r="O269" s="3">
        <v>161.80000000000001</v>
      </c>
      <c r="P269" s="3">
        <v>152.30000000000001</v>
      </c>
      <c r="Q269" s="3">
        <v>182.4</v>
      </c>
      <c r="R269" s="3">
        <v>154.69999999999999</v>
      </c>
      <c r="S269" s="3">
        <v>150</v>
      </c>
      <c r="T269" s="3">
        <v>154.1</v>
      </c>
      <c r="V269" s="3">
        <v>144.9</v>
      </c>
      <c r="W269" s="3">
        <v>151.69999999999999</v>
      </c>
      <c r="X269" s="3">
        <v>158.19999999999999</v>
      </c>
      <c r="Y269" s="3">
        <v>141.4</v>
      </c>
      <c r="Z269" s="3">
        <v>153.19999999999999</v>
      </c>
      <c r="AA269" s="3">
        <v>161.80000000000001</v>
      </c>
      <c r="AB269" s="3">
        <v>151.19999999999999</v>
      </c>
      <c r="AC269" s="3">
        <v>151.69999999999999</v>
      </c>
      <c r="AD269" s="3">
        <v>152.69999999999999</v>
      </c>
    </row>
    <row r="270" spans="1:30" ht="15" customHeight="1" x14ac:dyDescent="0.2">
      <c r="A270" s="3" t="s">
        <v>87</v>
      </c>
      <c r="B270" s="3">
        <v>2020</v>
      </c>
      <c r="C270" s="3" t="s">
        <v>98</v>
      </c>
      <c r="D270" s="3">
        <v>152.69999999999999</v>
      </c>
      <c r="E270" s="3">
        <v>197</v>
      </c>
      <c r="F270" s="3">
        <v>154.6</v>
      </c>
      <c r="G270" s="3">
        <v>153.4</v>
      </c>
      <c r="H270" s="3">
        <v>132.9</v>
      </c>
      <c r="I270" s="3">
        <v>151.80000000000001</v>
      </c>
      <c r="J270" s="3">
        <v>171.2</v>
      </c>
      <c r="K270" s="3">
        <v>152</v>
      </c>
      <c r="L270" s="3">
        <v>116.3</v>
      </c>
      <c r="M270" s="3">
        <v>158.80000000000001</v>
      </c>
      <c r="N270" s="3">
        <v>135.6</v>
      </c>
      <c r="O270" s="3">
        <v>161.69999999999999</v>
      </c>
      <c r="P270" s="3">
        <v>157</v>
      </c>
      <c r="Q270" s="3">
        <v>186.7</v>
      </c>
      <c r="R270" s="3">
        <v>149.1</v>
      </c>
      <c r="S270" s="3">
        <v>136.6</v>
      </c>
      <c r="T270" s="3">
        <v>147.19999999999999</v>
      </c>
      <c r="U270" s="3" t="s">
        <v>185</v>
      </c>
      <c r="V270" s="3">
        <v>137.1</v>
      </c>
      <c r="W270" s="3">
        <v>140.4</v>
      </c>
      <c r="X270" s="3">
        <v>148.1</v>
      </c>
      <c r="Y270" s="3">
        <v>129.30000000000001</v>
      </c>
      <c r="Z270" s="3">
        <v>144.5</v>
      </c>
      <c r="AA270" s="3">
        <v>152.5</v>
      </c>
      <c r="AB270" s="3">
        <v>152.19999999999999</v>
      </c>
      <c r="AC270" s="3">
        <v>142</v>
      </c>
      <c r="AD270" s="3">
        <v>150.80000000000001</v>
      </c>
    </row>
    <row r="271" spans="1:30" ht="15" customHeight="1" x14ac:dyDescent="0.2">
      <c r="A271" s="3" t="s">
        <v>89</v>
      </c>
      <c r="B271" s="3">
        <v>2020</v>
      </c>
      <c r="C271" s="3" t="s">
        <v>98</v>
      </c>
      <c r="D271" s="3">
        <v>149.6</v>
      </c>
      <c r="E271" s="3">
        <v>192.7</v>
      </c>
      <c r="F271" s="3">
        <v>151.4</v>
      </c>
      <c r="G271" s="3">
        <v>153.30000000000001</v>
      </c>
      <c r="H271" s="3">
        <v>136.30000000000001</v>
      </c>
      <c r="I271" s="3">
        <v>147.19999999999999</v>
      </c>
      <c r="J271" s="3">
        <v>156.5</v>
      </c>
      <c r="K271" s="3">
        <v>150.9</v>
      </c>
      <c r="L271" s="3">
        <v>114.2</v>
      </c>
      <c r="M271" s="3">
        <v>159.5</v>
      </c>
      <c r="N271" s="3">
        <v>139.4</v>
      </c>
      <c r="O271" s="3">
        <v>161.80000000000001</v>
      </c>
      <c r="P271" s="3">
        <v>154</v>
      </c>
      <c r="Q271" s="3">
        <v>183.5</v>
      </c>
      <c r="R271" s="3">
        <v>152.5</v>
      </c>
      <c r="S271" s="3">
        <v>144.4</v>
      </c>
      <c r="T271" s="3">
        <v>151.4</v>
      </c>
      <c r="U271" s="3" t="s">
        <v>185</v>
      </c>
      <c r="V271" s="3">
        <v>141.9</v>
      </c>
      <c r="W271" s="3">
        <v>146.4</v>
      </c>
      <c r="X271" s="3">
        <v>154.4</v>
      </c>
      <c r="Y271" s="3">
        <v>135</v>
      </c>
      <c r="Z271" s="3">
        <v>148.30000000000001</v>
      </c>
      <c r="AA271" s="3">
        <v>156.4</v>
      </c>
      <c r="AB271" s="3">
        <v>151.6</v>
      </c>
      <c r="AC271" s="3">
        <v>147</v>
      </c>
      <c r="AD271" s="3">
        <v>151.80000000000001</v>
      </c>
    </row>
    <row r="272" spans="1:30" ht="15" customHeight="1" x14ac:dyDescent="0.2">
      <c r="A272" s="3" t="s">
        <v>84</v>
      </c>
      <c r="B272" s="3">
        <v>2020</v>
      </c>
      <c r="C272" s="3" t="s">
        <v>100</v>
      </c>
      <c r="D272" s="3">
        <v>147.6</v>
      </c>
      <c r="E272" s="3">
        <v>187.2</v>
      </c>
      <c r="F272" s="3">
        <v>148.4</v>
      </c>
      <c r="G272" s="3">
        <v>153.30000000000001</v>
      </c>
      <c r="H272" s="3">
        <v>139.80000000000001</v>
      </c>
      <c r="I272" s="3">
        <v>146.9</v>
      </c>
      <c r="J272" s="3">
        <v>171</v>
      </c>
      <c r="K272" s="3">
        <v>149.9</v>
      </c>
      <c r="L272" s="3">
        <v>114.2</v>
      </c>
      <c r="M272" s="3">
        <v>160</v>
      </c>
      <c r="N272" s="3">
        <v>143.5</v>
      </c>
      <c r="O272" s="3">
        <v>161.5</v>
      </c>
      <c r="P272" s="3">
        <v>155.30000000000001</v>
      </c>
      <c r="Q272" s="3">
        <v>180.9</v>
      </c>
      <c r="R272" s="3">
        <v>155.1</v>
      </c>
      <c r="S272" s="3">
        <v>149.30000000000001</v>
      </c>
      <c r="T272" s="3">
        <v>154.30000000000001</v>
      </c>
      <c r="V272" s="3">
        <v>145.80000000000001</v>
      </c>
      <c r="W272" s="3">
        <v>151.9</v>
      </c>
      <c r="X272" s="3">
        <v>158.80000000000001</v>
      </c>
      <c r="Y272" s="3">
        <v>143.6</v>
      </c>
      <c r="Z272" s="3">
        <v>152.19999999999999</v>
      </c>
      <c r="AA272" s="3">
        <v>162.69999999999999</v>
      </c>
      <c r="AB272" s="3">
        <v>153.6</v>
      </c>
      <c r="AC272" s="3">
        <v>153</v>
      </c>
      <c r="AD272" s="3">
        <v>154.69999999999999</v>
      </c>
    </row>
    <row r="273" spans="1:30" ht="15" customHeight="1" x14ac:dyDescent="0.2">
      <c r="A273" s="3" t="s">
        <v>87</v>
      </c>
      <c r="B273" s="3">
        <v>2020</v>
      </c>
      <c r="C273" s="3" t="s">
        <v>100</v>
      </c>
      <c r="D273" s="3">
        <v>151.6</v>
      </c>
      <c r="E273" s="3">
        <v>197.8</v>
      </c>
      <c r="F273" s="3">
        <v>154.5</v>
      </c>
      <c r="G273" s="3">
        <v>153.4</v>
      </c>
      <c r="H273" s="3">
        <v>133.4</v>
      </c>
      <c r="I273" s="3">
        <v>154.5</v>
      </c>
      <c r="J273" s="3">
        <v>191.9</v>
      </c>
      <c r="K273" s="3">
        <v>151.30000000000001</v>
      </c>
      <c r="L273" s="3">
        <v>116.8</v>
      </c>
      <c r="M273" s="3">
        <v>160</v>
      </c>
      <c r="N273" s="3">
        <v>136.5</v>
      </c>
      <c r="O273" s="3">
        <v>163.30000000000001</v>
      </c>
      <c r="P273" s="3">
        <v>159.9</v>
      </c>
      <c r="Q273" s="3">
        <v>187.2</v>
      </c>
      <c r="R273" s="3">
        <v>150</v>
      </c>
      <c r="S273" s="3">
        <v>135.19999999999999</v>
      </c>
      <c r="T273" s="3">
        <v>147.80000000000001</v>
      </c>
      <c r="U273" s="3" t="s">
        <v>186</v>
      </c>
      <c r="V273" s="3">
        <v>138.30000000000001</v>
      </c>
      <c r="W273" s="3">
        <v>144.5</v>
      </c>
      <c r="X273" s="3">
        <v>148.69999999999999</v>
      </c>
      <c r="Y273" s="3">
        <v>133.9</v>
      </c>
      <c r="Z273" s="3">
        <v>141.19999999999999</v>
      </c>
      <c r="AA273" s="3">
        <v>155.5</v>
      </c>
      <c r="AB273" s="3">
        <v>155.19999999999999</v>
      </c>
      <c r="AC273" s="3">
        <v>144.80000000000001</v>
      </c>
      <c r="AD273" s="3">
        <v>152.9</v>
      </c>
    </row>
    <row r="274" spans="1:30" ht="15" customHeight="1" x14ac:dyDescent="0.2">
      <c r="A274" s="3" t="s">
        <v>89</v>
      </c>
      <c r="B274" s="3">
        <v>2020</v>
      </c>
      <c r="C274" s="3" t="s">
        <v>100</v>
      </c>
      <c r="D274" s="3">
        <v>148.9</v>
      </c>
      <c r="E274" s="3">
        <v>190.9</v>
      </c>
      <c r="F274" s="3">
        <v>150.80000000000001</v>
      </c>
      <c r="G274" s="3">
        <v>153.30000000000001</v>
      </c>
      <c r="H274" s="3">
        <v>137.4</v>
      </c>
      <c r="I274" s="3">
        <v>150.4</v>
      </c>
      <c r="J274" s="3">
        <v>178.1</v>
      </c>
      <c r="K274" s="3">
        <v>150.4</v>
      </c>
      <c r="L274" s="3">
        <v>115.1</v>
      </c>
      <c r="M274" s="3">
        <v>160</v>
      </c>
      <c r="N274" s="3">
        <v>140.6</v>
      </c>
      <c r="O274" s="3">
        <v>162.30000000000001</v>
      </c>
      <c r="P274" s="3">
        <v>157</v>
      </c>
      <c r="Q274" s="3">
        <v>182.6</v>
      </c>
      <c r="R274" s="3">
        <v>153.1</v>
      </c>
      <c r="S274" s="3">
        <v>143.4</v>
      </c>
      <c r="T274" s="3">
        <v>151.69999999999999</v>
      </c>
      <c r="U274" s="3" t="s">
        <v>186</v>
      </c>
      <c r="V274" s="3">
        <v>143</v>
      </c>
      <c r="W274" s="3">
        <v>148.4</v>
      </c>
      <c r="X274" s="3">
        <v>155</v>
      </c>
      <c r="Y274" s="3">
        <v>138.5</v>
      </c>
      <c r="Z274" s="3">
        <v>146</v>
      </c>
      <c r="AA274" s="3">
        <v>158.5</v>
      </c>
      <c r="AB274" s="3">
        <v>154.30000000000001</v>
      </c>
      <c r="AC274" s="3">
        <v>149</v>
      </c>
      <c r="AD274" s="3">
        <v>153.9</v>
      </c>
    </row>
    <row r="275" spans="1:30" ht="15" customHeight="1" x14ac:dyDescent="0.2">
      <c r="A275" s="3" t="s">
        <v>84</v>
      </c>
      <c r="B275" s="3">
        <v>2020</v>
      </c>
      <c r="C275" s="3" t="s">
        <v>102</v>
      </c>
      <c r="D275" s="3">
        <v>146.9</v>
      </c>
      <c r="E275" s="3">
        <v>183.9</v>
      </c>
      <c r="F275" s="3">
        <v>149.5</v>
      </c>
      <c r="G275" s="3">
        <v>153.4</v>
      </c>
      <c r="H275" s="3">
        <v>140.4</v>
      </c>
      <c r="I275" s="3">
        <v>147</v>
      </c>
      <c r="J275" s="3">
        <v>178.8</v>
      </c>
      <c r="K275" s="3">
        <v>149.30000000000001</v>
      </c>
      <c r="L275" s="3">
        <v>115.1</v>
      </c>
      <c r="M275" s="3">
        <v>160</v>
      </c>
      <c r="N275" s="3">
        <v>145.4</v>
      </c>
      <c r="O275" s="3">
        <v>161.6</v>
      </c>
      <c r="P275" s="3">
        <v>156.1</v>
      </c>
      <c r="Q275" s="3">
        <v>182.9</v>
      </c>
      <c r="R275" s="3">
        <v>155.4</v>
      </c>
      <c r="S275" s="3">
        <v>149.9</v>
      </c>
      <c r="T275" s="3">
        <v>154.6</v>
      </c>
      <c r="V275" s="3">
        <v>146.4</v>
      </c>
      <c r="W275" s="3">
        <v>151.6</v>
      </c>
      <c r="X275" s="3">
        <v>159.1</v>
      </c>
      <c r="Y275" s="3">
        <v>144.6</v>
      </c>
      <c r="Z275" s="3">
        <v>152.80000000000001</v>
      </c>
      <c r="AA275" s="3">
        <v>161.1</v>
      </c>
      <c r="AB275" s="3">
        <v>157.4</v>
      </c>
      <c r="AC275" s="3">
        <v>153.69999999999999</v>
      </c>
      <c r="AD275" s="3">
        <v>155.4</v>
      </c>
    </row>
    <row r="276" spans="1:30" ht="15" customHeight="1" x14ac:dyDescent="0.2">
      <c r="A276" s="3" t="s">
        <v>87</v>
      </c>
      <c r="B276" s="3">
        <v>2020</v>
      </c>
      <c r="C276" s="3" t="s">
        <v>102</v>
      </c>
      <c r="D276" s="3">
        <v>151.5</v>
      </c>
      <c r="E276" s="3">
        <v>193.1</v>
      </c>
      <c r="F276" s="3">
        <v>157.30000000000001</v>
      </c>
      <c r="G276" s="3">
        <v>153.9</v>
      </c>
      <c r="H276" s="3">
        <v>134.4</v>
      </c>
      <c r="I276" s="3">
        <v>155.4</v>
      </c>
      <c r="J276" s="3">
        <v>202</v>
      </c>
      <c r="K276" s="3">
        <v>150.80000000000001</v>
      </c>
      <c r="L276" s="3">
        <v>118.9</v>
      </c>
      <c r="M276" s="3">
        <v>160.9</v>
      </c>
      <c r="N276" s="3">
        <v>137.69999999999999</v>
      </c>
      <c r="O276" s="3">
        <v>164.4</v>
      </c>
      <c r="P276" s="3">
        <v>161.30000000000001</v>
      </c>
      <c r="Q276" s="3">
        <v>188.7</v>
      </c>
      <c r="R276" s="3">
        <v>150.19999999999999</v>
      </c>
      <c r="S276" s="3">
        <v>136.30000000000001</v>
      </c>
      <c r="T276" s="3">
        <v>148.1</v>
      </c>
      <c r="U276" s="3" t="s">
        <v>187</v>
      </c>
      <c r="V276" s="3">
        <v>137.19999999999999</v>
      </c>
      <c r="W276" s="3">
        <v>145.4</v>
      </c>
      <c r="X276" s="3">
        <v>150</v>
      </c>
      <c r="Y276" s="3">
        <v>135.1</v>
      </c>
      <c r="Z276" s="3">
        <v>141.80000000000001</v>
      </c>
      <c r="AA276" s="3">
        <v>154.9</v>
      </c>
      <c r="AB276" s="3">
        <v>159.80000000000001</v>
      </c>
      <c r="AC276" s="3">
        <v>146</v>
      </c>
      <c r="AD276" s="3">
        <v>154</v>
      </c>
    </row>
    <row r="277" spans="1:30" ht="15" customHeight="1" x14ac:dyDescent="0.2">
      <c r="A277" s="3" t="s">
        <v>89</v>
      </c>
      <c r="B277" s="3">
        <v>2020</v>
      </c>
      <c r="C277" s="3" t="s">
        <v>102</v>
      </c>
      <c r="D277" s="3">
        <v>148.4</v>
      </c>
      <c r="E277" s="3">
        <v>187.1</v>
      </c>
      <c r="F277" s="3">
        <v>152.5</v>
      </c>
      <c r="G277" s="3">
        <v>153.6</v>
      </c>
      <c r="H277" s="3">
        <v>138.19999999999999</v>
      </c>
      <c r="I277" s="3">
        <v>150.9</v>
      </c>
      <c r="J277" s="3">
        <v>186.7</v>
      </c>
      <c r="K277" s="3">
        <v>149.80000000000001</v>
      </c>
      <c r="L277" s="3">
        <v>116.4</v>
      </c>
      <c r="M277" s="3">
        <v>160.30000000000001</v>
      </c>
      <c r="N277" s="3">
        <v>142.19999999999999</v>
      </c>
      <c r="O277" s="3">
        <v>162.9</v>
      </c>
      <c r="P277" s="3">
        <v>158</v>
      </c>
      <c r="Q277" s="3">
        <v>184.4</v>
      </c>
      <c r="R277" s="3">
        <v>153.4</v>
      </c>
      <c r="S277" s="3">
        <v>144.30000000000001</v>
      </c>
      <c r="T277" s="3">
        <v>152</v>
      </c>
      <c r="U277" s="3" t="s">
        <v>187</v>
      </c>
      <c r="V277" s="3">
        <v>142.9</v>
      </c>
      <c r="W277" s="3">
        <v>148.69999999999999</v>
      </c>
      <c r="X277" s="3">
        <v>155.6</v>
      </c>
      <c r="Y277" s="3">
        <v>139.6</v>
      </c>
      <c r="Z277" s="3">
        <v>146.6</v>
      </c>
      <c r="AA277" s="3">
        <v>157.5</v>
      </c>
      <c r="AB277" s="3">
        <v>158.4</v>
      </c>
      <c r="AC277" s="3">
        <v>150</v>
      </c>
      <c r="AD277" s="3">
        <v>154.69999999999999</v>
      </c>
    </row>
    <row r="278" spans="1:30" ht="15" customHeight="1" x14ac:dyDescent="0.2">
      <c r="A278" s="3" t="s">
        <v>84</v>
      </c>
      <c r="B278" s="3">
        <v>2020</v>
      </c>
      <c r="C278" s="3" t="s">
        <v>104</v>
      </c>
      <c r="D278" s="3">
        <v>146</v>
      </c>
      <c r="E278" s="3">
        <v>186.3</v>
      </c>
      <c r="F278" s="3">
        <v>159.19999999999999</v>
      </c>
      <c r="G278" s="3">
        <v>153.6</v>
      </c>
      <c r="H278" s="3">
        <v>142.6</v>
      </c>
      <c r="I278" s="3">
        <v>147.19999999999999</v>
      </c>
      <c r="J278" s="3">
        <v>200.6</v>
      </c>
      <c r="K278" s="3">
        <v>150.30000000000001</v>
      </c>
      <c r="L278" s="3">
        <v>115.3</v>
      </c>
      <c r="M278" s="3">
        <v>160.9</v>
      </c>
      <c r="N278" s="3">
        <v>147.4</v>
      </c>
      <c r="O278" s="3">
        <v>161.9</v>
      </c>
      <c r="P278" s="3">
        <v>159.6</v>
      </c>
      <c r="Q278" s="3">
        <v>182.7</v>
      </c>
      <c r="R278" s="3">
        <v>155.69999999999999</v>
      </c>
      <c r="S278" s="3">
        <v>150.6</v>
      </c>
      <c r="T278" s="3">
        <v>155</v>
      </c>
      <c r="V278" s="3">
        <v>146.80000000000001</v>
      </c>
      <c r="W278" s="3">
        <v>152</v>
      </c>
      <c r="X278" s="3">
        <v>159.5</v>
      </c>
      <c r="Y278" s="3">
        <v>146.4</v>
      </c>
      <c r="Z278" s="3">
        <v>152.4</v>
      </c>
      <c r="AA278" s="3">
        <v>162.5</v>
      </c>
      <c r="AB278" s="3">
        <v>156.19999999999999</v>
      </c>
      <c r="AC278" s="3">
        <v>154.30000000000001</v>
      </c>
      <c r="AD278" s="3">
        <v>157.5</v>
      </c>
    </row>
    <row r="279" spans="1:30" ht="15" customHeight="1" x14ac:dyDescent="0.2">
      <c r="A279" s="3" t="s">
        <v>87</v>
      </c>
      <c r="B279" s="3">
        <v>2020</v>
      </c>
      <c r="C279" s="3" t="s">
        <v>104</v>
      </c>
      <c r="D279" s="3">
        <v>150.6</v>
      </c>
      <c r="E279" s="3">
        <v>193.7</v>
      </c>
      <c r="F279" s="3">
        <v>164.8</v>
      </c>
      <c r="G279" s="3">
        <v>153.69999999999999</v>
      </c>
      <c r="H279" s="3">
        <v>135.69999999999999</v>
      </c>
      <c r="I279" s="3">
        <v>155.69999999999999</v>
      </c>
      <c r="J279" s="3">
        <v>226</v>
      </c>
      <c r="K279" s="3">
        <v>152.19999999999999</v>
      </c>
      <c r="L279" s="3">
        <v>118.1</v>
      </c>
      <c r="M279" s="3">
        <v>161.30000000000001</v>
      </c>
      <c r="N279" s="3">
        <v>139.19999999999999</v>
      </c>
      <c r="O279" s="3">
        <v>164.8</v>
      </c>
      <c r="P279" s="3">
        <v>164.4</v>
      </c>
      <c r="Q279" s="3">
        <v>188.7</v>
      </c>
      <c r="R279" s="3">
        <v>150.5</v>
      </c>
      <c r="S279" s="3">
        <v>136.1</v>
      </c>
      <c r="T279" s="3">
        <v>148.30000000000001</v>
      </c>
      <c r="U279" s="3" t="s">
        <v>188</v>
      </c>
      <c r="V279" s="3">
        <v>137.1</v>
      </c>
      <c r="W279" s="3">
        <v>145.1</v>
      </c>
      <c r="X279" s="3">
        <v>151</v>
      </c>
      <c r="Y279" s="3">
        <v>135.4</v>
      </c>
      <c r="Z279" s="3">
        <v>142</v>
      </c>
      <c r="AA279" s="3">
        <v>155.69999999999999</v>
      </c>
      <c r="AB279" s="3">
        <v>158.1</v>
      </c>
      <c r="AC279" s="3">
        <v>146.19999999999999</v>
      </c>
      <c r="AD279" s="3">
        <v>155.19999999999999</v>
      </c>
    </row>
    <row r="280" spans="1:30" ht="15" customHeight="1" x14ac:dyDescent="0.2">
      <c r="A280" s="3" t="s">
        <v>89</v>
      </c>
      <c r="B280" s="3">
        <v>2020</v>
      </c>
      <c r="C280" s="3" t="s">
        <v>104</v>
      </c>
      <c r="D280" s="3">
        <v>147.5</v>
      </c>
      <c r="E280" s="3">
        <v>188.9</v>
      </c>
      <c r="F280" s="3">
        <v>161.4</v>
      </c>
      <c r="G280" s="3">
        <v>153.6</v>
      </c>
      <c r="H280" s="3">
        <v>140.1</v>
      </c>
      <c r="I280" s="3">
        <v>151.19999999999999</v>
      </c>
      <c r="J280" s="3">
        <v>209.2</v>
      </c>
      <c r="K280" s="3">
        <v>150.9</v>
      </c>
      <c r="L280" s="3">
        <v>116.2</v>
      </c>
      <c r="M280" s="3">
        <v>161</v>
      </c>
      <c r="N280" s="3">
        <v>144</v>
      </c>
      <c r="O280" s="3">
        <v>163.19999999999999</v>
      </c>
      <c r="P280" s="3">
        <v>161.4</v>
      </c>
      <c r="Q280" s="3">
        <v>184.3</v>
      </c>
      <c r="R280" s="3">
        <v>153.69999999999999</v>
      </c>
      <c r="S280" s="3">
        <v>144.6</v>
      </c>
      <c r="T280" s="3">
        <v>152.30000000000001</v>
      </c>
      <c r="U280" s="3" t="s">
        <v>188</v>
      </c>
      <c r="V280" s="3">
        <v>143.1</v>
      </c>
      <c r="W280" s="3">
        <v>148.69999999999999</v>
      </c>
      <c r="X280" s="3">
        <v>156.30000000000001</v>
      </c>
      <c r="Y280" s="3">
        <v>140.6</v>
      </c>
      <c r="Z280" s="3">
        <v>146.5</v>
      </c>
      <c r="AA280" s="3">
        <v>158.5</v>
      </c>
      <c r="AB280" s="3">
        <v>157</v>
      </c>
      <c r="AC280" s="3">
        <v>150.4</v>
      </c>
      <c r="AD280" s="3">
        <v>156.4</v>
      </c>
    </row>
    <row r="281" spans="1:30" ht="15" customHeight="1" x14ac:dyDescent="0.2">
      <c r="A281" s="3" t="s">
        <v>84</v>
      </c>
      <c r="B281" s="3">
        <v>2020</v>
      </c>
      <c r="C281" s="3" t="s">
        <v>107</v>
      </c>
      <c r="D281" s="3">
        <v>145.4</v>
      </c>
      <c r="E281" s="3">
        <v>188.6</v>
      </c>
      <c r="F281" s="3">
        <v>171.6</v>
      </c>
      <c r="G281" s="3">
        <v>153.80000000000001</v>
      </c>
      <c r="H281" s="3">
        <v>145.4</v>
      </c>
      <c r="I281" s="3">
        <v>146.5</v>
      </c>
      <c r="J281" s="3">
        <v>222.2</v>
      </c>
      <c r="K281" s="3">
        <v>155.9</v>
      </c>
      <c r="L281" s="3">
        <v>114.9</v>
      </c>
      <c r="M281" s="3">
        <v>162</v>
      </c>
      <c r="N281" s="3">
        <v>150</v>
      </c>
      <c r="O281" s="3">
        <v>162.69999999999999</v>
      </c>
      <c r="P281" s="3">
        <v>163.4</v>
      </c>
      <c r="Q281" s="3">
        <v>183.4</v>
      </c>
      <c r="R281" s="3">
        <v>156.30000000000001</v>
      </c>
      <c r="S281" s="3">
        <v>151</v>
      </c>
      <c r="T281" s="3">
        <v>155.5</v>
      </c>
      <c r="V281" s="3">
        <v>147.5</v>
      </c>
      <c r="W281" s="3">
        <v>152.80000000000001</v>
      </c>
      <c r="X281" s="3">
        <v>160.4</v>
      </c>
      <c r="Y281" s="3">
        <v>146.1</v>
      </c>
      <c r="Z281" s="3">
        <v>153.6</v>
      </c>
      <c r="AA281" s="3">
        <v>161.6</v>
      </c>
      <c r="AB281" s="3">
        <v>156.19999999999999</v>
      </c>
      <c r="AC281" s="3">
        <v>154.5</v>
      </c>
      <c r="AD281" s="3">
        <v>159.80000000000001</v>
      </c>
    </row>
    <row r="282" spans="1:30" ht="15" customHeight="1" x14ac:dyDescent="0.2">
      <c r="A282" s="3" t="s">
        <v>87</v>
      </c>
      <c r="B282" s="3">
        <v>2020</v>
      </c>
      <c r="C282" s="3" t="s">
        <v>107</v>
      </c>
      <c r="D282" s="3">
        <v>149.69999999999999</v>
      </c>
      <c r="E282" s="3">
        <v>195.5</v>
      </c>
      <c r="F282" s="3">
        <v>176.9</v>
      </c>
      <c r="G282" s="3">
        <v>153.9</v>
      </c>
      <c r="H282" s="3">
        <v>138</v>
      </c>
      <c r="I282" s="3">
        <v>150.5</v>
      </c>
      <c r="J282" s="3">
        <v>245.3</v>
      </c>
      <c r="K282" s="3">
        <v>158.69999999999999</v>
      </c>
      <c r="L282" s="3">
        <v>117.2</v>
      </c>
      <c r="M282" s="3">
        <v>161.4</v>
      </c>
      <c r="N282" s="3">
        <v>141.5</v>
      </c>
      <c r="O282" s="3">
        <v>165.1</v>
      </c>
      <c r="P282" s="3">
        <v>167</v>
      </c>
      <c r="Q282" s="3">
        <v>188.8</v>
      </c>
      <c r="R282" s="3">
        <v>151.1</v>
      </c>
      <c r="S282" s="3">
        <v>136.4</v>
      </c>
      <c r="T282" s="3">
        <v>148.80000000000001</v>
      </c>
      <c r="U282" s="3" t="s">
        <v>189</v>
      </c>
      <c r="V282" s="3">
        <v>137.30000000000001</v>
      </c>
      <c r="W282" s="3">
        <v>145.1</v>
      </c>
      <c r="X282" s="3">
        <v>152</v>
      </c>
      <c r="Y282" s="3">
        <v>135.19999999999999</v>
      </c>
      <c r="Z282" s="3">
        <v>144.4</v>
      </c>
      <c r="AA282" s="3">
        <v>156.4</v>
      </c>
      <c r="AB282" s="3">
        <v>157.9</v>
      </c>
      <c r="AC282" s="3">
        <v>146.6</v>
      </c>
      <c r="AD282" s="3">
        <v>156.69999999999999</v>
      </c>
    </row>
    <row r="283" spans="1:30" ht="15" customHeight="1" x14ac:dyDescent="0.2">
      <c r="A283" s="3" t="s">
        <v>89</v>
      </c>
      <c r="B283" s="3">
        <v>2020</v>
      </c>
      <c r="C283" s="3" t="s">
        <v>107</v>
      </c>
      <c r="D283" s="3">
        <v>146.80000000000001</v>
      </c>
      <c r="E283" s="3">
        <v>191</v>
      </c>
      <c r="F283" s="3">
        <v>173.6</v>
      </c>
      <c r="G283" s="3">
        <v>153.80000000000001</v>
      </c>
      <c r="H283" s="3">
        <v>142.69999999999999</v>
      </c>
      <c r="I283" s="3">
        <v>148.4</v>
      </c>
      <c r="J283" s="3">
        <v>230</v>
      </c>
      <c r="K283" s="3">
        <v>156.80000000000001</v>
      </c>
      <c r="L283" s="3">
        <v>115.7</v>
      </c>
      <c r="M283" s="3">
        <v>161.80000000000001</v>
      </c>
      <c r="N283" s="3">
        <v>146.5</v>
      </c>
      <c r="O283" s="3">
        <v>163.80000000000001</v>
      </c>
      <c r="P283" s="3">
        <v>164.7</v>
      </c>
      <c r="Q283" s="3">
        <v>184.8</v>
      </c>
      <c r="R283" s="3">
        <v>154.30000000000001</v>
      </c>
      <c r="S283" s="3">
        <v>144.9</v>
      </c>
      <c r="T283" s="3">
        <v>152.80000000000001</v>
      </c>
      <c r="U283" s="3" t="s">
        <v>189</v>
      </c>
      <c r="V283" s="3">
        <v>143.6</v>
      </c>
      <c r="W283" s="3">
        <v>149.19999999999999</v>
      </c>
      <c r="X283" s="3">
        <v>157.19999999999999</v>
      </c>
      <c r="Y283" s="3">
        <v>140.4</v>
      </c>
      <c r="Z283" s="3">
        <v>148.4</v>
      </c>
      <c r="AA283" s="3">
        <v>158.6</v>
      </c>
      <c r="AB283" s="3">
        <v>156.9</v>
      </c>
      <c r="AC283" s="3">
        <v>150.69999999999999</v>
      </c>
      <c r="AD283" s="3">
        <v>158.4</v>
      </c>
    </row>
    <row r="284" spans="1:30" ht="15" customHeight="1" x14ac:dyDescent="0.2">
      <c r="A284" s="3" t="s">
        <v>84</v>
      </c>
      <c r="B284" s="3">
        <v>2020</v>
      </c>
      <c r="C284" s="3" t="s">
        <v>109</v>
      </c>
      <c r="D284" s="3">
        <v>144.6</v>
      </c>
      <c r="E284" s="3">
        <v>188.5</v>
      </c>
      <c r="F284" s="3">
        <v>173.4</v>
      </c>
      <c r="G284" s="3">
        <v>154</v>
      </c>
      <c r="H284" s="3">
        <v>150</v>
      </c>
      <c r="I284" s="3">
        <v>145.9</v>
      </c>
      <c r="J284" s="3">
        <v>225.2</v>
      </c>
      <c r="K284" s="3">
        <v>159.5</v>
      </c>
      <c r="L284" s="3">
        <v>114.4</v>
      </c>
      <c r="M284" s="3">
        <v>163.5</v>
      </c>
      <c r="N284" s="3">
        <v>153.4</v>
      </c>
      <c r="O284" s="3">
        <v>163.6</v>
      </c>
      <c r="P284" s="3">
        <v>164.5</v>
      </c>
      <c r="Q284" s="3">
        <v>183.6</v>
      </c>
      <c r="R284" s="3">
        <v>157</v>
      </c>
      <c r="S284" s="3">
        <v>151.6</v>
      </c>
      <c r="T284" s="3">
        <v>156.30000000000001</v>
      </c>
      <c r="V284" s="3">
        <v>148.69999999999999</v>
      </c>
      <c r="W284" s="3">
        <v>153.4</v>
      </c>
      <c r="X284" s="3">
        <v>161.6</v>
      </c>
      <c r="Y284" s="3">
        <v>146.4</v>
      </c>
      <c r="Z284" s="3">
        <v>153.9</v>
      </c>
      <c r="AA284" s="3">
        <v>162.9</v>
      </c>
      <c r="AB284" s="3">
        <v>156.6</v>
      </c>
      <c r="AC284" s="3">
        <v>155.19999999999999</v>
      </c>
      <c r="AD284" s="3">
        <v>160.69999999999999</v>
      </c>
    </row>
    <row r="285" spans="1:30" ht="15" customHeight="1" x14ac:dyDescent="0.2">
      <c r="A285" s="3" t="s">
        <v>87</v>
      </c>
      <c r="B285" s="3">
        <v>2020</v>
      </c>
      <c r="C285" s="3" t="s">
        <v>109</v>
      </c>
      <c r="D285" s="3">
        <v>149</v>
      </c>
      <c r="E285" s="3">
        <v>195.7</v>
      </c>
      <c r="F285" s="3">
        <v>178.3</v>
      </c>
      <c r="G285" s="3">
        <v>154.19999999999999</v>
      </c>
      <c r="H285" s="3">
        <v>140.69999999999999</v>
      </c>
      <c r="I285" s="3">
        <v>149.69999999999999</v>
      </c>
      <c r="J285" s="3">
        <v>240.9</v>
      </c>
      <c r="K285" s="3">
        <v>161.5</v>
      </c>
      <c r="L285" s="3">
        <v>117.1</v>
      </c>
      <c r="M285" s="3">
        <v>161.9</v>
      </c>
      <c r="N285" s="3">
        <v>143.30000000000001</v>
      </c>
      <c r="O285" s="3">
        <v>166.1</v>
      </c>
      <c r="P285" s="3">
        <v>167</v>
      </c>
      <c r="Q285" s="3">
        <v>190.2</v>
      </c>
      <c r="R285" s="3">
        <v>151.9</v>
      </c>
      <c r="S285" s="3">
        <v>136.69999999999999</v>
      </c>
      <c r="T285" s="3">
        <v>149.6</v>
      </c>
      <c r="U285" s="3" t="s">
        <v>190</v>
      </c>
      <c r="V285" s="3">
        <v>137.9</v>
      </c>
      <c r="W285" s="3">
        <v>145.5</v>
      </c>
      <c r="X285" s="3">
        <v>152.9</v>
      </c>
      <c r="Y285" s="3">
        <v>135.5</v>
      </c>
      <c r="Z285" s="3">
        <v>144.30000000000001</v>
      </c>
      <c r="AA285" s="3">
        <v>156.9</v>
      </c>
      <c r="AB285" s="3">
        <v>157.9</v>
      </c>
      <c r="AC285" s="3">
        <v>146.9</v>
      </c>
      <c r="AD285" s="3">
        <v>156.9</v>
      </c>
    </row>
    <row r="286" spans="1:30" ht="15" customHeight="1" x14ac:dyDescent="0.2">
      <c r="A286" s="3" t="s">
        <v>89</v>
      </c>
      <c r="B286" s="3">
        <v>2020</v>
      </c>
      <c r="C286" s="3" t="s">
        <v>109</v>
      </c>
      <c r="D286" s="3">
        <v>146</v>
      </c>
      <c r="E286" s="3">
        <v>191</v>
      </c>
      <c r="F286" s="3">
        <v>175.3</v>
      </c>
      <c r="G286" s="3">
        <v>154.1</v>
      </c>
      <c r="H286" s="3">
        <v>146.6</v>
      </c>
      <c r="I286" s="3">
        <v>147.69999999999999</v>
      </c>
      <c r="J286" s="3">
        <v>230.5</v>
      </c>
      <c r="K286" s="3">
        <v>160.19999999999999</v>
      </c>
      <c r="L286" s="3">
        <v>115.3</v>
      </c>
      <c r="M286" s="3">
        <v>163</v>
      </c>
      <c r="N286" s="3">
        <v>149.19999999999999</v>
      </c>
      <c r="O286" s="3">
        <v>164.8</v>
      </c>
      <c r="P286" s="3">
        <v>165.4</v>
      </c>
      <c r="Q286" s="3">
        <v>185.4</v>
      </c>
      <c r="R286" s="3">
        <v>155</v>
      </c>
      <c r="S286" s="3">
        <v>145.4</v>
      </c>
      <c r="T286" s="3">
        <v>153.6</v>
      </c>
      <c r="U286" s="3" t="s">
        <v>190</v>
      </c>
      <c r="V286" s="3">
        <v>144.6</v>
      </c>
      <c r="W286" s="3">
        <v>149.69999999999999</v>
      </c>
      <c r="X286" s="3">
        <v>158.30000000000001</v>
      </c>
      <c r="Y286" s="3">
        <v>140.69999999999999</v>
      </c>
      <c r="Z286" s="3">
        <v>148.5</v>
      </c>
      <c r="AA286" s="3">
        <v>159.4</v>
      </c>
      <c r="AB286" s="3">
        <v>157.1</v>
      </c>
      <c r="AC286" s="3">
        <v>151.19999999999999</v>
      </c>
      <c r="AD286" s="3">
        <v>158.9</v>
      </c>
    </row>
    <row r="287" spans="1:30" ht="15" customHeight="1" x14ac:dyDescent="0.2">
      <c r="A287" s="3" t="s">
        <v>84</v>
      </c>
      <c r="B287" s="3">
        <v>2021</v>
      </c>
      <c r="C287" s="3" t="s">
        <v>85</v>
      </c>
      <c r="D287" s="3">
        <v>143.4</v>
      </c>
      <c r="E287" s="3">
        <v>187.5</v>
      </c>
      <c r="F287" s="3">
        <v>173.4</v>
      </c>
      <c r="G287" s="3">
        <v>154</v>
      </c>
      <c r="H287" s="3">
        <v>154.80000000000001</v>
      </c>
      <c r="I287" s="3">
        <v>147</v>
      </c>
      <c r="J287" s="3">
        <v>187.8</v>
      </c>
      <c r="K287" s="3">
        <v>159.5</v>
      </c>
      <c r="L287" s="3">
        <v>113.8</v>
      </c>
      <c r="M287" s="3">
        <v>164.5</v>
      </c>
      <c r="N287" s="3">
        <v>156.1</v>
      </c>
      <c r="O287" s="3">
        <v>164.3</v>
      </c>
      <c r="P287" s="3">
        <v>159.6</v>
      </c>
      <c r="Q287" s="3">
        <v>184.6</v>
      </c>
      <c r="R287" s="3">
        <v>157.5</v>
      </c>
      <c r="S287" s="3">
        <v>152.4</v>
      </c>
      <c r="T287" s="3">
        <v>156.80000000000001</v>
      </c>
      <c r="V287" s="3">
        <v>150.9</v>
      </c>
      <c r="W287" s="3">
        <v>153.9</v>
      </c>
      <c r="X287" s="3">
        <v>162.5</v>
      </c>
      <c r="Y287" s="3">
        <v>147.5</v>
      </c>
      <c r="Z287" s="3">
        <v>155.1</v>
      </c>
      <c r="AA287" s="3">
        <v>163.5</v>
      </c>
      <c r="AB287" s="3">
        <v>156.19999999999999</v>
      </c>
      <c r="AC287" s="3">
        <v>155.9</v>
      </c>
      <c r="AD287" s="3">
        <v>158.5</v>
      </c>
    </row>
    <row r="288" spans="1:30" ht="15" customHeight="1" x14ac:dyDescent="0.2">
      <c r="A288" s="3" t="s">
        <v>87</v>
      </c>
      <c r="B288" s="3">
        <v>2021</v>
      </c>
      <c r="C288" s="3" t="s">
        <v>85</v>
      </c>
      <c r="D288" s="3">
        <v>148</v>
      </c>
      <c r="E288" s="3">
        <v>194.8</v>
      </c>
      <c r="F288" s="3">
        <v>178.4</v>
      </c>
      <c r="G288" s="3">
        <v>154.4</v>
      </c>
      <c r="H288" s="3">
        <v>144.1</v>
      </c>
      <c r="I288" s="3">
        <v>152.6</v>
      </c>
      <c r="J288" s="3">
        <v>206.8</v>
      </c>
      <c r="K288" s="3">
        <v>162.1</v>
      </c>
      <c r="L288" s="3">
        <v>116.3</v>
      </c>
      <c r="M288" s="3">
        <v>163</v>
      </c>
      <c r="N288" s="3">
        <v>145.9</v>
      </c>
      <c r="O288" s="3">
        <v>167.2</v>
      </c>
      <c r="P288" s="3">
        <v>163.4</v>
      </c>
      <c r="Q288" s="3">
        <v>191.8</v>
      </c>
      <c r="R288" s="3">
        <v>152.5</v>
      </c>
      <c r="S288" s="3">
        <v>137.30000000000001</v>
      </c>
      <c r="T288" s="3">
        <v>150.19999999999999</v>
      </c>
      <c r="U288" s="3" t="s">
        <v>191</v>
      </c>
      <c r="V288" s="3">
        <v>142.9</v>
      </c>
      <c r="W288" s="3">
        <v>145.69999999999999</v>
      </c>
      <c r="X288" s="3">
        <v>154.1</v>
      </c>
      <c r="Y288" s="3">
        <v>136.9</v>
      </c>
      <c r="Z288" s="3">
        <v>145.4</v>
      </c>
      <c r="AA288" s="3">
        <v>156.1</v>
      </c>
      <c r="AB288" s="3">
        <v>157.69999999999999</v>
      </c>
      <c r="AC288" s="3">
        <v>147.6</v>
      </c>
      <c r="AD288" s="3">
        <v>156</v>
      </c>
    </row>
    <row r="289" spans="1:30" ht="15" customHeight="1" x14ac:dyDescent="0.2">
      <c r="A289" s="3" t="s">
        <v>89</v>
      </c>
      <c r="B289" s="3">
        <v>2021</v>
      </c>
      <c r="C289" s="3" t="s">
        <v>85</v>
      </c>
      <c r="D289" s="3">
        <v>144.9</v>
      </c>
      <c r="E289" s="3">
        <v>190.1</v>
      </c>
      <c r="F289" s="3">
        <v>175.3</v>
      </c>
      <c r="G289" s="3">
        <v>154.1</v>
      </c>
      <c r="H289" s="3">
        <v>150.9</v>
      </c>
      <c r="I289" s="3">
        <v>149.6</v>
      </c>
      <c r="J289" s="3">
        <v>194.2</v>
      </c>
      <c r="K289" s="3">
        <v>160.4</v>
      </c>
      <c r="L289" s="3">
        <v>114.6</v>
      </c>
      <c r="M289" s="3">
        <v>164</v>
      </c>
      <c r="N289" s="3">
        <v>151.80000000000001</v>
      </c>
      <c r="O289" s="3">
        <v>165.6</v>
      </c>
      <c r="P289" s="3">
        <v>161</v>
      </c>
      <c r="Q289" s="3">
        <v>186.5</v>
      </c>
      <c r="R289" s="3">
        <v>155.5</v>
      </c>
      <c r="S289" s="3">
        <v>146.1</v>
      </c>
      <c r="T289" s="3">
        <v>154.19999999999999</v>
      </c>
      <c r="U289" s="3" t="s">
        <v>191</v>
      </c>
      <c r="V289" s="3">
        <v>147.9</v>
      </c>
      <c r="W289" s="3">
        <v>150</v>
      </c>
      <c r="X289" s="3">
        <v>159.30000000000001</v>
      </c>
      <c r="Y289" s="3">
        <v>141.9</v>
      </c>
      <c r="Z289" s="3">
        <v>149.6</v>
      </c>
      <c r="AA289" s="3">
        <v>159.19999999999999</v>
      </c>
      <c r="AB289" s="3">
        <v>156.80000000000001</v>
      </c>
      <c r="AC289" s="3">
        <v>151.9</v>
      </c>
      <c r="AD289" s="3">
        <v>157.30000000000001</v>
      </c>
    </row>
    <row r="290" spans="1:30" ht="15" customHeight="1" x14ac:dyDescent="0.2">
      <c r="A290" s="3" t="s">
        <v>84</v>
      </c>
      <c r="B290" s="3">
        <v>2021</v>
      </c>
      <c r="C290" s="3" t="s">
        <v>90</v>
      </c>
      <c r="D290" s="3">
        <v>142.80000000000001</v>
      </c>
      <c r="E290" s="3">
        <v>184</v>
      </c>
      <c r="F290" s="3">
        <v>168</v>
      </c>
      <c r="G290" s="3">
        <v>154.4</v>
      </c>
      <c r="H290" s="3">
        <v>163</v>
      </c>
      <c r="I290" s="3">
        <v>147.80000000000001</v>
      </c>
      <c r="J290" s="3">
        <v>149.69999999999999</v>
      </c>
      <c r="K290" s="3">
        <v>158.30000000000001</v>
      </c>
      <c r="L290" s="3">
        <v>111.8</v>
      </c>
      <c r="M290" s="3">
        <v>165</v>
      </c>
      <c r="N290" s="3">
        <v>160</v>
      </c>
      <c r="O290" s="3">
        <v>165.8</v>
      </c>
      <c r="P290" s="3">
        <v>154.69999999999999</v>
      </c>
      <c r="Q290" s="3">
        <v>186.5</v>
      </c>
      <c r="R290" s="3">
        <v>159.1</v>
      </c>
      <c r="S290" s="3">
        <v>153.9</v>
      </c>
      <c r="T290" s="3">
        <v>158.4</v>
      </c>
      <c r="V290" s="3">
        <v>154.4</v>
      </c>
      <c r="W290" s="3">
        <v>154.80000000000001</v>
      </c>
      <c r="X290" s="3">
        <v>164.3</v>
      </c>
      <c r="Y290" s="3">
        <v>150.19999999999999</v>
      </c>
      <c r="Z290" s="3">
        <v>157</v>
      </c>
      <c r="AA290" s="3">
        <v>163.6</v>
      </c>
      <c r="AB290" s="3">
        <v>155.19999999999999</v>
      </c>
      <c r="AC290" s="3">
        <v>157.19999999999999</v>
      </c>
      <c r="AD290" s="3">
        <v>156.69999999999999</v>
      </c>
    </row>
    <row r="291" spans="1:30" ht="15" customHeight="1" x14ac:dyDescent="0.2">
      <c r="A291" s="3" t="s">
        <v>87</v>
      </c>
      <c r="B291" s="3">
        <v>2021</v>
      </c>
      <c r="C291" s="3" t="s">
        <v>90</v>
      </c>
      <c r="D291" s="3">
        <v>147.6</v>
      </c>
      <c r="E291" s="3">
        <v>191.2</v>
      </c>
      <c r="F291" s="3">
        <v>169.9</v>
      </c>
      <c r="G291" s="3">
        <v>155.1</v>
      </c>
      <c r="H291" s="3">
        <v>151.4</v>
      </c>
      <c r="I291" s="3">
        <v>154</v>
      </c>
      <c r="J291" s="3">
        <v>180.2</v>
      </c>
      <c r="K291" s="3">
        <v>159.80000000000001</v>
      </c>
      <c r="L291" s="3">
        <v>114.9</v>
      </c>
      <c r="M291" s="3">
        <v>162.5</v>
      </c>
      <c r="N291" s="3">
        <v>149.19999999999999</v>
      </c>
      <c r="O291" s="3">
        <v>169.4</v>
      </c>
      <c r="P291" s="3">
        <v>160.80000000000001</v>
      </c>
      <c r="Q291" s="3">
        <v>193.3</v>
      </c>
      <c r="R291" s="3">
        <v>154.19999999999999</v>
      </c>
      <c r="S291" s="3">
        <v>138.19999999999999</v>
      </c>
      <c r="T291" s="3">
        <v>151.80000000000001</v>
      </c>
      <c r="U291" s="3" t="s">
        <v>192</v>
      </c>
      <c r="V291" s="3">
        <v>149.1</v>
      </c>
      <c r="W291" s="3">
        <v>146.5</v>
      </c>
      <c r="X291" s="3">
        <v>156.30000000000001</v>
      </c>
      <c r="Y291" s="3">
        <v>140.5</v>
      </c>
      <c r="Z291" s="3">
        <v>147.30000000000001</v>
      </c>
      <c r="AA291" s="3">
        <v>156.6</v>
      </c>
      <c r="AB291" s="3">
        <v>156.69999999999999</v>
      </c>
      <c r="AC291" s="3">
        <v>149.30000000000001</v>
      </c>
      <c r="AD291" s="3">
        <v>156.5</v>
      </c>
    </row>
    <row r="292" spans="1:30" ht="15" customHeight="1" x14ac:dyDescent="0.2">
      <c r="A292" s="3" t="s">
        <v>89</v>
      </c>
      <c r="B292" s="3">
        <v>2021</v>
      </c>
      <c r="C292" s="3" t="s">
        <v>90</v>
      </c>
      <c r="D292" s="3">
        <v>144.30000000000001</v>
      </c>
      <c r="E292" s="3">
        <v>186.5</v>
      </c>
      <c r="F292" s="3">
        <v>168.7</v>
      </c>
      <c r="G292" s="3">
        <v>154.69999999999999</v>
      </c>
      <c r="H292" s="3">
        <v>158.69999999999999</v>
      </c>
      <c r="I292" s="3">
        <v>150.69999999999999</v>
      </c>
      <c r="J292" s="3">
        <v>160</v>
      </c>
      <c r="K292" s="3">
        <v>158.80000000000001</v>
      </c>
      <c r="L292" s="3">
        <v>112.8</v>
      </c>
      <c r="M292" s="3">
        <v>164.2</v>
      </c>
      <c r="N292" s="3">
        <v>155.5</v>
      </c>
      <c r="O292" s="3">
        <v>167.5</v>
      </c>
      <c r="P292" s="3">
        <v>156.9</v>
      </c>
      <c r="Q292" s="3">
        <v>188.3</v>
      </c>
      <c r="R292" s="3">
        <v>157.19999999999999</v>
      </c>
      <c r="S292" s="3">
        <v>147.4</v>
      </c>
      <c r="T292" s="3">
        <v>155.80000000000001</v>
      </c>
      <c r="U292" s="3" t="s">
        <v>192</v>
      </c>
      <c r="V292" s="3">
        <v>152.4</v>
      </c>
      <c r="W292" s="3">
        <v>150.9</v>
      </c>
      <c r="X292" s="3">
        <v>161.30000000000001</v>
      </c>
      <c r="Y292" s="3">
        <v>145.1</v>
      </c>
      <c r="Z292" s="3">
        <v>151.5</v>
      </c>
      <c r="AA292" s="3">
        <v>159.5</v>
      </c>
      <c r="AB292" s="3">
        <v>155.80000000000001</v>
      </c>
      <c r="AC292" s="3">
        <v>153.4</v>
      </c>
      <c r="AD292" s="3">
        <v>156.6</v>
      </c>
    </row>
    <row r="293" spans="1:30" ht="15" customHeight="1" x14ac:dyDescent="0.2">
      <c r="A293" s="3" t="s">
        <v>84</v>
      </c>
      <c r="B293" s="3">
        <v>2021</v>
      </c>
      <c r="C293" s="3" t="s">
        <v>92</v>
      </c>
      <c r="D293" s="3">
        <v>142.5</v>
      </c>
      <c r="E293" s="3">
        <v>189.4</v>
      </c>
      <c r="F293" s="3">
        <v>163.19999999999999</v>
      </c>
      <c r="G293" s="3">
        <v>154.5</v>
      </c>
      <c r="H293" s="3">
        <v>168.2</v>
      </c>
      <c r="I293" s="3">
        <v>150.5</v>
      </c>
      <c r="J293" s="3">
        <v>141</v>
      </c>
      <c r="K293" s="3">
        <v>159.19999999999999</v>
      </c>
      <c r="L293" s="3">
        <v>111.7</v>
      </c>
      <c r="M293" s="3">
        <v>164</v>
      </c>
      <c r="N293" s="3">
        <v>160.6</v>
      </c>
      <c r="O293" s="3">
        <v>166.4</v>
      </c>
      <c r="P293" s="3">
        <v>154.5</v>
      </c>
      <c r="Q293" s="3">
        <v>186.1</v>
      </c>
      <c r="R293" s="3">
        <v>159.6</v>
      </c>
      <c r="S293" s="3">
        <v>154.4</v>
      </c>
      <c r="T293" s="3">
        <v>158.9</v>
      </c>
      <c r="U293" s="3" t="s">
        <v>193</v>
      </c>
      <c r="V293" s="3">
        <v>156</v>
      </c>
      <c r="W293" s="3">
        <v>154.80000000000001</v>
      </c>
      <c r="X293" s="3">
        <v>164.6</v>
      </c>
      <c r="Y293" s="3">
        <v>151.30000000000001</v>
      </c>
      <c r="Z293" s="3">
        <v>157.80000000000001</v>
      </c>
      <c r="AA293" s="3">
        <v>163.80000000000001</v>
      </c>
      <c r="AB293" s="3">
        <v>153.1</v>
      </c>
      <c r="AC293" s="3">
        <v>157.30000000000001</v>
      </c>
      <c r="AD293" s="3">
        <v>156.69999999999999</v>
      </c>
    </row>
    <row r="294" spans="1:30" ht="15" customHeight="1" x14ac:dyDescent="0.2">
      <c r="A294" s="3" t="s">
        <v>87</v>
      </c>
      <c r="B294" s="3">
        <v>2021</v>
      </c>
      <c r="C294" s="3" t="s">
        <v>92</v>
      </c>
      <c r="D294" s="3">
        <v>147.5</v>
      </c>
      <c r="E294" s="3">
        <v>197.5</v>
      </c>
      <c r="F294" s="3">
        <v>164.7</v>
      </c>
      <c r="G294" s="3">
        <v>155.6</v>
      </c>
      <c r="H294" s="3">
        <v>156.4</v>
      </c>
      <c r="I294" s="3">
        <v>157.30000000000001</v>
      </c>
      <c r="J294" s="3">
        <v>166.1</v>
      </c>
      <c r="K294" s="3">
        <v>161.1</v>
      </c>
      <c r="L294" s="3">
        <v>114.3</v>
      </c>
      <c r="M294" s="3">
        <v>162.6</v>
      </c>
      <c r="N294" s="3">
        <v>150.69999999999999</v>
      </c>
      <c r="O294" s="3">
        <v>170.3</v>
      </c>
      <c r="P294" s="3">
        <v>160.4</v>
      </c>
      <c r="Q294" s="3">
        <v>193.5</v>
      </c>
      <c r="R294" s="3">
        <v>155.1</v>
      </c>
      <c r="S294" s="3">
        <v>138.69999999999999</v>
      </c>
      <c r="T294" s="3">
        <v>152.6</v>
      </c>
      <c r="U294" s="3" t="s">
        <v>194</v>
      </c>
      <c r="V294" s="3">
        <v>154.80000000000001</v>
      </c>
      <c r="W294" s="3">
        <v>147.19999999999999</v>
      </c>
      <c r="X294" s="3">
        <v>156.9</v>
      </c>
      <c r="Y294" s="3">
        <v>141.69999999999999</v>
      </c>
      <c r="Z294" s="3">
        <v>148.6</v>
      </c>
      <c r="AA294" s="3">
        <v>157.6</v>
      </c>
      <c r="AB294" s="3">
        <v>154.9</v>
      </c>
      <c r="AC294" s="3">
        <v>150</v>
      </c>
      <c r="AD294" s="3">
        <v>156.9</v>
      </c>
    </row>
    <row r="295" spans="1:30" ht="15" customHeight="1" x14ac:dyDescent="0.2">
      <c r="A295" s="3" t="s">
        <v>89</v>
      </c>
      <c r="B295" s="3">
        <v>2021</v>
      </c>
      <c r="C295" s="3" t="s">
        <v>92</v>
      </c>
      <c r="D295" s="3">
        <v>144.1</v>
      </c>
      <c r="E295" s="3">
        <v>192.2</v>
      </c>
      <c r="F295" s="3">
        <v>163.80000000000001</v>
      </c>
      <c r="G295" s="3">
        <v>154.9</v>
      </c>
      <c r="H295" s="3">
        <v>163.9</v>
      </c>
      <c r="I295" s="3">
        <v>153.69999999999999</v>
      </c>
      <c r="J295" s="3">
        <v>149.5</v>
      </c>
      <c r="K295" s="3">
        <v>159.80000000000001</v>
      </c>
      <c r="L295" s="3">
        <v>112.6</v>
      </c>
      <c r="M295" s="3">
        <v>163.5</v>
      </c>
      <c r="N295" s="3">
        <v>156.5</v>
      </c>
      <c r="O295" s="3">
        <v>168.2</v>
      </c>
      <c r="P295" s="3">
        <v>156.69999999999999</v>
      </c>
      <c r="Q295" s="3">
        <v>188.1</v>
      </c>
      <c r="R295" s="3">
        <v>157.80000000000001</v>
      </c>
      <c r="S295" s="3">
        <v>147.9</v>
      </c>
      <c r="T295" s="3">
        <v>156.4</v>
      </c>
      <c r="U295" s="3" t="s">
        <v>194</v>
      </c>
      <c r="V295" s="3">
        <v>155.5</v>
      </c>
      <c r="W295" s="3">
        <v>151.19999999999999</v>
      </c>
      <c r="X295" s="3">
        <v>161.69999999999999</v>
      </c>
      <c r="Y295" s="3">
        <v>146.19999999999999</v>
      </c>
      <c r="Z295" s="3">
        <v>152.6</v>
      </c>
      <c r="AA295" s="3">
        <v>160.19999999999999</v>
      </c>
      <c r="AB295" s="3">
        <v>153.80000000000001</v>
      </c>
      <c r="AC295" s="3">
        <v>153.80000000000001</v>
      </c>
      <c r="AD295" s="3">
        <v>156.80000000000001</v>
      </c>
    </row>
    <row r="296" spans="1:30" ht="15" customHeight="1" x14ac:dyDescent="0.2">
      <c r="A296" s="3" t="s">
        <v>84</v>
      </c>
      <c r="B296" s="3">
        <v>2021</v>
      </c>
      <c r="C296" s="3" t="s">
        <v>93</v>
      </c>
      <c r="D296" s="3">
        <v>142.69999999999999</v>
      </c>
      <c r="E296" s="3">
        <v>195.5</v>
      </c>
      <c r="F296" s="3">
        <v>163.4</v>
      </c>
      <c r="G296" s="3">
        <v>155</v>
      </c>
      <c r="H296" s="3">
        <v>175.2</v>
      </c>
      <c r="I296" s="3">
        <v>160.6</v>
      </c>
      <c r="J296" s="3">
        <v>135.1</v>
      </c>
      <c r="K296" s="3">
        <v>161.1</v>
      </c>
      <c r="L296" s="3">
        <v>112.2</v>
      </c>
      <c r="M296" s="3">
        <v>164.4</v>
      </c>
      <c r="N296" s="3">
        <v>161.9</v>
      </c>
      <c r="O296" s="3">
        <v>166.8</v>
      </c>
      <c r="P296" s="3">
        <v>155.6</v>
      </c>
      <c r="Q296" s="3">
        <v>186.8</v>
      </c>
      <c r="R296" s="3">
        <v>160.69999999999999</v>
      </c>
      <c r="S296" s="3">
        <v>155.1</v>
      </c>
      <c r="T296" s="3">
        <v>159.9</v>
      </c>
      <c r="U296" s="3" t="s">
        <v>193</v>
      </c>
      <c r="V296" s="3">
        <v>156</v>
      </c>
      <c r="W296" s="3">
        <v>155.5</v>
      </c>
      <c r="X296" s="3">
        <v>165.3</v>
      </c>
      <c r="Y296" s="3">
        <v>151.69999999999999</v>
      </c>
      <c r="Z296" s="3">
        <v>158.6</v>
      </c>
      <c r="AA296" s="3">
        <v>164.1</v>
      </c>
      <c r="AB296" s="3">
        <v>154.6</v>
      </c>
      <c r="AC296" s="3">
        <v>158</v>
      </c>
      <c r="AD296" s="3">
        <v>157.6</v>
      </c>
    </row>
    <row r="297" spans="1:30" ht="15" customHeight="1" x14ac:dyDescent="0.2">
      <c r="A297" s="3" t="s">
        <v>87</v>
      </c>
      <c r="B297" s="3">
        <v>2021</v>
      </c>
      <c r="C297" s="3" t="s">
        <v>93</v>
      </c>
      <c r="D297" s="3">
        <v>147.6</v>
      </c>
      <c r="E297" s="3">
        <v>202.5</v>
      </c>
      <c r="F297" s="3">
        <v>166.4</v>
      </c>
      <c r="G297" s="3">
        <v>156</v>
      </c>
      <c r="H297" s="3">
        <v>161.4</v>
      </c>
      <c r="I297" s="3">
        <v>168.8</v>
      </c>
      <c r="J297" s="3">
        <v>161.6</v>
      </c>
      <c r="K297" s="3">
        <v>162.80000000000001</v>
      </c>
      <c r="L297" s="3">
        <v>114.8</v>
      </c>
      <c r="M297" s="3">
        <v>162.80000000000001</v>
      </c>
      <c r="N297" s="3">
        <v>151.5</v>
      </c>
      <c r="O297" s="3">
        <v>171.4</v>
      </c>
      <c r="P297" s="3">
        <v>162</v>
      </c>
      <c r="Q297" s="3">
        <v>194.4</v>
      </c>
      <c r="R297" s="3">
        <v>155.9</v>
      </c>
      <c r="S297" s="3">
        <v>139.30000000000001</v>
      </c>
      <c r="T297" s="3">
        <v>153.4</v>
      </c>
      <c r="U297" s="3" t="s">
        <v>195</v>
      </c>
      <c r="V297" s="3">
        <v>154.9</v>
      </c>
      <c r="W297" s="3">
        <v>147.6</v>
      </c>
      <c r="X297" s="3">
        <v>157.5</v>
      </c>
      <c r="Y297" s="3">
        <v>142.1</v>
      </c>
      <c r="Z297" s="3">
        <v>149.1</v>
      </c>
      <c r="AA297" s="3">
        <v>157.6</v>
      </c>
      <c r="AB297" s="3">
        <v>156.6</v>
      </c>
      <c r="AC297" s="3">
        <v>150.5</v>
      </c>
      <c r="AD297" s="3">
        <v>158</v>
      </c>
    </row>
    <row r="298" spans="1:30" ht="15" customHeight="1" x14ac:dyDescent="0.2">
      <c r="A298" s="3" t="s">
        <v>89</v>
      </c>
      <c r="B298" s="3">
        <v>2021</v>
      </c>
      <c r="C298" s="3" t="s">
        <v>93</v>
      </c>
      <c r="D298" s="3">
        <v>144.30000000000001</v>
      </c>
      <c r="E298" s="3">
        <v>198</v>
      </c>
      <c r="F298" s="3">
        <v>164.6</v>
      </c>
      <c r="G298" s="3">
        <v>155.4</v>
      </c>
      <c r="H298" s="3">
        <v>170.1</v>
      </c>
      <c r="I298" s="3">
        <v>164.4</v>
      </c>
      <c r="J298" s="3">
        <v>144.1</v>
      </c>
      <c r="K298" s="3">
        <v>161.69999999999999</v>
      </c>
      <c r="L298" s="3">
        <v>113.1</v>
      </c>
      <c r="M298" s="3">
        <v>163.9</v>
      </c>
      <c r="N298" s="3">
        <v>157.6</v>
      </c>
      <c r="O298" s="3">
        <v>168.9</v>
      </c>
      <c r="P298" s="3">
        <v>158</v>
      </c>
      <c r="Q298" s="3">
        <v>188.8</v>
      </c>
      <c r="R298" s="3">
        <v>158.80000000000001</v>
      </c>
      <c r="S298" s="3">
        <v>148.5</v>
      </c>
      <c r="T298" s="3">
        <v>157.30000000000001</v>
      </c>
      <c r="U298" s="3" t="s">
        <v>195</v>
      </c>
      <c r="V298" s="3">
        <v>155.6</v>
      </c>
      <c r="W298" s="3">
        <v>151.80000000000001</v>
      </c>
      <c r="X298" s="3">
        <v>162.30000000000001</v>
      </c>
      <c r="Y298" s="3">
        <v>146.6</v>
      </c>
      <c r="Z298" s="3">
        <v>153.19999999999999</v>
      </c>
      <c r="AA298" s="3">
        <v>160.30000000000001</v>
      </c>
      <c r="AB298" s="3">
        <v>155.4</v>
      </c>
      <c r="AC298" s="3">
        <v>154.4</v>
      </c>
      <c r="AD298" s="3">
        <v>157.80000000000001</v>
      </c>
    </row>
    <row r="299" spans="1:30" ht="15" customHeight="1" x14ac:dyDescent="0.2">
      <c r="A299" s="3" t="s">
        <v>84</v>
      </c>
      <c r="B299" s="3">
        <v>2021</v>
      </c>
      <c r="C299" s="3" t="s">
        <v>95</v>
      </c>
      <c r="D299" s="3">
        <v>145.1</v>
      </c>
      <c r="E299" s="3">
        <v>198.5</v>
      </c>
      <c r="F299" s="3">
        <v>168.6</v>
      </c>
      <c r="G299" s="3">
        <v>155.80000000000001</v>
      </c>
      <c r="H299" s="3">
        <v>184.4</v>
      </c>
      <c r="I299" s="3">
        <v>162.30000000000001</v>
      </c>
      <c r="J299" s="3">
        <v>138.4</v>
      </c>
      <c r="K299" s="3">
        <v>165.1</v>
      </c>
      <c r="L299" s="3">
        <v>114.3</v>
      </c>
      <c r="M299" s="3">
        <v>169.7</v>
      </c>
      <c r="N299" s="3">
        <v>164.6</v>
      </c>
      <c r="O299" s="3">
        <v>169.8</v>
      </c>
      <c r="P299" s="3">
        <v>158.69999999999999</v>
      </c>
      <c r="Q299" s="3">
        <v>189.6</v>
      </c>
      <c r="R299" s="3">
        <v>165.3</v>
      </c>
      <c r="S299" s="3">
        <v>160.6</v>
      </c>
      <c r="T299" s="3">
        <v>164.5</v>
      </c>
      <c r="V299" s="3">
        <v>161.69999999999999</v>
      </c>
      <c r="W299" s="3">
        <v>158.80000000000001</v>
      </c>
      <c r="X299" s="3">
        <v>169.1</v>
      </c>
      <c r="Y299" s="3">
        <v>153.19999999999999</v>
      </c>
      <c r="Z299" s="3">
        <v>160</v>
      </c>
      <c r="AA299" s="3">
        <v>167.6</v>
      </c>
      <c r="AB299" s="3">
        <v>159.30000000000001</v>
      </c>
      <c r="AC299" s="3">
        <v>161.1</v>
      </c>
      <c r="AD299" s="3">
        <v>161.1</v>
      </c>
    </row>
    <row r="300" spans="1:30" ht="15" customHeight="1" x14ac:dyDescent="0.2">
      <c r="A300" s="3" t="s">
        <v>87</v>
      </c>
      <c r="B300" s="3">
        <v>2021</v>
      </c>
      <c r="C300" s="3" t="s">
        <v>95</v>
      </c>
      <c r="D300" s="3">
        <v>148.80000000000001</v>
      </c>
      <c r="E300" s="3">
        <v>204.3</v>
      </c>
      <c r="F300" s="3">
        <v>173</v>
      </c>
      <c r="G300" s="3">
        <v>156.5</v>
      </c>
      <c r="H300" s="3">
        <v>168.8</v>
      </c>
      <c r="I300" s="3">
        <v>172.5</v>
      </c>
      <c r="J300" s="3">
        <v>166.5</v>
      </c>
      <c r="K300" s="3">
        <v>165.9</v>
      </c>
      <c r="L300" s="3">
        <v>115.9</v>
      </c>
      <c r="M300" s="3">
        <v>165.2</v>
      </c>
      <c r="N300" s="3">
        <v>152</v>
      </c>
      <c r="O300" s="3">
        <v>171.1</v>
      </c>
      <c r="P300" s="3">
        <v>164.2</v>
      </c>
      <c r="Q300" s="3">
        <v>198.2</v>
      </c>
      <c r="R300" s="3">
        <v>156.5</v>
      </c>
      <c r="S300" s="3">
        <v>140.19999999999999</v>
      </c>
      <c r="T300" s="3">
        <v>154.1</v>
      </c>
      <c r="U300" s="3" t="s">
        <v>196</v>
      </c>
      <c r="V300" s="3">
        <v>155.5</v>
      </c>
      <c r="W300" s="3">
        <v>150.1</v>
      </c>
      <c r="X300" s="3">
        <v>160.4</v>
      </c>
      <c r="Y300" s="3">
        <v>145</v>
      </c>
      <c r="Z300" s="3">
        <v>152.6</v>
      </c>
      <c r="AA300" s="3">
        <v>156.6</v>
      </c>
      <c r="AB300" s="3">
        <v>157.5</v>
      </c>
      <c r="AC300" s="3">
        <v>152.30000000000001</v>
      </c>
      <c r="AD300" s="3">
        <v>159.5</v>
      </c>
    </row>
    <row r="301" spans="1:30" ht="15" customHeight="1" x14ac:dyDescent="0.2">
      <c r="A301" s="3" t="s">
        <v>89</v>
      </c>
      <c r="B301" s="3">
        <v>2021</v>
      </c>
      <c r="C301" s="3" t="s">
        <v>95</v>
      </c>
      <c r="D301" s="3">
        <v>146.30000000000001</v>
      </c>
      <c r="E301" s="3">
        <v>200.5</v>
      </c>
      <c r="F301" s="3">
        <v>170.3</v>
      </c>
      <c r="G301" s="3">
        <v>156.1</v>
      </c>
      <c r="H301" s="3">
        <v>178.7</v>
      </c>
      <c r="I301" s="3">
        <v>167.1</v>
      </c>
      <c r="J301" s="3">
        <v>147.9</v>
      </c>
      <c r="K301" s="3">
        <v>165.4</v>
      </c>
      <c r="L301" s="3">
        <v>114.8</v>
      </c>
      <c r="M301" s="3">
        <v>168.2</v>
      </c>
      <c r="N301" s="3">
        <v>159.30000000000001</v>
      </c>
      <c r="O301" s="3">
        <v>170.4</v>
      </c>
      <c r="P301" s="3">
        <v>160.69999999999999</v>
      </c>
      <c r="Q301" s="3">
        <v>191.9</v>
      </c>
      <c r="R301" s="3">
        <v>161.80000000000001</v>
      </c>
      <c r="S301" s="3">
        <v>152.1</v>
      </c>
      <c r="T301" s="3">
        <v>160.4</v>
      </c>
      <c r="U301" s="3" t="s">
        <v>196</v>
      </c>
      <c r="V301" s="3">
        <v>159.4</v>
      </c>
      <c r="W301" s="3">
        <v>154.69999999999999</v>
      </c>
      <c r="X301" s="3">
        <v>165.8</v>
      </c>
      <c r="Y301" s="3">
        <v>148.9</v>
      </c>
      <c r="Z301" s="3">
        <v>155.80000000000001</v>
      </c>
      <c r="AA301" s="3">
        <v>161.19999999999999</v>
      </c>
      <c r="AB301" s="3">
        <v>158.6</v>
      </c>
      <c r="AC301" s="3">
        <v>156.80000000000001</v>
      </c>
      <c r="AD301" s="3">
        <v>160.4</v>
      </c>
    </row>
    <row r="302" spans="1:30" ht="15" customHeight="1" x14ac:dyDescent="0.2">
      <c r="A302" s="3" t="s">
        <v>84</v>
      </c>
      <c r="B302" s="3">
        <v>2021</v>
      </c>
      <c r="C302" s="3" t="s">
        <v>96</v>
      </c>
      <c r="D302" s="3">
        <v>145.6</v>
      </c>
      <c r="E302" s="3">
        <v>200.1</v>
      </c>
      <c r="F302" s="3">
        <v>179.3</v>
      </c>
      <c r="G302" s="3">
        <v>156.1</v>
      </c>
      <c r="H302" s="3">
        <v>190.4</v>
      </c>
      <c r="I302" s="3">
        <v>158.6</v>
      </c>
      <c r="J302" s="3">
        <v>144.69999999999999</v>
      </c>
      <c r="K302" s="3">
        <v>165.5</v>
      </c>
      <c r="L302" s="3">
        <v>114.6</v>
      </c>
      <c r="M302" s="3">
        <v>170</v>
      </c>
      <c r="N302" s="3">
        <v>165.5</v>
      </c>
      <c r="O302" s="3">
        <v>171.7</v>
      </c>
      <c r="P302" s="3">
        <v>160.5</v>
      </c>
      <c r="Q302" s="3">
        <v>189.1</v>
      </c>
      <c r="R302" s="3">
        <v>165.3</v>
      </c>
      <c r="S302" s="3">
        <v>159.9</v>
      </c>
      <c r="T302" s="3">
        <v>164.6</v>
      </c>
      <c r="V302" s="3">
        <v>162.1</v>
      </c>
      <c r="W302" s="3">
        <v>159.19999999999999</v>
      </c>
      <c r="X302" s="3">
        <v>169.7</v>
      </c>
      <c r="Y302" s="3">
        <v>154.19999999999999</v>
      </c>
      <c r="Z302" s="3">
        <v>160.4</v>
      </c>
      <c r="AA302" s="3">
        <v>166.8</v>
      </c>
      <c r="AB302" s="3">
        <v>159.4</v>
      </c>
      <c r="AC302" s="3">
        <v>161.5</v>
      </c>
      <c r="AD302" s="3">
        <v>162.1</v>
      </c>
    </row>
    <row r="303" spans="1:30" ht="15" customHeight="1" x14ac:dyDescent="0.2">
      <c r="A303" s="3" t="s">
        <v>87</v>
      </c>
      <c r="B303" s="3">
        <v>2021</v>
      </c>
      <c r="C303" s="3" t="s">
        <v>96</v>
      </c>
      <c r="D303" s="3">
        <v>149.19999999999999</v>
      </c>
      <c r="E303" s="3">
        <v>205.5</v>
      </c>
      <c r="F303" s="3">
        <v>182.8</v>
      </c>
      <c r="G303" s="3">
        <v>156.5</v>
      </c>
      <c r="H303" s="3">
        <v>172.2</v>
      </c>
      <c r="I303" s="3">
        <v>171.5</v>
      </c>
      <c r="J303" s="3">
        <v>176.2</v>
      </c>
      <c r="K303" s="3">
        <v>166.9</v>
      </c>
      <c r="L303" s="3">
        <v>116.1</v>
      </c>
      <c r="M303" s="3">
        <v>165.5</v>
      </c>
      <c r="N303" s="3">
        <v>152.30000000000001</v>
      </c>
      <c r="O303" s="3">
        <v>173.3</v>
      </c>
      <c r="P303" s="3">
        <v>166.2</v>
      </c>
      <c r="Q303" s="3">
        <v>195.6</v>
      </c>
      <c r="R303" s="3">
        <v>157.30000000000001</v>
      </c>
      <c r="S303" s="3">
        <v>140.5</v>
      </c>
      <c r="T303" s="3">
        <v>154.80000000000001</v>
      </c>
      <c r="U303" s="3" t="s">
        <v>197</v>
      </c>
      <c r="V303" s="3">
        <v>156.1</v>
      </c>
      <c r="W303" s="3">
        <v>149.80000000000001</v>
      </c>
      <c r="X303" s="3">
        <v>160.80000000000001</v>
      </c>
      <c r="Y303" s="3">
        <v>147.5</v>
      </c>
      <c r="Z303" s="3">
        <v>150.69999999999999</v>
      </c>
      <c r="AA303" s="3">
        <v>158.1</v>
      </c>
      <c r="AB303" s="3">
        <v>158</v>
      </c>
      <c r="AC303" s="3">
        <v>153.4</v>
      </c>
      <c r="AD303" s="3">
        <v>160.4</v>
      </c>
    </row>
    <row r="304" spans="1:30" ht="15" customHeight="1" x14ac:dyDescent="0.2">
      <c r="A304" s="3" t="s">
        <v>89</v>
      </c>
      <c r="B304" s="3">
        <v>2021</v>
      </c>
      <c r="C304" s="3" t="s">
        <v>96</v>
      </c>
      <c r="D304" s="3">
        <v>146.69999999999999</v>
      </c>
      <c r="E304" s="3">
        <v>202</v>
      </c>
      <c r="F304" s="3">
        <v>180.7</v>
      </c>
      <c r="G304" s="3">
        <v>156.19999999999999</v>
      </c>
      <c r="H304" s="3">
        <v>183.7</v>
      </c>
      <c r="I304" s="3">
        <v>164.6</v>
      </c>
      <c r="J304" s="3">
        <v>155.4</v>
      </c>
      <c r="K304" s="3">
        <v>166</v>
      </c>
      <c r="L304" s="3">
        <v>115.1</v>
      </c>
      <c r="M304" s="3">
        <v>168.5</v>
      </c>
      <c r="N304" s="3">
        <v>160</v>
      </c>
      <c r="O304" s="3">
        <v>172.4</v>
      </c>
      <c r="P304" s="3">
        <v>162.6</v>
      </c>
      <c r="Q304" s="3">
        <v>190.8</v>
      </c>
      <c r="R304" s="3">
        <v>162.19999999999999</v>
      </c>
      <c r="S304" s="3">
        <v>151.80000000000001</v>
      </c>
      <c r="T304" s="3">
        <v>160.69999999999999</v>
      </c>
      <c r="U304" s="3" t="s">
        <v>197</v>
      </c>
      <c r="V304" s="3">
        <v>159.80000000000001</v>
      </c>
      <c r="W304" s="3">
        <v>154.80000000000001</v>
      </c>
      <c r="X304" s="3">
        <v>166.3</v>
      </c>
      <c r="Y304" s="3">
        <v>150.69999999999999</v>
      </c>
      <c r="Z304" s="3">
        <v>154.9</v>
      </c>
      <c r="AA304" s="3">
        <v>161.69999999999999</v>
      </c>
      <c r="AB304" s="3">
        <v>158.80000000000001</v>
      </c>
      <c r="AC304" s="3">
        <v>157.6</v>
      </c>
      <c r="AD304" s="3">
        <v>161.30000000000001</v>
      </c>
    </row>
    <row r="305" spans="1:30" ht="15" customHeight="1" x14ac:dyDescent="0.2">
      <c r="A305" s="3" t="s">
        <v>84</v>
      </c>
      <c r="B305" s="3">
        <v>2021</v>
      </c>
      <c r="C305" s="3" t="s">
        <v>98</v>
      </c>
      <c r="D305" s="3">
        <v>145.1</v>
      </c>
      <c r="E305" s="3">
        <v>204.5</v>
      </c>
      <c r="F305" s="3">
        <v>180.4</v>
      </c>
      <c r="G305" s="3">
        <v>157.1</v>
      </c>
      <c r="H305" s="3">
        <v>188.7</v>
      </c>
      <c r="I305" s="3">
        <v>157.69999999999999</v>
      </c>
      <c r="J305" s="3">
        <v>152.80000000000001</v>
      </c>
      <c r="K305" s="3">
        <v>163.6</v>
      </c>
      <c r="L305" s="3">
        <v>113.9</v>
      </c>
      <c r="M305" s="3">
        <v>169.7</v>
      </c>
      <c r="N305" s="3">
        <v>166.2</v>
      </c>
      <c r="O305" s="3">
        <v>171</v>
      </c>
      <c r="P305" s="3">
        <v>161.69999999999999</v>
      </c>
      <c r="Q305" s="3">
        <v>189.7</v>
      </c>
      <c r="R305" s="3">
        <v>166</v>
      </c>
      <c r="S305" s="3">
        <v>161.1</v>
      </c>
      <c r="T305" s="3">
        <v>165.3</v>
      </c>
      <c r="V305" s="3">
        <v>162.5</v>
      </c>
      <c r="W305" s="3">
        <v>160.30000000000001</v>
      </c>
      <c r="X305" s="3">
        <v>170.4</v>
      </c>
      <c r="Y305" s="3">
        <v>157.1</v>
      </c>
      <c r="Z305" s="3">
        <v>160.69999999999999</v>
      </c>
      <c r="AA305" s="3">
        <v>167.2</v>
      </c>
      <c r="AB305" s="3">
        <v>160.4</v>
      </c>
      <c r="AC305" s="3">
        <v>162.80000000000001</v>
      </c>
      <c r="AD305" s="3">
        <v>163.19999999999999</v>
      </c>
    </row>
    <row r="306" spans="1:30" ht="15" customHeight="1" x14ac:dyDescent="0.2">
      <c r="A306" s="3" t="s">
        <v>87</v>
      </c>
      <c r="B306" s="3">
        <v>2021</v>
      </c>
      <c r="C306" s="3" t="s">
        <v>98</v>
      </c>
      <c r="D306" s="3">
        <v>149.1</v>
      </c>
      <c r="E306" s="3">
        <v>210.9</v>
      </c>
      <c r="F306" s="3">
        <v>185</v>
      </c>
      <c r="G306" s="3">
        <v>158.19999999999999</v>
      </c>
      <c r="H306" s="3">
        <v>170.6</v>
      </c>
      <c r="I306" s="3">
        <v>170.9</v>
      </c>
      <c r="J306" s="3">
        <v>186.4</v>
      </c>
      <c r="K306" s="3">
        <v>164.7</v>
      </c>
      <c r="L306" s="3">
        <v>115.7</v>
      </c>
      <c r="M306" s="3">
        <v>165.5</v>
      </c>
      <c r="N306" s="3">
        <v>153.4</v>
      </c>
      <c r="O306" s="3">
        <v>173.5</v>
      </c>
      <c r="P306" s="3">
        <v>167.9</v>
      </c>
      <c r="Q306" s="3">
        <v>195.5</v>
      </c>
      <c r="R306" s="3">
        <v>157.9</v>
      </c>
      <c r="S306" s="3">
        <v>141.9</v>
      </c>
      <c r="T306" s="3">
        <v>155.5</v>
      </c>
      <c r="U306" s="3" t="s">
        <v>198</v>
      </c>
      <c r="V306" s="3">
        <v>157.69999999999999</v>
      </c>
      <c r="W306" s="3">
        <v>150.69999999999999</v>
      </c>
      <c r="X306" s="3">
        <v>161.5</v>
      </c>
      <c r="Y306" s="3">
        <v>149.5</v>
      </c>
      <c r="Z306" s="3">
        <v>151.19999999999999</v>
      </c>
      <c r="AA306" s="3">
        <v>160.30000000000001</v>
      </c>
      <c r="AB306" s="3">
        <v>159.6</v>
      </c>
      <c r="AC306" s="3">
        <v>155</v>
      </c>
      <c r="AD306" s="3">
        <v>161.80000000000001</v>
      </c>
    </row>
    <row r="307" spans="1:30" ht="15" customHeight="1" x14ac:dyDescent="0.2">
      <c r="A307" s="3" t="s">
        <v>89</v>
      </c>
      <c r="B307" s="3">
        <v>2021</v>
      </c>
      <c r="C307" s="3" t="s">
        <v>98</v>
      </c>
      <c r="D307" s="3">
        <v>146.4</v>
      </c>
      <c r="E307" s="3">
        <v>206.8</v>
      </c>
      <c r="F307" s="3">
        <v>182.2</v>
      </c>
      <c r="G307" s="3">
        <v>157.5</v>
      </c>
      <c r="H307" s="3">
        <v>182.1</v>
      </c>
      <c r="I307" s="3">
        <v>163.9</v>
      </c>
      <c r="J307" s="3">
        <v>164.2</v>
      </c>
      <c r="K307" s="3">
        <v>164</v>
      </c>
      <c r="L307" s="3">
        <v>114.5</v>
      </c>
      <c r="M307" s="3">
        <v>168.3</v>
      </c>
      <c r="N307" s="3">
        <v>160.9</v>
      </c>
      <c r="O307" s="3">
        <v>172.2</v>
      </c>
      <c r="P307" s="3">
        <v>164</v>
      </c>
      <c r="Q307" s="3">
        <v>191.2</v>
      </c>
      <c r="R307" s="3">
        <v>162.80000000000001</v>
      </c>
      <c r="S307" s="3">
        <v>153.1</v>
      </c>
      <c r="T307" s="3">
        <v>161.4</v>
      </c>
      <c r="U307" s="3" t="s">
        <v>198</v>
      </c>
      <c r="V307" s="3">
        <v>160.69999999999999</v>
      </c>
      <c r="W307" s="3">
        <v>155.80000000000001</v>
      </c>
      <c r="X307" s="3">
        <v>167</v>
      </c>
      <c r="Y307" s="3">
        <v>153.1</v>
      </c>
      <c r="Z307" s="3">
        <v>155.30000000000001</v>
      </c>
      <c r="AA307" s="3">
        <v>163.19999999999999</v>
      </c>
      <c r="AB307" s="3">
        <v>160.1</v>
      </c>
      <c r="AC307" s="3">
        <v>159</v>
      </c>
      <c r="AD307" s="3">
        <v>162.5</v>
      </c>
    </row>
    <row r="308" spans="1:30" ht="15" customHeight="1" x14ac:dyDescent="0.2">
      <c r="A308" s="3" t="s">
        <v>84</v>
      </c>
      <c r="B308" s="3">
        <v>2021</v>
      </c>
      <c r="C308" s="3" t="s">
        <v>100</v>
      </c>
      <c r="D308" s="3">
        <v>144.9</v>
      </c>
      <c r="E308" s="3">
        <v>202.3</v>
      </c>
      <c r="F308" s="3">
        <v>176.5</v>
      </c>
      <c r="G308" s="3">
        <v>157.5</v>
      </c>
      <c r="H308" s="3">
        <v>190.9</v>
      </c>
      <c r="I308" s="3">
        <v>155.69999999999999</v>
      </c>
      <c r="J308" s="3">
        <v>153.9</v>
      </c>
      <c r="K308" s="3">
        <v>162.80000000000001</v>
      </c>
      <c r="L308" s="3">
        <v>115.2</v>
      </c>
      <c r="M308" s="3">
        <v>169.8</v>
      </c>
      <c r="N308" s="3">
        <v>167.6</v>
      </c>
      <c r="O308" s="3">
        <v>171.9</v>
      </c>
      <c r="P308" s="3">
        <v>161.80000000000001</v>
      </c>
      <c r="Q308" s="3">
        <v>190.2</v>
      </c>
      <c r="R308" s="3">
        <v>167</v>
      </c>
      <c r="S308" s="3">
        <v>162.6</v>
      </c>
      <c r="T308" s="3">
        <v>166.3</v>
      </c>
      <c r="V308" s="3">
        <v>163.1</v>
      </c>
      <c r="W308" s="3">
        <v>160.9</v>
      </c>
      <c r="X308" s="3">
        <v>171.1</v>
      </c>
      <c r="Y308" s="3">
        <v>157.69999999999999</v>
      </c>
      <c r="Z308" s="3">
        <v>161.1</v>
      </c>
      <c r="AA308" s="3">
        <v>167.5</v>
      </c>
      <c r="AB308" s="3">
        <v>160.30000000000001</v>
      </c>
      <c r="AC308" s="3">
        <v>163.30000000000001</v>
      </c>
      <c r="AD308" s="3">
        <v>163.6</v>
      </c>
    </row>
    <row r="309" spans="1:30" ht="15" customHeight="1" x14ac:dyDescent="0.2">
      <c r="A309" s="3" t="s">
        <v>87</v>
      </c>
      <c r="B309" s="3">
        <v>2021</v>
      </c>
      <c r="C309" s="3" t="s">
        <v>100</v>
      </c>
      <c r="D309" s="3">
        <v>149.30000000000001</v>
      </c>
      <c r="E309" s="3">
        <v>207.4</v>
      </c>
      <c r="F309" s="3">
        <v>174.1</v>
      </c>
      <c r="G309" s="3">
        <v>159.19999999999999</v>
      </c>
      <c r="H309" s="3">
        <v>175</v>
      </c>
      <c r="I309" s="3">
        <v>161.30000000000001</v>
      </c>
      <c r="J309" s="3">
        <v>183.3</v>
      </c>
      <c r="K309" s="3">
        <v>164.5</v>
      </c>
      <c r="L309" s="3">
        <v>120.4</v>
      </c>
      <c r="M309" s="3">
        <v>166.2</v>
      </c>
      <c r="N309" s="3">
        <v>154.80000000000001</v>
      </c>
      <c r="O309" s="3">
        <v>175.1</v>
      </c>
      <c r="P309" s="3">
        <v>167.3</v>
      </c>
      <c r="Q309" s="3">
        <v>196.5</v>
      </c>
      <c r="R309" s="3">
        <v>159.80000000000001</v>
      </c>
      <c r="S309" s="3">
        <v>143.6</v>
      </c>
      <c r="T309" s="3">
        <v>157.30000000000001</v>
      </c>
      <c r="U309" s="3" t="s">
        <v>199</v>
      </c>
      <c r="V309" s="3">
        <v>160.69999999999999</v>
      </c>
      <c r="W309" s="3">
        <v>153.19999999999999</v>
      </c>
      <c r="X309" s="3">
        <v>162.80000000000001</v>
      </c>
      <c r="Y309" s="3">
        <v>150.4</v>
      </c>
      <c r="Z309" s="3">
        <v>153.69999999999999</v>
      </c>
      <c r="AA309" s="3">
        <v>160.4</v>
      </c>
      <c r="AB309" s="3">
        <v>159.6</v>
      </c>
      <c r="AC309" s="3">
        <v>156</v>
      </c>
      <c r="AD309" s="3">
        <v>162.30000000000001</v>
      </c>
    </row>
    <row r="310" spans="1:30" ht="15" customHeight="1" x14ac:dyDescent="0.2">
      <c r="A310" s="3" t="s">
        <v>89</v>
      </c>
      <c r="B310" s="3">
        <v>2021</v>
      </c>
      <c r="C310" s="3" t="s">
        <v>100</v>
      </c>
      <c r="D310" s="3">
        <v>146.6</v>
      </c>
      <c r="E310" s="3">
        <v>204</v>
      </c>
      <c r="F310" s="3">
        <v>172.8</v>
      </c>
      <c r="G310" s="3">
        <v>158.4</v>
      </c>
      <c r="H310" s="3">
        <v>188</v>
      </c>
      <c r="I310" s="3">
        <v>156.80000000000001</v>
      </c>
      <c r="J310" s="3">
        <v>162.19999999999999</v>
      </c>
      <c r="K310" s="3">
        <v>164.1</v>
      </c>
      <c r="L310" s="3">
        <v>119.7</v>
      </c>
      <c r="M310" s="3">
        <v>168.8</v>
      </c>
      <c r="N310" s="3">
        <v>162.69999999999999</v>
      </c>
      <c r="O310" s="3">
        <v>173.9</v>
      </c>
      <c r="P310" s="3">
        <v>164</v>
      </c>
      <c r="Q310" s="3">
        <v>192.1</v>
      </c>
      <c r="R310" s="3">
        <v>164.5</v>
      </c>
      <c r="S310" s="3">
        <v>155.30000000000001</v>
      </c>
      <c r="T310" s="3">
        <v>163.19999999999999</v>
      </c>
      <c r="U310" s="3" t="s">
        <v>199</v>
      </c>
      <c r="V310" s="3">
        <v>162.6</v>
      </c>
      <c r="W310" s="3">
        <v>157.5</v>
      </c>
      <c r="X310" s="3">
        <v>168.4</v>
      </c>
      <c r="Y310" s="3">
        <v>154</v>
      </c>
      <c r="Z310" s="3">
        <v>157.6</v>
      </c>
      <c r="AA310" s="3">
        <v>163.80000000000001</v>
      </c>
      <c r="AB310" s="3">
        <v>160</v>
      </c>
      <c r="AC310" s="3">
        <v>160</v>
      </c>
      <c r="AD310" s="3">
        <v>163.19999999999999</v>
      </c>
    </row>
    <row r="311" spans="1:30" ht="15" customHeight="1" x14ac:dyDescent="0.2">
      <c r="A311" s="3" t="s">
        <v>84</v>
      </c>
      <c r="B311" s="3">
        <v>2021</v>
      </c>
      <c r="C311" s="3" t="s">
        <v>102</v>
      </c>
      <c r="D311" s="3">
        <v>145.4</v>
      </c>
      <c r="E311" s="3">
        <v>202.1</v>
      </c>
      <c r="F311" s="3">
        <v>172</v>
      </c>
      <c r="G311" s="3">
        <v>158</v>
      </c>
      <c r="H311" s="3">
        <v>195.5</v>
      </c>
      <c r="I311" s="3">
        <v>152.69999999999999</v>
      </c>
      <c r="J311" s="3">
        <v>151.4</v>
      </c>
      <c r="K311" s="3">
        <v>163.9</v>
      </c>
      <c r="L311" s="3">
        <v>119.3</v>
      </c>
      <c r="M311" s="3">
        <v>170.1</v>
      </c>
      <c r="N311" s="3">
        <v>168.3</v>
      </c>
      <c r="O311" s="3">
        <v>172.8</v>
      </c>
      <c r="P311" s="3">
        <v>162.1</v>
      </c>
      <c r="Q311" s="3">
        <v>190.5</v>
      </c>
      <c r="R311" s="3">
        <v>167.7</v>
      </c>
      <c r="S311" s="3">
        <v>163.6</v>
      </c>
      <c r="T311" s="3">
        <v>167.1</v>
      </c>
      <c r="V311" s="3">
        <v>163.69999999999999</v>
      </c>
      <c r="W311" s="3">
        <v>161.30000000000001</v>
      </c>
      <c r="X311" s="3">
        <v>171.9</v>
      </c>
      <c r="Y311" s="3">
        <v>157.80000000000001</v>
      </c>
      <c r="Z311" s="3">
        <v>162.69999999999999</v>
      </c>
      <c r="AA311" s="3">
        <v>168.5</v>
      </c>
      <c r="AB311" s="3">
        <v>160.19999999999999</v>
      </c>
      <c r="AC311" s="3">
        <v>163.80000000000001</v>
      </c>
      <c r="AD311" s="3">
        <v>164</v>
      </c>
    </row>
    <row r="312" spans="1:30" ht="15" customHeight="1" x14ac:dyDescent="0.2">
      <c r="A312" s="3" t="s">
        <v>87</v>
      </c>
      <c r="B312" s="3">
        <v>2021</v>
      </c>
      <c r="C312" s="3" t="s">
        <v>102</v>
      </c>
      <c r="D312" s="3">
        <v>149.30000000000001</v>
      </c>
      <c r="E312" s="3">
        <v>207.4</v>
      </c>
      <c r="F312" s="3">
        <v>174.1</v>
      </c>
      <c r="G312" s="3">
        <v>159.1</v>
      </c>
      <c r="H312" s="3">
        <v>175</v>
      </c>
      <c r="I312" s="3">
        <v>161.19999999999999</v>
      </c>
      <c r="J312" s="3">
        <v>183.5</v>
      </c>
      <c r="K312" s="3">
        <v>164.5</v>
      </c>
      <c r="L312" s="3">
        <v>120.4</v>
      </c>
      <c r="M312" s="3">
        <v>166.2</v>
      </c>
      <c r="N312" s="3">
        <v>154.80000000000001</v>
      </c>
      <c r="O312" s="3">
        <v>175.1</v>
      </c>
      <c r="P312" s="3">
        <v>167.3</v>
      </c>
      <c r="Q312" s="3">
        <v>196.5</v>
      </c>
      <c r="R312" s="3">
        <v>159.80000000000001</v>
      </c>
      <c r="S312" s="3">
        <v>143.6</v>
      </c>
      <c r="T312" s="3">
        <v>157.4</v>
      </c>
      <c r="U312" s="3" t="s">
        <v>199</v>
      </c>
      <c r="V312" s="3">
        <v>160.80000000000001</v>
      </c>
      <c r="W312" s="3">
        <v>153.30000000000001</v>
      </c>
      <c r="X312" s="3">
        <v>162.80000000000001</v>
      </c>
      <c r="Y312" s="3">
        <v>150.5</v>
      </c>
      <c r="Z312" s="3">
        <v>153.9</v>
      </c>
      <c r="AA312" s="3">
        <v>160.30000000000001</v>
      </c>
      <c r="AB312" s="3">
        <v>159.6</v>
      </c>
      <c r="AC312" s="3">
        <v>156</v>
      </c>
      <c r="AD312" s="3">
        <v>162.30000000000001</v>
      </c>
    </row>
    <row r="313" spans="1:30" ht="15" customHeight="1" x14ac:dyDescent="0.2">
      <c r="A313" s="3" t="s">
        <v>89</v>
      </c>
      <c r="B313" s="3">
        <v>2021</v>
      </c>
      <c r="C313" s="3" t="s">
        <v>102</v>
      </c>
      <c r="D313" s="3">
        <v>146.6</v>
      </c>
      <c r="E313" s="3">
        <v>204</v>
      </c>
      <c r="F313" s="3">
        <v>172.8</v>
      </c>
      <c r="G313" s="3">
        <v>158.4</v>
      </c>
      <c r="H313" s="3">
        <v>188</v>
      </c>
      <c r="I313" s="3">
        <v>156.69999999999999</v>
      </c>
      <c r="J313" s="3">
        <v>162.30000000000001</v>
      </c>
      <c r="K313" s="3">
        <v>164.1</v>
      </c>
      <c r="L313" s="3">
        <v>119.7</v>
      </c>
      <c r="M313" s="3">
        <v>168.8</v>
      </c>
      <c r="N313" s="3">
        <v>162.69999999999999</v>
      </c>
      <c r="O313" s="3">
        <v>173.9</v>
      </c>
      <c r="P313" s="3">
        <v>164</v>
      </c>
      <c r="Q313" s="3">
        <v>192.1</v>
      </c>
      <c r="R313" s="3">
        <v>164.6</v>
      </c>
      <c r="S313" s="3">
        <v>155.30000000000001</v>
      </c>
      <c r="T313" s="3">
        <v>163.30000000000001</v>
      </c>
      <c r="U313" s="3" t="s">
        <v>199</v>
      </c>
      <c r="V313" s="3">
        <v>162.6</v>
      </c>
      <c r="W313" s="3">
        <v>157.5</v>
      </c>
      <c r="X313" s="3">
        <v>168.4</v>
      </c>
      <c r="Y313" s="3">
        <v>154</v>
      </c>
      <c r="Z313" s="3">
        <v>157.69999999999999</v>
      </c>
      <c r="AA313" s="3">
        <v>163.69999999999999</v>
      </c>
      <c r="AB313" s="3">
        <v>160</v>
      </c>
      <c r="AC313" s="3">
        <v>160</v>
      </c>
      <c r="AD313" s="3">
        <v>163.19999999999999</v>
      </c>
    </row>
    <row r="314" spans="1:30" ht="15" customHeight="1" x14ac:dyDescent="0.2">
      <c r="A314" s="3" t="s">
        <v>84</v>
      </c>
      <c r="B314" s="3">
        <v>2021</v>
      </c>
      <c r="C314" s="3" t="s">
        <v>104</v>
      </c>
      <c r="D314" s="3">
        <v>146.1</v>
      </c>
      <c r="E314" s="3">
        <v>202.5</v>
      </c>
      <c r="F314" s="3">
        <v>170.1</v>
      </c>
      <c r="G314" s="3">
        <v>158.4</v>
      </c>
      <c r="H314" s="3">
        <v>198.8</v>
      </c>
      <c r="I314" s="3">
        <v>152.6</v>
      </c>
      <c r="J314" s="3">
        <v>170.4</v>
      </c>
      <c r="K314" s="3">
        <v>165.2</v>
      </c>
      <c r="L314" s="3">
        <v>121.6</v>
      </c>
      <c r="M314" s="3">
        <v>170.6</v>
      </c>
      <c r="N314" s="3">
        <v>168.8</v>
      </c>
      <c r="O314" s="3">
        <v>173.6</v>
      </c>
      <c r="P314" s="3">
        <v>165.5</v>
      </c>
      <c r="Q314" s="3">
        <v>191.2</v>
      </c>
      <c r="R314" s="3">
        <v>168.9</v>
      </c>
      <c r="S314" s="3">
        <v>164.8</v>
      </c>
      <c r="T314" s="3">
        <v>168.3</v>
      </c>
      <c r="V314" s="3">
        <v>165.5</v>
      </c>
      <c r="W314" s="3">
        <v>162</v>
      </c>
      <c r="X314" s="3">
        <v>172.5</v>
      </c>
      <c r="Y314" s="3">
        <v>159.5</v>
      </c>
      <c r="Z314" s="3">
        <v>163.19999999999999</v>
      </c>
      <c r="AA314" s="3">
        <v>169</v>
      </c>
      <c r="AB314" s="3">
        <v>161.1</v>
      </c>
      <c r="AC314" s="3">
        <v>164.7</v>
      </c>
      <c r="AD314" s="3">
        <v>166.3</v>
      </c>
    </row>
    <row r="315" spans="1:30" ht="15" customHeight="1" x14ac:dyDescent="0.2">
      <c r="A315" s="3" t="s">
        <v>87</v>
      </c>
      <c r="B315" s="3">
        <v>2021</v>
      </c>
      <c r="C315" s="3" t="s">
        <v>104</v>
      </c>
      <c r="D315" s="3">
        <v>150.1</v>
      </c>
      <c r="E315" s="3">
        <v>208.4</v>
      </c>
      <c r="F315" s="3">
        <v>173</v>
      </c>
      <c r="G315" s="3">
        <v>159.19999999999999</v>
      </c>
      <c r="H315" s="3">
        <v>176.6</v>
      </c>
      <c r="I315" s="3">
        <v>159.30000000000001</v>
      </c>
      <c r="J315" s="3">
        <v>214.4</v>
      </c>
      <c r="K315" s="3">
        <v>165.3</v>
      </c>
      <c r="L315" s="3">
        <v>122.5</v>
      </c>
      <c r="M315" s="3">
        <v>166.8</v>
      </c>
      <c r="N315" s="3">
        <v>155.4</v>
      </c>
      <c r="O315" s="3">
        <v>175.9</v>
      </c>
      <c r="P315" s="3">
        <v>171.5</v>
      </c>
      <c r="Q315" s="3">
        <v>197</v>
      </c>
      <c r="R315" s="3">
        <v>160.80000000000001</v>
      </c>
      <c r="S315" s="3">
        <v>144.4</v>
      </c>
      <c r="T315" s="3">
        <v>158.30000000000001</v>
      </c>
      <c r="U315" s="3" t="s">
        <v>200</v>
      </c>
      <c r="V315" s="3">
        <v>162.19999999999999</v>
      </c>
      <c r="W315" s="3">
        <v>154.30000000000001</v>
      </c>
      <c r="X315" s="3">
        <v>163.5</v>
      </c>
      <c r="Y315" s="3">
        <v>152.19999999999999</v>
      </c>
      <c r="Z315" s="3">
        <v>155.1</v>
      </c>
      <c r="AA315" s="3">
        <v>160.30000000000001</v>
      </c>
      <c r="AB315" s="3">
        <v>160.30000000000001</v>
      </c>
      <c r="AC315" s="3">
        <v>157</v>
      </c>
      <c r="AD315" s="3">
        <v>164.6</v>
      </c>
    </row>
    <row r="316" spans="1:30" ht="15" customHeight="1" x14ac:dyDescent="0.2">
      <c r="A316" s="3" t="s">
        <v>89</v>
      </c>
      <c r="B316" s="3">
        <v>2021</v>
      </c>
      <c r="C316" s="3" t="s">
        <v>104</v>
      </c>
      <c r="D316" s="3">
        <v>147.4</v>
      </c>
      <c r="E316" s="3">
        <v>204.6</v>
      </c>
      <c r="F316" s="3">
        <v>171.2</v>
      </c>
      <c r="G316" s="3">
        <v>158.69999999999999</v>
      </c>
      <c r="H316" s="3">
        <v>190.6</v>
      </c>
      <c r="I316" s="3">
        <v>155.69999999999999</v>
      </c>
      <c r="J316" s="3">
        <v>185.3</v>
      </c>
      <c r="K316" s="3">
        <v>165.2</v>
      </c>
      <c r="L316" s="3">
        <v>121.9</v>
      </c>
      <c r="M316" s="3">
        <v>169.3</v>
      </c>
      <c r="N316" s="3">
        <v>163.19999999999999</v>
      </c>
      <c r="O316" s="3">
        <v>174.7</v>
      </c>
      <c r="P316" s="3">
        <v>167.7</v>
      </c>
      <c r="Q316" s="3">
        <v>192.7</v>
      </c>
      <c r="R316" s="3">
        <v>165.7</v>
      </c>
      <c r="S316" s="3">
        <v>156.30000000000001</v>
      </c>
      <c r="T316" s="3">
        <v>164.3</v>
      </c>
      <c r="U316" s="3" t="s">
        <v>200</v>
      </c>
      <c r="V316" s="3">
        <v>164.2</v>
      </c>
      <c r="W316" s="3">
        <v>158.4</v>
      </c>
      <c r="X316" s="3">
        <v>169.1</v>
      </c>
      <c r="Y316" s="3">
        <v>155.69999999999999</v>
      </c>
      <c r="Z316" s="3">
        <v>158.6</v>
      </c>
      <c r="AA316" s="3">
        <v>163.9</v>
      </c>
      <c r="AB316" s="3">
        <v>160.80000000000001</v>
      </c>
      <c r="AC316" s="3">
        <v>161</v>
      </c>
      <c r="AD316" s="3">
        <v>165.5</v>
      </c>
    </row>
    <row r="317" spans="1:30" ht="15" customHeight="1" x14ac:dyDescent="0.2">
      <c r="A317" s="3" t="s">
        <v>84</v>
      </c>
      <c r="B317" s="3">
        <v>2021</v>
      </c>
      <c r="C317" s="3" t="s">
        <v>107</v>
      </c>
      <c r="D317" s="3">
        <v>146.9</v>
      </c>
      <c r="E317" s="3">
        <v>199.8</v>
      </c>
      <c r="F317" s="3">
        <v>171.5</v>
      </c>
      <c r="G317" s="3">
        <v>159.1</v>
      </c>
      <c r="H317" s="3">
        <v>198.4</v>
      </c>
      <c r="I317" s="3">
        <v>153.19999999999999</v>
      </c>
      <c r="J317" s="3">
        <v>183.9</v>
      </c>
      <c r="K317" s="3">
        <v>165.4</v>
      </c>
      <c r="L317" s="3">
        <v>122.1</v>
      </c>
      <c r="M317" s="3">
        <v>170.8</v>
      </c>
      <c r="N317" s="3">
        <v>169.1</v>
      </c>
      <c r="O317" s="3">
        <v>174.3</v>
      </c>
      <c r="P317" s="3">
        <v>167.5</v>
      </c>
      <c r="Q317" s="3">
        <v>191.4</v>
      </c>
      <c r="R317" s="3">
        <v>170.4</v>
      </c>
      <c r="S317" s="3">
        <v>166</v>
      </c>
      <c r="T317" s="3">
        <v>169.8</v>
      </c>
      <c r="V317" s="3">
        <v>165.3</v>
      </c>
      <c r="W317" s="3">
        <v>162.9</v>
      </c>
      <c r="X317" s="3">
        <v>173.4</v>
      </c>
      <c r="Y317" s="3">
        <v>158.9</v>
      </c>
      <c r="Z317" s="3">
        <v>163.80000000000001</v>
      </c>
      <c r="AA317" s="3">
        <v>169.3</v>
      </c>
      <c r="AB317" s="3">
        <v>162.4</v>
      </c>
      <c r="AC317" s="3">
        <v>165.2</v>
      </c>
      <c r="AD317" s="3">
        <v>167.6</v>
      </c>
    </row>
    <row r="318" spans="1:30" ht="15" customHeight="1" x14ac:dyDescent="0.2">
      <c r="A318" s="3" t="s">
        <v>87</v>
      </c>
      <c r="B318" s="3">
        <v>2021</v>
      </c>
      <c r="C318" s="3" t="s">
        <v>107</v>
      </c>
      <c r="D318" s="3">
        <v>151</v>
      </c>
      <c r="E318" s="3">
        <v>204.9</v>
      </c>
      <c r="F318" s="3">
        <v>175.4</v>
      </c>
      <c r="G318" s="3">
        <v>159.6</v>
      </c>
      <c r="H318" s="3">
        <v>175.8</v>
      </c>
      <c r="I318" s="3">
        <v>160.30000000000001</v>
      </c>
      <c r="J318" s="3">
        <v>229.1</v>
      </c>
      <c r="K318" s="3">
        <v>165.1</v>
      </c>
      <c r="L318" s="3">
        <v>123.1</v>
      </c>
      <c r="M318" s="3">
        <v>167.2</v>
      </c>
      <c r="N318" s="3">
        <v>156.1</v>
      </c>
      <c r="O318" s="3">
        <v>176.8</v>
      </c>
      <c r="P318" s="3">
        <v>173.5</v>
      </c>
      <c r="Q318" s="3">
        <v>197</v>
      </c>
      <c r="R318" s="3">
        <v>162.30000000000001</v>
      </c>
      <c r="S318" s="3">
        <v>145.30000000000001</v>
      </c>
      <c r="T318" s="3">
        <v>159.69999999999999</v>
      </c>
      <c r="U318" s="3" t="s">
        <v>201</v>
      </c>
      <c r="V318" s="3">
        <v>161.6</v>
      </c>
      <c r="W318" s="3">
        <v>155.19999999999999</v>
      </c>
      <c r="X318" s="3">
        <v>164.2</v>
      </c>
      <c r="Y318" s="3">
        <v>151.19999999999999</v>
      </c>
      <c r="Z318" s="3">
        <v>156.69999999999999</v>
      </c>
      <c r="AA318" s="3">
        <v>160.80000000000001</v>
      </c>
      <c r="AB318" s="3">
        <v>161.80000000000001</v>
      </c>
      <c r="AC318" s="3">
        <v>157.30000000000001</v>
      </c>
      <c r="AD318" s="3">
        <v>165.6</v>
      </c>
    </row>
    <row r="319" spans="1:30" ht="15" customHeight="1" x14ac:dyDescent="0.2">
      <c r="A319" s="3" t="s">
        <v>89</v>
      </c>
      <c r="B319" s="3">
        <v>2021</v>
      </c>
      <c r="C319" s="3" t="s">
        <v>107</v>
      </c>
      <c r="D319" s="3">
        <v>148.19999999999999</v>
      </c>
      <c r="E319" s="3">
        <v>201.6</v>
      </c>
      <c r="F319" s="3">
        <v>173</v>
      </c>
      <c r="G319" s="3">
        <v>159.30000000000001</v>
      </c>
      <c r="H319" s="3">
        <v>190.1</v>
      </c>
      <c r="I319" s="3">
        <v>156.5</v>
      </c>
      <c r="J319" s="3">
        <v>199.2</v>
      </c>
      <c r="K319" s="3">
        <v>165.3</v>
      </c>
      <c r="L319" s="3">
        <v>122.4</v>
      </c>
      <c r="M319" s="3">
        <v>169.6</v>
      </c>
      <c r="N319" s="3">
        <v>163.69999999999999</v>
      </c>
      <c r="O319" s="3">
        <v>175.5</v>
      </c>
      <c r="P319" s="3">
        <v>169.7</v>
      </c>
      <c r="Q319" s="3">
        <v>192.9</v>
      </c>
      <c r="R319" s="3">
        <v>167.2</v>
      </c>
      <c r="S319" s="3">
        <v>157.4</v>
      </c>
      <c r="T319" s="3">
        <v>165.8</v>
      </c>
      <c r="U319" s="3" t="s">
        <v>201</v>
      </c>
      <c r="V319" s="3">
        <v>163.9</v>
      </c>
      <c r="W319" s="3">
        <v>159.30000000000001</v>
      </c>
      <c r="X319" s="3">
        <v>169.9</v>
      </c>
      <c r="Y319" s="3">
        <v>154.80000000000001</v>
      </c>
      <c r="Z319" s="3">
        <v>159.80000000000001</v>
      </c>
      <c r="AA319" s="3">
        <v>164.3</v>
      </c>
      <c r="AB319" s="3">
        <v>162.19999999999999</v>
      </c>
      <c r="AC319" s="3">
        <v>161.4</v>
      </c>
      <c r="AD319" s="3">
        <v>166.7</v>
      </c>
    </row>
    <row r="320" spans="1:30" ht="15" customHeight="1" x14ac:dyDescent="0.2">
      <c r="A320" s="3" t="s">
        <v>84</v>
      </c>
      <c r="B320" s="3">
        <v>2021</v>
      </c>
      <c r="C320" s="3" t="s">
        <v>109</v>
      </c>
      <c r="D320" s="3">
        <v>147.4</v>
      </c>
      <c r="E320" s="3">
        <v>197</v>
      </c>
      <c r="F320" s="3">
        <v>176.5</v>
      </c>
      <c r="G320" s="3">
        <v>159.80000000000001</v>
      </c>
      <c r="H320" s="3">
        <v>195.8</v>
      </c>
      <c r="I320" s="3">
        <v>152</v>
      </c>
      <c r="J320" s="3">
        <v>172.3</v>
      </c>
      <c r="K320" s="3">
        <v>164.5</v>
      </c>
      <c r="L320" s="3">
        <v>120.6</v>
      </c>
      <c r="M320" s="3">
        <v>171.7</v>
      </c>
      <c r="N320" s="3">
        <v>169.7</v>
      </c>
      <c r="O320" s="3">
        <v>175.1</v>
      </c>
      <c r="P320" s="3">
        <v>165.8</v>
      </c>
      <c r="Q320" s="3">
        <v>190.8</v>
      </c>
      <c r="R320" s="3">
        <v>171.8</v>
      </c>
      <c r="S320" s="3">
        <v>167.3</v>
      </c>
      <c r="T320" s="3">
        <v>171.2</v>
      </c>
      <c r="V320" s="3">
        <v>165.6</v>
      </c>
      <c r="W320" s="3">
        <v>163.9</v>
      </c>
      <c r="X320" s="3">
        <v>174</v>
      </c>
      <c r="Y320" s="3">
        <v>160.1</v>
      </c>
      <c r="Z320" s="3">
        <v>164.5</v>
      </c>
      <c r="AA320" s="3">
        <v>169.7</v>
      </c>
      <c r="AB320" s="3">
        <v>162.80000000000001</v>
      </c>
      <c r="AC320" s="3">
        <v>166</v>
      </c>
      <c r="AD320" s="3">
        <v>167</v>
      </c>
    </row>
    <row r="321" spans="1:30" ht="15" customHeight="1" x14ac:dyDescent="0.2">
      <c r="A321" s="3" t="s">
        <v>87</v>
      </c>
      <c r="B321" s="3">
        <v>2021</v>
      </c>
      <c r="C321" s="3" t="s">
        <v>109</v>
      </c>
      <c r="D321" s="3">
        <v>151.6</v>
      </c>
      <c r="E321" s="3">
        <v>202.2</v>
      </c>
      <c r="F321" s="3">
        <v>180</v>
      </c>
      <c r="G321" s="3">
        <v>160</v>
      </c>
      <c r="H321" s="3">
        <v>173.5</v>
      </c>
      <c r="I321" s="3">
        <v>158.30000000000001</v>
      </c>
      <c r="J321" s="3">
        <v>219.5</v>
      </c>
      <c r="K321" s="3">
        <v>164.2</v>
      </c>
      <c r="L321" s="3">
        <v>121.9</v>
      </c>
      <c r="M321" s="3">
        <v>168.2</v>
      </c>
      <c r="N321" s="3">
        <v>156.5</v>
      </c>
      <c r="O321" s="3">
        <v>178.2</v>
      </c>
      <c r="P321" s="3">
        <v>172.2</v>
      </c>
      <c r="Q321" s="3">
        <v>196.8</v>
      </c>
      <c r="R321" s="3">
        <v>163.30000000000001</v>
      </c>
      <c r="S321" s="3">
        <v>146.69999999999999</v>
      </c>
      <c r="T321" s="3">
        <v>160.69999999999999</v>
      </c>
      <c r="U321" s="3" t="s">
        <v>202</v>
      </c>
      <c r="V321" s="3">
        <v>161.69999999999999</v>
      </c>
      <c r="W321" s="3">
        <v>156</v>
      </c>
      <c r="X321" s="3">
        <v>165.1</v>
      </c>
      <c r="Y321" s="3">
        <v>151.80000000000001</v>
      </c>
      <c r="Z321" s="3">
        <v>157.6</v>
      </c>
      <c r="AA321" s="3">
        <v>160.6</v>
      </c>
      <c r="AB321" s="3">
        <v>162.4</v>
      </c>
      <c r="AC321" s="3">
        <v>157.80000000000001</v>
      </c>
      <c r="AD321" s="3">
        <v>165.2</v>
      </c>
    </row>
    <row r="322" spans="1:30" ht="15" customHeight="1" x14ac:dyDescent="0.2">
      <c r="A322" s="3" t="s">
        <v>89</v>
      </c>
      <c r="B322" s="3">
        <v>2021</v>
      </c>
      <c r="C322" s="3" t="s">
        <v>109</v>
      </c>
      <c r="D322" s="3">
        <v>148.69999999999999</v>
      </c>
      <c r="E322" s="3">
        <v>198.8</v>
      </c>
      <c r="F322" s="3">
        <v>177.9</v>
      </c>
      <c r="G322" s="3">
        <v>159.9</v>
      </c>
      <c r="H322" s="3">
        <v>187.6</v>
      </c>
      <c r="I322" s="3">
        <v>154.9</v>
      </c>
      <c r="J322" s="3">
        <v>188.3</v>
      </c>
      <c r="K322" s="3">
        <v>164.4</v>
      </c>
      <c r="L322" s="3">
        <v>121</v>
      </c>
      <c r="M322" s="3">
        <v>170.5</v>
      </c>
      <c r="N322" s="3">
        <v>164.2</v>
      </c>
      <c r="O322" s="3">
        <v>176.5</v>
      </c>
      <c r="P322" s="3">
        <v>168.2</v>
      </c>
      <c r="Q322" s="3">
        <v>192.4</v>
      </c>
      <c r="R322" s="3">
        <v>168.5</v>
      </c>
      <c r="S322" s="3">
        <v>158.69999999999999</v>
      </c>
      <c r="T322" s="3">
        <v>167</v>
      </c>
      <c r="U322" s="3" t="s">
        <v>202</v>
      </c>
      <c r="V322" s="3">
        <v>164.1</v>
      </c>
      <c r="W322" s="3">
        <v>160.19999999999999</v>
      </c>
      <c r="X322" s="3">
        <v>170.6</v>
      </c>
      <c r="Y322" s="3">
        <v>155.69999999999999</v>
      </c>
      <c r="Z322" s="3">
        <v>160.6</v>
      </c>
      <c r="AA322" s="3">
        <v>164.4</v>
      </c>
      <c r="AB322" s="3">
        <v>162.6</v>
      </c>
      <c r="AC322" s="3">
        <v>162</v>
      </c>
      <c r="AD322" s="3">
        <v>166.2</v>
      </c>
    </row>
    <row r="323" spans="1:30" ht="15" customHeight="1" x14ac:dyDescent="0.2">
      <c r="A323" s="3" t="s">
        <v>84</v>
      </c>
      <c r="B323" s="3">
        <v>2022</v>
      </c>
      <c r="C323" s="3" t="s">
        <v>85</v>
      </c>
      <c r="D323" s="3">
        <v>148.30000000000001</v>
      </c>
      <c r="E323" s="3">
        <v>196.9</v>
      </c>
      <c r="F323" s="3">
        <v>178</v>
      </c>
      <c r="G323" s="3">
        <v>160.5</v>
      </c>
      <c r="H323" s="3">
        <v>192.6</v>
      </c>
      <c r="I323" s="3">
        <v>151.19999999999999</v>
      </c>
      <c r="J323" s="3">
        <v>159.19999999999999</v>
      </c>
      <c r="K323" s="3">
        <v>164</v>
      </c>
      <c r="L323" s="3">
        <v>119.3</v>
      </c>
      <c r="M323" s="3">
        <v>173.3</v>
      </c>
      <c r="N323" s="3">
        <v>169.8</v>
      </c>
      <c r="O323" s="3">
        <v>175.8</v>
      </c>
      <c r="P323" s="3">
        <v>164.1</v>
      </c>
      <c r="Q323" s="3">
        <v>190.7</v>
      </c>
      <c r="R323" s="3">
        <v>173.2</v>
      </c>
      <c r="S323" s="3">
        <v>169.3</v>
      </c>
      <c r="T323" s="3">
        <v>172.7</v>
      </c>
      <c r="V323" s="3">
        <v>165.8</v>
      </c>
      <c r="W323" s="3">
        <v>164.9</v>
      </c>
      <c r="X323" s="3">
        <v>174.7</v>
      </c>
      <c r="Y323" s="3">
        <v>160.80000000000001</v>
      </c>
      <c r="Z323" s="3">
        <v>164.9</v>
      </c>
      <c r="AA323" s="3">
        <v>169.9</v>
      </c>
      <c r="AB323" s="3">
        <v>163.19999999999999</v>
      </c>
      <c r="AC323" s="3">
        <v>166.6</v>
      </c>
      <c r="AD323" s="3">
        <v>166.4</v>
      </c>
    </row>
    <row r="324" spans="1:30" ht="15" customHeight="1" x14ac:dyDescent="0.2">
      <c r="A324" s="3" t="s">
        <v>87</v>
      </c>
      <c r="B324" s="3">
        <v>2022</v>
      </c>
      <c r="C324" s="3" t="s">
        <v>85</v>
      </c>
      <c r="D324" s="3">
        <v>152.19999999999999</v>
      </c>
      <c r="E324" s="3">
        <v>202.1</v>
      </c>
      <c r="F324" s="3">
        <v>180.1</v>
      </c>
      <c r="G324" s="3">
        <v>160.4</v>
      </c>
      <c r="H324" s="3">
        <v>171</v>
      </c>
      <c r="I324" s="3">
        <v>156.5</v>
      </c>
      <c r="J324" s="3">
        <v>203.6</v>
      </c>
      <c r="K324" s="3">
        <v>163.80000000000001</v>
      </c>
      <c r="L324" s="3">
        <v>121.3</v>
      </c>
      <c r="M324" s="3">
        <v>169.8</v>
      </c>
      <c r="N324" s="3">
        <v>156.6</v>
      </c>
      <c r="O324" s="3">
        <v>179</v>
      </c>
      <c r="P324" s="3">
        <v>170.3</v>
      </c>
      <c r="Q324" s="3">
        <v>196.4</v>
      </c>
      <c r="R324" s="3">
        <v>164.7</v>
      </c>
      <c r="S324" s="3">
        <v>148.5</v>
      </c>
      <c r="T324" s="3">
        <v>162.19999999999999</v>
      </c>
      <c r="U324" s="3" t="s">
        <v>203</v>
      </c>
      <c r="V324" s="3">
        <v>161.6</v>
      </c>
      <c r="W324" s="3">
        <v>156.80000000000001</v>
      </c>
      <c r="X324" s="3">
        <v>166.1</v>
      </c>
      <c r="Y324" s="3">
        <v>152.69999999999999</v>
      </c>
      <c r="Z324" s="3">
        <v>158.4</v>
      </c>
      <c r="AA324" s="3">
        <v>161</v>
      </c>
      <c r="AB324" s="3">
        <v>162.80000000000001</v>
      </c>
      <c r="AC324" s="3">
        <v>158.6</v>
      </c>
      <c r="AD324" s="3">
        <v>165</v>
      </c>
    </row>
    <row r="325" spans="1:30" ht="15" customHeight="1" x14ac:dyDescent="0.2">
      <c r="A325" s="3" t="s">
        <v>89</v>
      </c>
      <c r="B325" s="3">
        <v>2022</v>
      </c>
      <c r="C325" s="3" t="s">
        <v>85</v>
      </c>
      <c r="D325" s="3">
        <v>149.5</v>
      </c>
      <c r="E325" s="3">
        <v>198.7</v>
      </c>
      <c r="F325" s="3">
        <v>178.8</v>
      </c>
      <c r="G325" s="3">
        <v>160.5</v>
      </c>
      <c r="H325" s="3">
        <v>184.7</v>
      </c>
      <c r="I325" s="3">
        <v>153.69999999999999</v>
      </c>
      <c r="J325" s="3">
        <v>174.3</v>
      </c>
      <c r="K325" s="3">
        <v>163.9</v>
      </c>
      <c r="L325" s="3">
        <v>120</v>
      </c>
      <c r="M325" s="3">
        <v>172.1</v>
      </c>
      <c r="N325" s="3">
        <v>164.3</v>
      </c>
      <c r="O325" s="3">
        <v>177.3</v>
      </c>
      <c r="P325" s="3">
        <v>166.4</v>
      </c>
      <c r="Q325" s="3">
        <v>192.2</v>
      </c>
      <c r="R325" s="3">
        <v>169.9</v>
      </c>
      <c r="S325" s="3">
        <v>160.69999999999999</v>
      </c>
      <c r="T325" s="3">
        <v>168.5</v>
      </c>
      <c r="U325" s="3" t="s">
        <v>203</v>
      </c>
      <c r="V325" s="3">
        <v>164.2</v>
      </c>
      <c r="W325" s="3">
        <v>161.1</v>
      </c>
      <c r="X325" s="3">
        <v>171.4</v>
      </c>
      <c r="Y325" s="3">
        <v>156.5</v>
      </c>
      <c r="Z325" s="3">
        <v>161.19999999999999</v>
      </c>
      <c r="AA325" s="3">
        <v>164.7</v>
      </c>
      <c r="AB325" s="3">
        <v>163</v>
      </c>
      <c r="AC325" s="3">
        <v>162.69999999999999</v>
      </c>
      <c r="AD325" s="3">
        <v>165.7</v>
      </c>
    </row>
    <row r="326" spans="1:30" ht="15" customHeight="1" x14ac:dyDescent="0.2">
      <c r="A326" s="3" t="s">
        <v>84</v>
      </c>
      <c r="B326" s="3">
        <v>2022</v>
      </c>
      <c r="C326" s="3" t="s">
        <v>90</v>
      </c>
      <c r="D326" s="3">
        <v>148.80000000000001</v>
      </c>
      <c r="E326" s="3">
        <v>198.1</v>
      </c>
      <c r="F326" s="3">
        <v>175.5</v>
      </c>
      <c r="G326" s="3">
        <v>160.69999999999999</v>
      </c>
      <c r="H326" s="3">
        <v>192.6</v>
      </c>
      <c r="I326" s="3">
        <v>151.4</v>
      </c>
      <c r="J326" s="3">
        <v>155.19999999999999</v>
      </c>
      <c r="K326" s="3">
        <v>163.9</v>
      </c>
      <c r="L326" s="3">
        <v>118.1</v>
      </c>
      <c r="M326" s="3">
        <v>175.4</v>
      </c>
      <c r="N326" s="3">
        <v>170.5</v>
      </c>
      <c r="O326" s="3">
        <v>176.3</v>
      </c>
      <c r="P326" s="3">
        <v>163.9</v>
      </c>
      <c r="Q326" s="3">
        <v>191.5</v>
      </c>
      <c r="R326" s="3">
        <v>174.1</v>
      </c>
      <c r="S326" s="3">
        <v>171</v>
      </c>
      <c r="T326" s="3">
        <v>173.7</v>
      </c>
      <c r="V326" s="3">
        <v>167.4</v>
      </c>
      <c r="W326" s="3">
        <v>165.7</v>
      </c>
      <c r="X326" s="3">
        <v>175.3</v>
      </c>
      <c r="Y326" s="3">
        <v>161.19999999999999</v>
      </c>
      <c r="Z326" s="3">
        <v>165.5</v>
      </c>
      <c r="AA326" s="3">
        <v>170.3</v>
      </c>
      <c r="AB326" s="3">
        <v>164.5</v>
      </c>
      <c r="AC326" s="3">
        <v>167.3</v>
      </c>
      <c r="AD326" s="3">
        <v>166.7</v>
      </c>
    </row>
    <row r="327" spans="1:30" ht="15" customHeight="1" x14ac:dyDescent="0.2">
      <c r="A327" s="3" t="s">
        <v>87</v>
      </c>
      <c r="B327" s="3">
        <v>2022</v>
      </c>
      <c r="C327" s="3" t="s">
        <v>90</v>
      </c>
      <c r="D327" s="3">
        <v>152.5</v>
      </c>
      <c r="E327" s="3">
        <v>205.2</v>
      </c>
      <c r="F327" s="3">
        <v>176.4</v>
      </c>
      <c r="G327" s="3">
        <v>160.6</v>
      </c>
      <c r="H327" s="3">
        <v>171.5</v>
      </c>
      <c r="I327" s="3">
        <v>156.4</v>
      </c>
      <c r="J327" s="3">
        <v>198</v>
      </c>
      <c r="K327" s="3">
        <v>163.19999999999999</v>
      </c>
      <c r="L327" s="3">
        <v>120.6</v>
      </c>
      <c r="M327" s="3">
        <v>172.2</v>
      </c>
      <c r="N327" s="3">
        <v>156.69999999999999</v>
      </c>
      <c r="O327" s="3">
        <v>180</v>
      </c>
      <c r="P327" s="3">
        <v>170.2</v>
      </c>
      <c r="Q327" s="3">
        <v>196.5</v>
      </c>
      <c r="R327" s="3">
        <v>165.7</v>
      </c>
      <c r="S327" s="3">
        <v>150.4</v>
      </c>
      <c r="T327" s="3">
        <v>163.4</v>
      </c>
      <c r="U327" s="3" t="s">
        <v>204</v>
      </c>
      <c r="V327" s="3">
        <v>163</v>
      </c>
      <c r="W327" s="3">
        <v>157.4</v>
      </c>
      <c r="X327" s="3">
        <v>167.2</v>
      </c>
      <c r="Y327" s="3">
        <v>153.1</v>
      </c>
      <c r="Z327" s="3">
        <v>159.5</v>
      </c>
      <c r="AA327" s="3">
        <v>162</v>
      </c>
      <c r="AB327" s="3">
        <v>164.2</v>
      </c>
      <c r="AC327" s="3">
        <v>159.4</v>
      </c>
      <c r="AD327" s="3">
        <v>165.5</v>
      </c>
    </row>
    <row r="328" spans="1:30" ht="15" customHeight="1" x14ac:dyDescent="0.2">
      <c r="A328" s="3" t="s">
        <v>89</v>
      </c>
      <c r="B328" s="3">
        <v>2022</v>
      </c>
      <c r="C328" s="3" t="s">
        <v>90</v>
      </c>
      <c r="D328" s="3">
        <v>150</v>
      </c>
      <c r="E328" s="3">
        <v>200.6</v>
      </c>
      <c r="F328" s="3">
        <v>175.8</v>
      </c>
      <c r="G328" s="3">
        <v>160.69999999999999</v>
      </c>
      <c r="H328" s="3">
        <v>184.9</v>
      </c>
      <c r="I328" s="3">
        <v>153.69999999999999</v>
      </c>
      <c r="J328" s="3">
        <v>169.7</v>
      </c>
      <c r="K328" s="3">
        <v>163.69999999999999</v>
      </c>
      <c r="L328" s="3">
        <v>118.9</v>
      </c>
      <c r="M328" s="3">
        <v>174.3</v>
      </c>
      <c r="N328" s="3">
        <v>164.7</v>
      </c>
      <c r="O328" s="3">
        <v>178</v>
      </c>
      <c r="P328" s="3">
        <v>166.2</v>
      </c>
      <c r="Q328" s="3">
        <v>192.8</v>
      </c>
      <c r="R328" s="3">
        <v>170.8</v>
      </c>
      <c r="S328" s="3">
        <v>162.4</v>
      </c>
      <c r="T328" s="3">
        <v>169.6</v>
      </c>
      <c r="U328" s="3" t="s">
        <v>204</v>
      </c>
      <c r="V328" s="3">
        <v>165.7</v>
      </c>
      <c r="W328" s="3">
        <v>161.80000000000001</v>
      </c>
      <c r="X328" s="3">
        <v>172.2</v>
      </c>
      <c r="Y328" s="3">
        <v>156.9</v>
      </c>
      <c r="Z328" s="3">
        <v>162.1</v>
      </c>
      <c r="AA328" s="3">
        <v>165.4</v>
      </c>
      <c r="AB328" s="3">
        <v>164.4</v>
      </c>
      <c r="AC328" s="3">
        <v>163.5</v>
      </c>
      <c r="AD328" s="3">
        <v>166.1</v>
      </c>
    </row>
    <row r="329" spans="1:30" ht="15" customHeight="1" x14ac:dyDescent="0.2">
      <c r="A329" s="3" t="s">
        <v>84</v>
      </c>
      <c r="B329" s="3">
        <v>2022</v>
      </c>
      <c r="C329" s="3" t="s">
        <v>92</v>
      </c>
      <c r="D329" s="3">
        <v>150.19999999999999</v>
      </c>
      <c r="E329" s="3">
        <v>208</v>
      </c>
      <c r="F329" s="3">
        <v>167.9</v>
      </c>
      <c r="G329" s="3">
        <v>162</v>
      </c>
      <c r="H329" s="3">
        <v>203.1</v>
      </c>
      <c r="I329" s="3">
        <v>155.9</v>
      </c>
      <c r="J329" s="3">
        <v>155.80000000000001</v>
      </c>
      <c r="K329" s="3">
        <v>164.2</v>
      </c>
      <c r="L329" s="3">
        <v>118.1</v>
      </c>
      <c r="M329" s="3">
        <v>178.7</v>
      </c>
      <c r="N329" s="3">
        <v>171.2</v>
      </c>
      <c r="O329" s="3">
        <v>177.4</v>
      </c>
      <c r="P329" s="3">
        <v>166.6</v>
      </c>
      <c r="Q329" s="3">
        <v>192.3</v>
      </c>
      <c r="R329" s="3">
        <v>175.4</v>
      </c>
      <c r="S329" s="3">
        <v>173.2</v>
      </c>
      <c r="T329" s="3">
        <v>175.1</v>
      </c>
      <c r="V329" s="3">
        <v>168.9</v>
      </c>
      <c r="W329" s="3">
        <v>166.5</v>
      </c>
      <c r="X329" s="3">
        <v>176</v>
      </c>
      <c r="Y329" s="3">
        <v>162</v>
      </c>
      <c r="Z329" s="3">
        <v>166.6</v>
      </c>
      <c r="AA329" s="3">
        <v>170.6</v>
      </c>
      <c r="AB329" s="3">
        <v>167.4</v>
      </c>
      <c r="AC329" s="3">
        <v>168.3</v>
      </c>
      <c r="AD329" s="3">
        <v>168.7</v>
      </c>
    </row>
    <row r="330" spans="1:30" ht="15" customHeight="1" x14ac:dyDescent="0.2">
      <c r="A330" s="3" t="s">
        <v>87</v>
      </c>
      <c r="B330" s="3">
        <v>2022</v>
      </c>
      <c r="C330" s="3" t="s">
        <v>92</v>
      </c>
      <c r="D330" s="3">
        <v>153.69999999999999</v>
      </c>
      <c r="E330" s="3">
        <v>215.8</v>
      </c>
      <c r="F330" s="3">
        <v>167.7</v>
      </c>
      <c r="G330" s="3">
        <v>162.6</v>
      </c>
      <c r="H330" s="3">
        <v>180</v>
      </c>
      <c r="I330" s="3">
        <v>159.6</v>
      </c>
      <c r="J330" s="3">
        <v>188.4</v>
      </c>
      <c r="K330" s="3">
        <v>163.4</v>
      </c>
      <c r="L330" s="3">
        <v>120.3</v>
      </c>
      <c r="M330" s="3">
        <v>174.7</v>
      </c>
      <c r="N330" s="3">
        <v>157.1</v>
      </c>
      <c r="O330" s="3">
        <v>181.5</v>
      </c>
      <c r="P330" s="3">
        <v>171.5</v>
      </c>
      <c r="Q330" s="3">
        <v>197.5</v>
      </c>
      <c r="R330" s="3">
        <v>167.1</v>
      </c>
      <c r="S330" s="3">
        <v>152.6</v>
      </c>
      <c r="T330" s="3">
        <v>164.9</v>
      </c>
      <c r="U330" s="3" t="s">
        <v>205</v>
      </c>
      <c r="V330" s="3">
        <v>164.5</v>
      </c>
      <c r="W330" s="3">
        <v>158.6</v>
      </c>
      <c r="X330" s="3">
        <v>168.2</v>
      </c>
      <c r="Y330" s="3">
        <v>154.19999999999999</v>
      </c>
      <c r="Z330" s="3">
        <v>160.80000000000001</v>
      </c>
      <c r="AA330" s="3">
        <v>162.69999999999999</v>
      </c>
      <c r="AB330" s="3">
        <v>166.8</v>
      </c>
      <c r="AC330" s="3">
        <v>160.6</v>
      </c>
      <c r="AD330" s="3">
        <v>166.5</v>
      </c>
    </row>
    <row r="331" spans="1:30" ht="15" customHeight="1" x14ac:dyDescent="0.2">
      <c r="A331" s="3" t="s">
        <v>89</v>
      </c>
      <c r="B331" s="3">
        <v>2022</v>
      </c>
      <c r="C331" s="3" t="s">
        <v>92</v>
      </c>
      <c r="D331" s="3">
        <v>151.30000000000001</v>
      </c>
      <c r="E331" s="3">
        <v>210.7</v>
      </c>
      <c r="F331" s="3">
        <v>167.8</v>
      </c>
      <c r="G331" s="3">
        <v>162.19999999999999</v>
      </c>
      <c r="H331" s="3">
        <v>194.6</v>
      </c>
      <c r="I331" s="3">
        <v>157.6</v>
      </c>
      <c r="J331" s="3">
        <v>166.9</v>
      </c>
      <c r="K331" s="3">
        <v>163.9</v>
      </c>
      <c r="L331" s="3">
        <v>118.8</v>
      </c>
      <c r="M331" s="3">
        <v>177.4</v>
      </c>
      <c r="N331" s="3">
        <v>165.3</v>
      </c>
      <c r="O331" s="3">
        <v>179.3</v>
      </c>
      <c r="P331" s="3">
        <v>168.4</v>
      </c>
      <c r="Q331" s="3">
        <v>193.7</v>
      </c>
      <c r="R331" s="3">
        <v>172.1</v>
      </c>
      <c r="S331" s="3">
        <v>164.6</v>
      </c>
      <c r="T331" s="3">
        <v>171.1</v>
      </c>
      <c r="U331" s="3" t="s">
        <v>205</v>
      </c>
      <c r="V331" s="3">
        <v>167.2</v>
      </c>
      <c r="W331" s="3">
        <v>162.80000000000001</v>
      </c>
      <c r="X331" s="3">
        <v>173</v>
      </c>
      <c r="Y331" s="3">
        <v>157.9</v>
      </c>
      <c r="Z331" s="3">
        <v>163.30000000000001</v>
      </c>
      <c r="AA331" s="3">
        <v>166</v>
      </c>
      <c r="AB331" s="3">
        <v>167.2</v>
      </c>
      <c r="AC331" s="3">
        <v>164.6</v>
      </c>
      <c r="AD331" s="3">
        <v>167.7</v>
      </c>
    </row>
    <row r="332" spans="1:30" ht="15" customHeight="1" x14ac:dyDescent="0.2">
      <c r="A332" s="3" t="s">
        <v>84</v>
      </c>
      <c r="B332" s="3">
        <v>2022</v>
      </c>
      <c r="C332" s="3" t="s">
        <v>93</v>
      </c>
      <c r="D332" s="3">
        <v>151.80000000000001</v>
      </c>
      <c r="E332" s="3">
        <v>209.7</v>
      </c>
      <c r="F332" s="3">
        <v>164.5</v>
      </c>
      <c r="G332" s="3">
        <v>163.80000000000001</v>
      </c>
      <c r="H332" s="3">
        <v>207.4</v>
      </c>
      <c r="I332" s="3">
        <v>169.7</v>
      </c>
      <c r="J332" s="3">
        <v>153.6</v>
      </c>
      <c r="K332" s="3">
        <v>165.1</v>
      </c>
      <c r="L332" s="3">
        <v>118.2</v>
      </c>
      <c r="M332" s="3">
        <v>182.9</v>
      </c>
      <c r="N332" s="3">
        <v>172.4</v>
      </c>
      <c r="O332" s="3">
        <v>178.9</v>
      </c>
      <c r="P332" s="3">
        <v>168.6</v>
      </c>
      <c r="Q332" s="3">
        <v>192.8</v>
      </c>
      <c r="R332" s="3">
        <v>177.5</v>
      </c>
      <c r="S332" s="3">
        <v>175.1</v>
      </c>
      <c r="T332" s="3">
        <v>177.1</v>
      </c>
      <c r="V332" s="3">
        <v>173.3</v>
      </c>
      <c r="W332" s="3">
        <v>167.7</v>
      </c>
      <c r="X332" s="3">
        <v>177</v>
      </c>
      <c r="Y332" s="3">
        <v>166.2</v>
      </c>
      <c r="Z332" s="3">
        <v>167.2</v>
      </c>
      <c r="AA332" s="3">
        <v>170.9</v>
      </c>
      <c r="AB332" s="3">
        <v>169</v>
      </c>
      <c r="AC332" s="3">
        <v>170.2</v>
      </c>
      <c r="AD332" s="3">
        <v>170.8</v>
      </c>
    </row>
    <row r="333" spans="1:30" ht="15" customHeight="1" x14ac:dyDescent="0.2">
      <c r="A333" s="3" t="s">
        <v>87</v>
      </c>
      <c r="B333" s="3">
        <v>2022</v>
      </c>
      <c r="C333" s="3" t="s">
        <v>93</v>
      </c>
      <c r="D333" s="3">
        <v>155.4</v>
      </c>
      <c r="E333" s="3">
        <v>215.8</v>
      </c>
      <c r="F333" s="3">
        <v>164.6</v>
      </c>
      <c r="G333" s="3">
        <v>164.2</v>
      </c>
      <c r="H333" s="3">
        <v>186</v>
      </c>
      <c r="I333" s="3">
        <v>175.9</v>
      </c>
      <c r="J333" s="3">
        <v>190.7</v>
      </c>
      <c r="K333" s="3">
        <v>164</v>
      </c>
      <c r="L333" s="3">
        <v>120.5</v>
      </c>
      <c r="M333" s="3">
        <v>178</v>
      </c>
      <c r="N333" s="3">
        <v>157.5</v>
      </c>
      <c r="O333" s="3">
        <v>183.3</v>
      </c>
      <c r="P333" s="3">
        <v>174.5</v>
      </c>
      <c r="Q333" s="3">
        <v>197.1</v>
      </c>
      <c r="R333" s="3">
        <v>168.4</v>
      </c>
      <c r="S333" s="3">
        <v>154.5</v>
      </c>
      <c r="T333" s="3">
        <v>166.3</v>
      </c>
      <c r="U333" s="3" t="s">
        <v>206</v>
      </c>
      <c r="V333" s="3">
        <v>170.5</v>
      </c>
      <c r="W333" s="3">
        <v>159.80000000000001</v>
      </c>
      <c r="X333" s="3">
        <v>169</v>
      </c>
      <c r="Y333" s="3">
        <v>159.30000000000001</v>
      </c>
      <c r="Z333" s="3">
        <v>162.19999999999999</v>
      </c>
      <c r="AA333" s="3">
        <v>164</v>
      </c>
      <c r="AB333" s="3">
        <v>168.4</v>
      </c>
      <c r="AC333" s="3">
        <v>163.1</v>
      </c>
      <c r="AD333" s="3">
        <v>169.2</v>
      </c>
    </row>
    <row r="334" spans="1:30" ht="15" customHeight="1" x14ac:dyDescent="0.2">
      <c r="A334" s="3" t="s">
        <v>89</v>
      </c>
      <c r="B334" s="3">
        <v>2022</v>
      </c>
      <c r="C334" s="3" t="s">
        <v>93</v>
      </c>
      <c r="D334" s="3">
        <v>152.9</v>
      </c>
      <c r="E334" s="3">
        <v>211.8</v>
      </c>
      <c r="F334" s="3">
        <v>164.5</v>
      </c>
      <c r="G334" s="3">
        <v>163.9</v>
      </c>
      <c r="H334" s="3">
        <v>199.5</v>
      </c>
      <c r="I334" s="3">
        <v>172.6</v>
      </c>
      <c r="J334" s="3">
        <v>166.2</v>
      </c>
      <c r="K334" s="3">
        <v>164.7</v>
      </c>
      <c r="L334" s="3">
        <v>119</v>
      </c>
      <c r="M334" s="3">
        <v>181.3</v>
      </c>
      <c r="N334" s="3">
        <v>166.2</v>
      </c>
      <c r="O334" s="3">
        <v>180.9</v>
      </c>
      <c r="P334" s="3">
        <v>170.8</v>
      </c>
      <c r="Q334" s="3">
        <v>193.9</v>
      </c>
      <c r="R334" s="3">
        <v>173.9</v>
      </c>
      <c r="S334" s="3">
        <v>166.5</v>
      </c>
      <c r="T334" s="3">
        <v>172.8</v>
      </c>
      <c r="U334" s="3" t="s">
        <v>206</v>
      </c>
      <c r="V334" s="3">
        <v>172.2</v>
      </c>
      <c r="W334" s="3">
        <v>164</v>
      </c>
      <c r="X334" s="3">
        <v>174</v>
      </c>
      <c r="Y334" s="3">
        <v>162.6</v>
      </c>
      <c r="Z334" s="3">
        <v>164.4</v>
      </c>
      <c r="AA334" s="3">
        <v>166.9</v>
      </c>
      <c r="AB334" s="3">
        <v>168.8</v>
      </c>
      <c r="AC334" s="3">
        <v>166.8</v>
      </c>
      <c r="AD334" s="3">
        <v>170.1</v>
      </c>
    </row>
    <row r="335" spans="1:30" ht="15" customHeight="1" x14ac:dyDescent="0.2">
      <c r="A335" s="3" t="s">
        <v>84</v>
      </c>
      <c r="B335" s="3">
        <v>2022</v>
      </c>
      <c r="C335" s="3" t="s">
        <v>95</v>
      </c>
      <c r="D335" s="3">
        <v>152.9</v>
      </c>
      <c r="E335" s="3">
        <v>214.7</v>
      </c>
      <c r="F335" s="3">
        <v>161.4</v>
      </c>
      <c r="G335" s="3">
        <v>164.6</v>
      </c>
      <c r="H335" s="3">
        <v>209.9</v>
      </c>
      <c r="I335" s="3">
        <v>168</v>
      </c>
      <c r="J335" s="3">
        <v>160.4</v>
      </c>
      <c r="K335" s="3">
        <v>165</v>
      </c>
      <c r="L335" s="3">
        <v>118.9</v>
      </c>
      <c r="M335" s="3">
        <v>186.6</v>
      </c>
      <c r="N335" s="3">
        <v>173.2</v>
      </c>
      <c r="O335" s="3">
        <v>180.4</v>
      </c>
      <c r="P335" s="3">
        <v>170.8</v>
      </c>
      <c r="Q335" s="3">
        <v>192.9</v>
      </c>
      <c r="R335" s="3">
        <v>179.3</v>
      </c>
      <c r="S335" s="3">
        <v>177.2</v>
      </c>
      <c r="T335" s="3">
        <v>179</v>
      </c>
      <c r="V335" s="3">
        <v>175.3</v>
      </c>
      <c r="W335" s="3">
        <v>168.9</v>
      </c>
      <c r="X335" s="3">
        <v>177.7</v>
      </c>
      <c r="Y335" s="3">
        <v>167.1</v>
      </c>
      <c r="Z335" s="3">
        <v>167.6</v>
      </c>
      <c r="AA335" s="3">
        <v>171.8</v>
      </c>
      <c r="AB335" s="3">
        <v>168.5</v>
      </c>
      <c r="AC335" s="3">
        <v>170.9</v>
      </c>
      <c r="AD335" s="3">
        <v>172.5</v>
      </c>
    </row>
    <row r="336" spans="1:30" ht="15" customHeight="1" x14ac:dyDescent="0.2">
      <c r="A336" s="3" t="s">
        <v>87</v>
      </c>
      <c r="B336" s="3">
        <v>2022</v>
      </c>
      <c r="C336" s="3" t="s">
        <v>95</v>
      </c>
      <c r="D336" s="3">
        <v>156.69999999999999</v>
      </c>
      <c r="E336" s="3">
        <v>221.2</v>
      </c>
      <c r="F336" s="3">
        <v>164.1</v>
      </c>
      <c r="G336" s="3">
        <v>165.4</v>
      </c>
      <c r="H336" s="3">
        <v>189.5</v>
      </c>
      <c r="I336" s="3">
        <v>174.5</v>
      </c>
      <c r="J336" s="3">
        <v>203.2</v>
      </c>
      <c r="K336" s="3">
        <v>164.1</v>
      </c>
      <c r="L336" s="3">
        <v>121.2</v>
      </c>
      <c r="M336" s="3">
        <v>181.4</v>
      </c>
      <c r="N336" s="3">
        <v>158.5</v>
      </c>
      <c r="O336" s="3">
        <v>184.9</v>
      </c>
      <c r="P336" s="3">
        <v>177.5</v>
      </c>
      <c r="Q336" s="3">
        <v>197.5</v>
      </c>
      <c r="R336" s="3">
        <v>170</v>
      </c>
      <c r="S336" s="3">
        <v>155.9</v>
      </c>
      <c r="T336" s="3">
        <v>167.8</v>
      </c>
      <c r="U336" s="3" t="s">
        <v>207</v>
      </c>
      <c r="V336" s="3">
        <v>173.5</v>
      </c>
      <c r="W336" s="3">
        <v>161.1</v>
      </c>
      <c r="X336" s="3">
        <v>170.1</v>
      </c>
      <c r="Y336" s="3">
        <v>159.4</v>
      </c>
      <c r="Z336" s="3">
        <v>163.19999999999999</v>
      </c>
      <c r="AA336" s="3">
        <v>165.2</v>
      </c>
      <c r="AB336" s="3">
        <v>168.2</v>
      </c>
      <c r="AC336" s="3">
        <v>163.80000000000001</v>
      </c>
      <c r="AD336" s="3">
        <v>170.8</v>
      </c>
    </row>
    <row r="337" spans="1:30" ht="15" customHeight="1" x14ac:dyDescent="0.2">
      <c r="A337" s="3" t="s">
        <v>89</v>
      </c>
      <c r="B337" s="3">
        <v>2022</v>
      </c>
      <c r="C337" s="3" t="s">
        <v>95</v>
      </c>
      <c r="D337" s="3">
        <v>154.1</v>
      </c>
      <c r="E337" s="3">
        <v>217</v>
      </c>
      <c r="F337" s="3">
        <v>162.4</v>
      </c>
      <c r="G337" s="3">
        <v>164.9</v>
      </c>
      <c r="H337" s="3">
        <v>202.4</v>
      </c>
      <c r="I337" s="3">
        <v>171</v>
      </c>
      <c r="J337" s="3">
        <v>174.9</v>
      </c>
      <c r="K337" s="3">
        <v>164.7</v>
      </c>
      <c r="L337" s="3">
        <v>119.7</v>
      </c>
      <c r="M337" s="3">
        <v>184.9</v>
      </c>
      <c r="N337" s="3">
        <v>167.1</v>
      </c>
      <c r="O337" s="3">
        <v>182.5</v>
      </c>
      <c r="P337" s="3">
        <v>173.3</v>
      </c>
      <c r="Q337" s="3">
        <v>194.1</v>
      </c>
      <c r="R337" s="3">
        <v>175.6</v>
      </c>
      <c r="S337" s="3">
        <v>168.4</v>
      </c>
      <c r="T337" s="3">
        <v>174.6</v>
      </c>
      <c r="U337" s="3" t="s">
        <v>207</v>
      </c>
      <c r="V337" s="3">
        <v>174.6</v>
      </c>
      <c r="W337" s="3">
        <v>165.2</v>
      </c>
      <c r="X337" s="3">
        <v>174.8</v>
      </c>
      <c r="Y337" s="3">
        <v>163</v>
      </c>
      <c r="Z337" s="3">
        <v>165.1</v>
      </c>
      <c r="AA337" s="3">
        <v>167.9</v>
      </c>
      <c r="AB337" s="3">
        <v>168.4</v>
      </c>
      <c r="AC337" s="3">
        <v>167.5</v>
      </c>
      <c r="AD337" s="3">
        <v>171.7</v>
      </c>
    </row>
    <row r="338" spans="1:30" ht="15" customHeight="1" x14ac:dyDescent="0.2">
      <c r="A338" s="3" t="s">
        <v>84</v>
      </c>
      <c r="B338" s="3">
        <v>2022</v>
      </c>
      <c r="C338" s="3" t="s">
        <v>96</v>
      </c>
      <c r="D338" s="3">
        <v>153.80000000000001</v>
      </c>
      <c r="E338" s="3">
        <v>217.2</v>
      </c>
      <c r="F338" s="3">
        <v>169.6</v>
      </c>
      <c r="G338" s="3">
        <v>165.4</v>
      </c>
      <c r="H338" s="3">
        <v>208.1</v>
      </c>
      <c r="I338" s="3">
        <v>165.8</v>
      </c>
      <c r="J338" s="3">
        <v>167.3</v>
      </c>
      <c r="K338" s="3">
        <v>164.6</v>
      </c>
      <c r="L338" s="3">
        <v>119.1</v>
      </c>
      <c r="M338" s="3">
        <v>188.9</v>
      </c>
      <c r="N338" s="3">
        <v>174.2</v>
      </c>
      <c r="O338" s="3">
        <v>181.9</v>
      </c>
      <c r="P338" s="3">
        <v>172.4</v>
      </c>
      <c r="Q338" s="3">
        <v>192.9</v>
      </c>
      <c r="R338" s="3">
        <v>180.7</v>
      </c>
      <c r="S338" s="3">
        <v>178.7</v>
      </c>
      <c r="T338" s="3">
        <v>180.4</v>
      </c>
      <c r="V338" s="3">
        <v>176.7</v>
      </c>
      <c r="W338" s="3">
        <v>170.3</v>
      </c>
      <c r="X338" s="3">
        <v>178.2</v>
      </c>
      <c r="Y338" s="3">
        <v>165.5</v>
      </c>
      <c r="Z338" s="3">
        <v>168</v>
      </c>
      <c r="AA338" s="3">
        <v>172.6</v>
      </c>
      <c r="AB338" s="3">
        <v>169.5</v>
      </c>
      <c r="AC338" s="3">
        <v>171</v>
      </c>
      <c r="AD338" s="3">
        <v>173.6</v>
      </c>
    </row>
    <row r="339" spans="1:30" ht="15" customHeight="1" x14ac:dyDescent="0.2">
      <c r="A339" s="3" t="s">
        <v>87</v>
      </c>
      <c r="B339" s="3">
        <v>2022</v>
      </c>
      <c r="C339" s="3" t="s">
        <v>96</v>
      </c>
      <c r="D339" s="3">
        <v>157.5</v>
      </c>
      <c r="E339" s="3">
        <v>223.4</v>
      </c>
      <c r="F339" s="3">
        <v>172.8</v>
      </c>
      <c r="G339" s="3">
        <v>166.4</v>
      </c>
      <c r="H339" s="3">
        <v>188.6</v>
      </c>
      <c r="I339" s="3">
        <v>174.1</v>
      </c>
      <c r="J339" s="3">
        <v>211.5</v>
      </c>
      <c r="K339" s="3">
        <v>163.6</v>
      </c>
      <c r="L339" s="3">
        <v>121.4</v>
      </c>
      <c r="M339" s="3">
        <v>183.5</v>
      </c>
      <c r="N339" s="3">
        <v>159.1</v>
      </c>
      <c r="O339" s="3">
        <v>186.3</v>
      </c>
      <c r="P339" s="3">
        <v>179.3</v>
      </c>
      <c r="Q339" s="3">
        <v>198.3</v>
      </c>
      <c r="R339" s="3">
        <v>171.6</v>
      </c>
      <c r="S339" s="3">
        <v>157.4</v>
      </c>
      <c r="T339" s="3">
        <v>169.4</v>
      </c>
      <c r="U339" s="3" t="s">
        <v>208</v>
      </c>
      <c r="V339" s="3">
        <v>174.9</v>
      </c>
      <c r="W339" s="3">
        <v>162.1</v>
      </c>
      <c r="X339" s="3">
        <v>170.9</v>
      </c>
      <c r="Y339" s="3">
        <v>157.19999999999999</v>
      </c>
      <c r="Z339" s="3">
        <v>164.1</v>
      </c>
      <c r="AA339" s="3">
        <v>166.5</v>
      </c>
      <c r="AB339" s="3">
        <v>169.2</v>
      </c>
      <c r="AC339" s="3">
        <v>163.80000000000001</v>
      </c>
      <c r="AD339" s="3">
        <v>171.4</v>
      </c>
    </row>
    <row r="340" spans="1:30" ht="15" customHeight="1" x14ac:dyDescent="0.2">
      <c r="A340" s="3" t="s">
        <v>89</v>
      </c>
      <c r="B340" s="3">
        <v>2022</v>
      </c>
      <c r="C340" s="3" t="s">
        <v>96</v>
      </c>
      <c r="D340" s="3">
        <v>155</v>
      </c>
      <c r="E340" s="3">
        <v>219.4</v>
      </c>
      <c r="F340" s="3">
        <v>170.8</v>
      </c>
      <c r="G340" s="3">
        <v>165.8</v>
      </c>
      <c r="H340" s="3">
        <v>200.9</v>
      </c>
      <c r="I340" s="3">
        <v>169.7</v>
      </c>
      <c r="J340" s="3">
        <v>182.3</v>
      </c>
      <c r="K340" s="3">
        <v>164.3</v>
      </c>
      <c r="L340" s="3">
        <v>119.9</v>
      </c>
      <c r="M340" s="3">
        <v>187.1</v>
      </c>
      <c r="N340" s="3">
        <v>167.9</v>
      </c>
      <c r="O340" s="3">
        <v>183.9</v>
      </c>
      <c r="P340" s="3">
        <v>174.9</v>
      </c>
      <c r="Q340" s="3">
        <v>194.3</v>
      </c>
      <c r="R340" s="3">
        <v>177.1</v>
      </c>
      <c r="S340" s="3">
        <v>169.9</v>
      </c>
      <c r="T340" s="3">
        <v>176</v>
      </c>
      <c r="U340" s="3" t="s">
        <v>208</v>
      </c>
      <c r="V340" s="3">
        <v>176</v>
      </c>
      <c r="W340" s="3">
        <v>166.4</v>
      </c>
      <c r="X340" s="3">
        <v>175.4</v>
      </c>
      <c r="Y340" s="3">
        <v>161.1</v>
      </c>
      <c r="Z340" s="3">
        <v>165.8</v>
      </c>
      <c r="AA340" s="3">
        <v>169</v>
      </c>
      <c r="AB340" s="3">
        <v>169.4</v>
      </c>
      <c r="AC340" s="3">
        <v>167.5</v>
      </c>
      <c r="AD340" s="3">
        <v>172.6</v>
      </c>
    </row>
    <row r="341" spans="1:30" ht="15" customHeight="1" x14ac:dyDescent="0.2">
      <c r="A341" s="3" t="s">
        <v>84</v>
      </c>
      <c r="B341" s="3">
        <v>2022</v>
      </c>
      <c r="C341" s="3" t="s">
        <v>98</v>
      </c>
      <c r="D341" s="3">
        <v>155.19999999999999</v>
      </c>
      <c r="E341" s="3">
        <v>210.8</v>
      </c>
      <c r="F341" s="3">
        <v>174.3</v>
      </c>
      <c r="G341" s="3">
        <v>166.3</v>
      </c>
      <c r="H341" s="3">
        <v>202.2</v>
      </c>
      <c r="I341" s="3">
        <v>169.6</v>
      </c>
      <c r="J341" s="3">
        <v>168.6</v>
      </c>
      <c r="K341" s="3">
        <v>164.4</v>
      </c>
      <c r="L341" s="3">
        <v>119.2</v>
      </c>
      <c r="M341" s="3">
        <v>191.8</v>
      </c>
      <c r="N341" s="3">
        <v>174.5</v>
      </c>
      <c r="O341" s="3">
        <v>183.1</v>
      </c>
      <c r="P341" s="3">
        <v>172.5</v>
      </c>
      <c r="Q341" s="3">
        <v>193.2</v>
      </c>
      <c r="R341" s="3">
        <v>182</v>
      </c>
      <c r="S341" s="3">
        <v>180.3</v>
      </c>
      <c r="T341" s="3">
        <v>181.7</v>
      </c>
      <c r="V341" s="3">
        <v>179.6</v>
      </c>
      <c r="W341" s="3">
        <v>171.3</v>
      </c>
      <c r="X341" s="3">
        <v>178.8</v>
      </c>
      <c r="Y341" s="3">
        <v>166.3</v>
      </c>
      <c r="Z341" s="3">
        <v>168.6</v>
      </c>
      <c r="AA341" s="3">
        <v>174.7</v>
      </c>
      <c r="AB341" s="3">
        <v>169.7</v>
      </c>
      <c r="AC341" s="3">
        <v>171.8</v>
      </c>
      <c r="AD341" s="3">
        <v>174.3</v>
      </c>
    </row>
    <row r="342" spans="1:30" ht="15" customHeight="1" x14ac:dyDescent="0.2">
      <c r="A342" s="3" t="s">
        <v>87</v>
      </c>
      <c r="B342" s="3">
        <v>2022</v>
      </c>
      <c r="C342" s="3" t="s">
        <v>98</v>
      </c>
      <c r="D342" s="3">
        <v>159.30000000000001</v>
      </c>
      <c r="E342" s="3">
        <v>217.1</v>
      </c>
      <c r="F342" s="3">
        <v>176.6</v>
      </c>
      <c r="G342" s="3">
        <v>167.1</v>
      </c>
      <c r="H342" s="3">
        <v>184.8</v>
      </c>
      <c r="I342" s="3">
        <v>179.5</v>
      </c>
      <c r="J342" s="3">
        <v>208.5</v>
      </c>
      <c r="K342" s="3">
        <v>164</v>
      </c>
      <c r="L342" s="3">
        <v>121.5</v>
      </c>
      <c r="M342" s="3">
        <v>186.3</v>
      </c>
      <c r="N342" s="3">
        <v>159.80000000000001</v>
      </c>
      <c r="O342" s="3">
        <v>187.7</v>
      </c>
      <c r="P342" s="3">
        <v>179.4</v>
      </c>
      <c r="Q342" s="3">
        <v>198.6</v>
      </c>
      <c r="R342" s="3">
        <v>172.7</v>
      </c>
      <c r="S342" s="3">
        <v>158.69999999999999</v>
      </c>
      <c r="T342" s="3">
        <v>170.6</v>
      </c>
      <c r="U342" s="3" t="s">
        <v>209</v>
      </c>
      <c r="V342" s="3">
        <v>179.5</v>
      </c>
      <c r="W342" s="3">
        <v>163.1</v>
      </c>
      <c r="X342" s="3">
        <v>171.7</v>
      </c>
      <c r="Y342" s="3">
        <v>157.4</v>
      </c>
      <c r="Z342" s="3">
        <v>164.6</v>
      </c>
      <c r="AA342" s="3">
        <v>169.1</v>
      </c>
      <c r="AB342" s="3">
        <v>169.8</v>
      </c>
      <c r="AC342" s="3">
        <v>164.7</v>
      </c>
      <c r="AD342" s="3">
        <v>172.3</v>
      </c>
    </row>
    <row r="343" spans="1:30" ht="15" customHeight="1" x14ac:dyDescent="0.2">
      <c r="A343" s="3" t="s">
        <v>89</v>
      </c>
      <c r="B343" s="3">
        <v>2022</v>
      </c>
      <c r="C343" s="3" t="s">
        <v>98</v>
      </c>
      <c r="D343" s="3">
        <v>156.5</v>
      </c>
      <c r="E343" s="3">
        <v>213</v>
      </c>
      <c r="F343" s="3">
        <v>175.2</v>
      </c>
      <c r="G343" s="3">
        <v>166.6</v>
      </c>
      <c r="H343" s="3">
        <v>195.8</v>
      </c>
      <c r="I343" s="3">
        <v>174.2</v>
      </c>
      <c r="J343" s="3">
        <v>182.1</v>
      </c>
      <c r="K343" s="3">
        <v>164.3</v>
      </c>
      <c r="L343" s="3">
        <v>120</v>
      </c>
      <c r="M343" s="3">
        <v>190</v>
      </c>
      <c r="N343" s="3">
        <v>168.4</v>
      </c>
      <c r="O343" s="3">
        <v>185.2</v>
      </c>
      <c r="P343" s="3">
        <v>175</v>
      </c>
      <c r="Q343" s="3">
        <v>194.6</v>
      </c>
      <c r="R343" s="3">
        <v>178.3</v>
      </c>
      <c r="S343" s="3">
        <v>171.3</v>
      </c>
      <c r="T343" s="3">
        <v>177.3</v>
      </c>
      <c r="U343" s="3" t="s">
        <v>209</v>
      </c>
      <c r="V343" s="3">
        <v>179.6</v>
      </c>
      <c r="W343" s="3">
        <v>167.4</v>
      </c>
      <c r="X343" s="3">
        <v>176.1</v>
      </c>
      <c r="Y343" s="3">
        <v>161.6</v>
      </c>
      <c r="Z343" s="3">
        <v>166.3</v>
      </c>
      <c r="AA343" s="3">
        <v>171.4</v>
      </c>
      <c r="AB343" s="3">
        <v>169.7</v>
      </c>
      <c r="AC343" s="3">
        <v>168.4</v>
      </c>
      <c r="AD343" s="3">
        <v>173.4</v>
      </c>
    </row>
    <row r="344" spans="1:30" ht="15" customHeight="1" x14ac:dyDescent="0.2">
      <c r="A344" s="3" t="s">
        <v>84</v>
      </c>
      <c r="B344" s="3">
        <v>2022</v>
      </c>
      <c r="C344" s="3" t="s">
        <v>100</v>
      </c>
      <c r="D344" s="3">
        <v>159.5</v>
      </c>
      <c r="E344" s="3">
        <v>204.1</v>
      </c>
      <c r="F344" s="3">
        <v>168.3</v>
      </c>
      <c r="G344" s="3">
        <v>167.9</v>
      </c>
      <c r="H344" s="3">
        <v>198.1</v>
      </c>
      <c r="I344" s="3">
        <v>169.2</v>
      </c>
      <c r="J344" s="3">
        <v>173.1</v>
      </c>
      <c r="K344" s="3">
        <v>167.1</v>
      </c>
      <c r="L344" s="3">
        <v>120.2</v>
      </c>
      <c r="M344" s="3">
        <v>195.6</v>
      </c>
      <c r="N344" s="3">
        <v>174.8</v>
      </c>
      <c r="O344" s="3">
        <v>184</v>
      </c>
      <c r="P344" s="3">
        <v>173.9</v>
      </c>
      <c r="Q344" s="3">
        <v>193.7</v>
      </c>
      <c r="R344" s="3">
        <v>183.2</v>
      </c>
      <c r="S344" s="3">
        <v>181.7</v>
      </c>
      <c r="T344" s="3">
        <v>183</v>
      </c>
      <c r="V344" s="3">
        <v>179.1</v>
      </c>
      <c r="W344" s="3">
        <v>172.3</v>
      </c>
      <c r="X344" s="3">
        <v>179.4</v>
      </c>
      <c r="Y344" s="3">
        <v>166.6</v>
      </c>
      <c r="Z344" s="3">
        <v>169.3</v>
      </c>
      <c r="AA344" s="3">
        <v>175.7</v>
      </c>
      <c r="AB344" s="3">
        <v>171.1</v>
      </c>
      <c r="AC344" s="3">
        <v>172.6</v>
      </c>
      <c r="AD344" s="3">
        <v>175.3</v>
      </c>
    </row>
    <row r="345" spans="1:30" ht="15" customHeight="1" x14ac:dyDescent="0.2">
      <c r="A345" s="3" t="s">
        <v>87</v>
      </c>
      <c r="B345" s="3">
        <v>2022</v>
      </c>
      <c r="C345" s="3" t="s">
        <v>100</v>
      </c>
      <c r="D345" s="3">
        <v>162.1</v>
      </c>
      <c r="E345" s="3">
        <v>210.9</v>
      </c>
      <c r="F345" s="3">
        <v>170.6</v>
      </c>
      <c r="G345" s="3">
        <v>168.4</v>
      </c>
      <c r="H345" s="3">
        <v>182.5</v>
      </c>
      <c r="I345" s="3">
        <v>177.1</v>
      </c>
      <c r="J345" s="3">
        <v>213.1</v>
      </c>
      <c r="K345" s="3">
        <v>167.3</v>
      </c>
      <c r="L345" s="3">
        <v>122.2</v>
      </c>
      <c r="M345" s="3">
        <v>189.7</v>
      </c>
      <c r="N345" s="3">
        <v>160.5</v>
      </c>
      <c r="O345" s="3">
        <v>188.9</v>
      </c>
      <c r="P345" s="3">
        <v>180.4</v>
      </c>
      <c r="Q345" s="3">
        <v>198.7</v>
      </c>
      <c r="R345" s="3">
        <v>173.7</v>
      </c>
      <c r="S345" s="3">
        <v>160</v>
      </c>
      <c r="T345" s="3">
        <v>171.6</v>
      </c>
      <c r="U345" s="3" t="s">
        <v>210</v>
      </c>
      <c r="V345" s="3">
        <v>178.4</v>
      </c>
      <c r="W345" s="3">
        <v>164.2</v>
      </c>
      <c r="X345" s="3">
        <v>172.6</v>
      </c>
      <c r="Y345" s="3">
        <v>157.69999999999999</v>
      </c>
      <c r="Z345" s="3">
        <v>165.1</v>
      </c>
      <c r="AA345" s="3">
        <v>169.9</v>
      </c>
      <c r="AB345" s="3">
        <v>171.4</v>
      </c>
      <c r="AC345" s="3">
        <v>165.4</v>
      </c>
      <c r="AD345" s="3">
        <v>173.1</v>
      </c>
    </row>
    <row r="346" spans="1:30" ht="15" customHeight="1" x14ac:dyDescent="0.2">
      <c r="A346" s="3" t="s">
        <v>89</v>
      </c>
      <c r="B346" s="3">
        <v>2022</v>
      </c>
      <c r="C346" s="3" t="s">
        <v>100</v>
      </c>
      <c r="D346" s="3">
        <v>160.30000000000001</v>
      </c>
      <c r="E346" s="3">
        <v>206.5</v>
      </c>
      <c r="F346" s="3">
        <v>169.2</v>
      </c>
      <c r="G346" s="3">
        <v>168.1</v>
      </c>
      <c r="H346" s="3">
        <v>192.4</v>
      </c>
      <c r="I346" s="3">
        <v>172.9</v>
      </c>
      <c r="J346" s="3">
        <v>186.7</v>
      </c>
      <c r="K346" s="3">
        <v>167.2</v>
      </c>
      <c r="L346" s="3">
        <v>120.9</v>
      </c>
      <c r="M346" s="3">
        <v>193.6</v>
      </c>
      <c r="N346" s="3">
        <v>168.8</v>
      </c>
      <c r="O346" s="3">
        <v>186.3</v>
      </c>
      <c r="P346" s="3">
        <v>176.3</v>
      </c>
      <c r="Q346" s="3">
        <v>195</v>
      </c>
      <c r="R346" s="3">
        <v>179.5</v>
      </c>
      <c r="S346" s="3">
        <v>172.7</v>
      </c>
      <c r="T346" s="3">
        <v>178.5</v>
      </c>
      <c r="U346" s="3" t="s">
        <v>210</v>
      </c>
      <c r="V346" s="3">
        <v>178.8</v>
      </c>
      <c r="W346" s="3">
        <v>168.5</v>
      </c>
      <c r="X346" s="3">
        <v>176.8</v>
      </c>
      <c r="Y346" s="3">
        <v>161.9</v>
      </c>
      <c r="Z346" s="3">
        <v>166.9</v>
      </c>
      <c r="AA346" s="3">
        <v>172.3</v>
      </c>
      <c r="AB346" s="3">
        <v>171.2</v>
      </c>
      <c r="AC346" s="3">
        <v>169.1</v>
      </c>
      <c r="AD346" s="3">
        <v>174.3</v>
      </c>
    </row>
    <row r="347" spans="1:30" ht="15" customHeight="1" x14ac:dyDescent="0.2">
      <c r="A347" s="3" t="s">
        <v>84</v>
      </c>
      <c r="B347" s="3">
        <v>2022</v>
      </c>
      <c r="C347" s="3" t="s">
        <v>102</v>
      </c>
      <c r="D347" s="3">
        <v>162.9</v>
      </c>
      <c r="E347" s="3">
        <v>206.7</v>
      </c>
      <c r="F347" s="3">
        <v>169</v>
      </c>
      <c r="G347" s="3">
        <v>169.5</v>
      </c>
      <c r="H347" s="3">
        <v>194.1</v>
      </c>
      <c r="I347" s="3">
        <v>164.1</v>
      </c>
      <c r="J347" s="3">
        <v>176.9</v>
      </c>
      <c r="K347" s="3">
        <v>169</v>
      </c>
      <c r="L347" s="3">
        <v>120.8</v>
      </c>
      <c r="M347" s="3">
        <v>199.1</v>
      </c>
      <c r="N347" s="3">
        <v>175.4</v>
      </c>
      <c r="O347" s="3">
        <v>184.8</v>
      </c>
      <c r="P347" s="3">
        <v>175.5</v>
      </c>
      <c r="Q347" s="3">
        <v>194.5</v>
      </c>
      <c r="R347" s="3">
        <v>184.7</v>
      </c>
      <c r="S347" s="3">
        <v>183.3</v>
      </c>
      <c r="T347" s="3">
        <v>184.5</v>
      </c>
      <c r="V347" s="3">
        <v>179.7</v>
      </c>
      <c r="W347" s="3">
        <v>173.6</v>
      </c>
      <c r="X347" s="3">
        <v>180.2</v>
      </c>
      <c r="Y347" s="3">
        <v>166.9</v>
      </c>
      <c r="Z347" s="3">
        <v>170</v>
      </c>
      <c r="AA347" s="3">
        <v>176.2</v>
      </c>
      <c r="AB347" s="3">
        <v>170.8</v>
      </c>
      <c r="AC347" s="3">
        <v>173.1</v>
      </c>
      <c r="AD347" s="3">
        <v>176.4</v>
      </c>
    </row>
    <row r="348" spans="1:30" ht="15" customHeight="1" x14ac:dyDescent="0.2">
      <c r="A348" s="3" t="s">
        <v>87</v>
      </c>
      <c r="B348" s="3">
        <v>2022</v>
      </c>
      <c r="C348" s="3" t="s">
        <v>102</v>
      </c>
      <c r="D348" s="3">
        <v>164.9</v>
      </c>
      <c r="E348" s="3">
        <v>213.7</v>
      </c>
      <c r="F348" s="3">
        <v>170.9</v>
      </c>
      <c r="G348" s="3">
        <v>170.1</v>
      </c>
      <c r="H348" s="3">
        <v>179.3</v>
      </c>
      <c r="I348" s="3">
        <v>167.5</v>
      </c>
      <c r="J348" s="3">
        <v>220.8</v>
      </c>
      <c r="K348" s="3">
        <v>169.2</v>
      </c>
      <c r="L348" s="3">
        <v>123.1</v>
      </c>
      <c r="M348" s="3">
        <v>193.6</v>
      </c>
      <c r="N348" s="3">
        <v>161.1</v>
      </c>
      <c r="O348" s="3">
        <v>190.4</v>
      </c>
      <c r="P348" s="3">
        <v>181.8</v>
      </c>
      <c r="Q348" s="3">
        <v>199.7</v>
      </c>
      <c r="R348" s="3">
        <v>175</v>
      </c>
      <c r="S348" s="3">
        <v>161.69999999999999</v>
      </c>
      <c r="T348" s="3">
        <v>173</v>
      </c>
      <c r="U348" s="3" t="s">
        <v>211</v>
      </c>
      <c r="V348" s="3">
        <v>179.2</v>
      </c>
      <c r="W348" s="3">
        <v>165</v>
      </c>
      <c r="X348" s="3">
        <v>173.8</v>
      </c>
      <c r="Y348" s="3">
        <v>158.19999999999999</v>
      </c>
      <c r="Z348" s="3">
        <v>165.8</v>
      </c>
      <c r="AA348" s="3">
        <v>170.9</v>
      </c>
      <c r="AB348" s="3">
        <v>171.1</v>
      </c>
      <c r="AC348" s="3">
        <v>166.1</v>
      </c>
      <c r="AD348" s="3">
        <v>174.1</v>
      </c>
    </row>
    <row r="349" spans="1:30" ht="15" customHeight="1" x14ac:dyDescent="0.2">
      <c r="A349" s="3" t="s">
        <v>89</v>
      </c>
      <c r="B349" s="3">
        <v>2022</v>
      </c>
      <c r="C349" s="3" t="s">
        <v>102</v>
      </c>
      <c r="D349" s="3">
        <v>163.5</v>
      </c>
      <c r="E349" s="3">
        <v>209.2</v>
      </c>
      <c r="F349" s="3">
        <v>169.7</v>
      </c>
      <c r="G349" s="3">
        <v>169.7</v>
      </c>
      <c r="H349" s="3">
        <v>188.7</v>
      </c>
      <c r="I349" s="3">
        <v>165.7</v>
      </c>
      <c r="J349" s="3">
        <v>191.8</v>
      </c>
      <c r="K349" s="3">
        <v>169.1</v>
      </c>
      <c r="L349" s="3">
        <v>121.6</v>
      </c>
      <c r="M349" s="3">
        <v>197.3</v>
      </c>
      <c r="N349" s="3">
        <v>169.4</v>
      </c>
      <c r="O349" s="3">
        <v>187.4</v>
      </c>
      <c r="P349" s="3">
        <v>177.8</v>
      </c>
      <c r="Q349" s="3">
        <v>195.9</v>
      </c>
      <c r="R349" s="3">
        <v>180.9</v>
      </c>
      <c r="S349" s="3">
        <v>174.3</v>
      </c>
      <c r="T349" s="3">
        <v>179.9</v>
      </c>
      <c r="U349" s="3" t="s">
        <v>211</v>
      </c>
      <c r="V349" s="3">
        <v>179.5</v>
      </c>
      <c r="W349" s="3">
        <v>169.5</v>
      </c>
      <c r="X349" s="3">
        <v>177.8</v>
      </c>
      <c r="Y349" s="3">
        <v>162.30000000000001</v>
      </c>
      <c r="Z349" s="3">
        <v>167.6</v>
      </c>
      <c r="AA349" s="3">
        <v>173.1</v>
      </c>
      <c r="AB349" s="3">
        <v>170.9</v>
      </c>
      <c r="AC349" s="3">
        <v>169.7</v>
      </c>
      <c r="AD349" s="3">
        <v>175.3</v>
      </c>
    </row>
    <row r="350" spans="1:30" ht="15" customHeight="1" x14ac:dyDescent="0.2">
      <c r="A350" s="3" t="s">
        <v>84</v>
      </c>
      <c r="B350" s="3">
        <v>2022</v>
      </c>
      <c r="C350" s="3" t="s">
        <v>104</v>
      </c>
      <c r="D350" s="3">
        <v>164.7</v>
      </c>
      <c r="E350" s="3">
        <v>208.8</v>
      </c>
      <c r="F350" s="3">
        <v>170.3</v>
      </c>
      <c r="G350" s="3">
        <v>170.9</v>
      </c>
      <c r="H350" s="3">
        <v>191.6</v>
      </c>
      <c r="I350" s="3">
        <v>162.19999999999999</v>
      </c>
      <c r="J350" s="3">
        <v>184.8</v>
      </c>
      <c r="K350" s="3">
        <v>169.7</v>
      </c>
      <c r="L350" s="3">
        <v>121.1</v>
      </c>
      <c r="M350" s="3">
        <v>201.6</v>
      </c>
      <c r="N350" s="3">
        <v>175.8</v>
      </c>
      <c r="O350" s="3">
        <v>185.6</v>
      </c>
      <c r="P350" s="3">
        <v>177.4</v>
      </c>
      <c r="Q350" s="3">
        <v>194.9</v>
      </c>
      <c r="R350" s="3">
        <v>186.1</v>
      </c>
      <c r="S350" s="3">
        <v>184.4</v>
      </c>
      <c r="T350" s="3">
        <v>185.9</v>
      </c>
      <c r="V350" s="3">
        <v>180.8</v>
      </c>
      <c r="W350" s="3">
        <v>174.4</v>
      </c>
      <c r="X350" s="3">
        <v>181.2</v>
      </c>
      <c r="Y350" s="3">
        <v>167.4</v>
      </c>
      <c r="Z350" s="3">
        <v>170.6</v>
      </c>
      <c r="AA350" s="3">
        <v>176.5</v>
      </c>
      <c r="AB350" s="3">
        <v>172</v>
      </c>
      <c r="AC350" s="3">
        <v>173.9</v>
      </c>
      <c r="AD350" s="3">
        <v>177.9</v>
      </c>
    </row>
    <row r="351" spans="1:30" ht="15" customHeight="1" x14ac:dyDescent="0.2">
      <c r="A351" s="3" t="s">
        <v>87</v>
      </c>
      <c r="B351" s="3">
        <v>2022</v>
      </c>
      <c r="C351" s="3" t="s">
        <v>104</v>
      </c>
      <c r="D351" s="3">
        <v>166.4</v>
      </c>
      <c r="E351" s="3">
        <v>214.9</v>
      </c>
      <c r="F351" s="3">
        <v>171.9</v>
      </c>
      <c r="G351" s="3">
        <v>171</v>
      </c>
      <c r="H351" s="3">
        <v>177.7</v>
      </c>
      <c r="I351" s="3">
        <v>165.7</v>
      </c>
      <c r="J351" s="3">
        <v>228.6</v>
      </c>
      <c r="K351" s="3">
        <v>169.9</v>
      </c>
      <c r="L351" s="3">
        <v>123.4</v>
      </c>
      <c r="M351" s="3">
        <v>196.4</v>
      </c>
      <c r="N351" s="3">
        <v>161.6</v>
      </c>
      <c r="O351" s="3">
        <v>191.5</v>
      </c>
      <c r="P351" s="3">
        <v>183.3</v>
      </c>
      <c r="Q351" s="3">
        <v>200.1</v>
      </c>
      <c r="R351" s="3">
        <v>175.5</v>
      </c>
      <c r="S351" s="3">
        <v>162.6</v>
      </c>
      <c r="T351" s="3">
        <v>173.6</v>
      </c>
      <c r="U351" s="3" t="s">
        <v>212</v>
      </c>
      <c r="V351" s="3">
        <v>180</v>
      </c>
      <c r="W351" s="3">
        <v>166</v>
      </c>
      <c r="X351" s="3">
        <v>174.7</v>
      </c>
      <c r="Y351" s="3">
        <v>158.80000000000001</v>
      </c>
      <c r="Z351" s="3">
        <v>166.3</v>
      </c>
      <c r="AA351" s="3">
        <v>171.2</v>
      </c>
      <c r="AB351" s="3">
        <v>172.3</v>
      </c>
      <c r="AC351" s="3">
        <v>166.8</v>
      </c>
      <c r="AD351" s="3">
        <v>175.3</v>
      </c>
    </row>
    <row r="352" spans="1:30" ht="15" customHeight="1" x14ac:dyDescent="0.2">
      <c r="A352" s="3" t="s">
        <v>89</v>
      </c>
      <c r="B352" s="3">
        <v>2022</v>
      </c>
      <c r="C352" s="3" t="s">
        <v>104</v>
      </c>
      <c r="D352" s="3">
        <v>165.2</v>
      </c>
      <c r="E352" s="3">
        <v>210.9</v>
      </c>
      <c r="F352" s="3">
        <v>170.9</v>
      </c>
      <c r="G352" s="3">
        <v>170.9</v>
      </c>
      <c r="H352" s="3">
        <v>186.5</v>
      </c>
      <c r="I352" s="3">
        <v>163.80000000000001</v>
      </c>
      <c r="J352" s="3">
        <v>199.7</v>
      </c>
      <c r="K352" s="3">
        <v>169.8</v>
      </c>
      <c r="L352" s="3">
        <v>121.9</v>
      </c>
      <c r="M352" s="3">
        <v>199.9</v>
      </c>
      <c r="N352" s="3">
        <v>169.9</v>
      </c>
      <c r="O352" s="3">
        <v>188.3</v>
      </c>
      <c r="P352" s="3">
        <v>179.6</v>
      </c>
      <c r="Q352" s="3">
        <v>196.3</v>
      </c>
      <c r="R352" s="3">
        <v>181.9</v>
      </c>
      <c r="S352" s="3">
        <v>175.3</v>
      </c>
      <c r="T352" s="3">
        <v>181</v>
      </c>
      <c r="U352" s="3" t="s">
        <v>212</v>
      </c>
      <c r="V352" s="3">
        <v>180.5</v>
      </c>
      <c r="W352" s="3">
        <v>170.4</v>
      </c>
      <c r="X352" s="3">
        <v>178.7</v>
      </c>
      <c r="Y352" s="3">
        <v>162.9</v>
      </c>
      <c r="Z352" s="3">
        <v>168.2</v>
      </c>
      <c r="AA352" s="3">
        <v>173.4</v>
      </c>
      <c r="AB352" s="3">
        <v>172.1</v>
      </c>
      <c r="AC352" s="3">
        <v>170.5</v>
      </c>
      <c r="AD352" s="3">
        <v>176.7</v>
      </c>
    </row>
    <row r="353" spans="1:30" ht="15" customHeight="1" x14ac:dyDescent="0.2">
      <c r="A353" s="3" t="s">
        <v>84</v>
      </c>
      <c r="B353" s="3">
        <v>2022</v>
      </c>
      <c r="C353" s="3" t="s">
        <v>107</v>
      </c>
      <c r="D353" s="3">
        <v>166.9</v>
      </c>
      <c r="E353" s="3">
        <v>207.2</v>
      </c>
      <c r="F353" s="3">
        <v>180.2</v>
      </c>
      <c r="G353" s="3">
        <v>172.3</v>
      </c>
      <c r="H353" s="3">
        <v>194</v>
      </c>
      <c r="I353" s="3">
        <v>159.1</v>
      </c>
      <c r="J353" s="3">
        <v>171.6</v>
      </c>
      <c r="K353" s="3">
        <v>170.2</v>
      </c>
      <c r="L353" s="3">
        <v>121.5</v>
      </c>
      <c r="M353" s="3">
        <v>204.8</v>
      </c>
      <c r="N353" s="3">
        <v>176.4</v>
      </c>
      <c r="O353" s="3">
        <v>186.9</v>
      </c>
      <c r="P353" s="3">
        <v>176.6</v>
      </c>
      <c r="Q353" s="3">
        <v>195.5</v>
      </c>
      <c r="R353" s="3">
        <v>187.2</v>
      </c>
      <c r="S353" s="3">
        <v>185.2</v>
      </c>
      <c r="T353" s="3">
        <v>186.9</v>
      </c>
      <c r="V353" s="3">
        <v>181.9</v>
      </c>
      <c r="W353" s="3">
        <v>175.5</v>
      </c>
      <c r="X353" s="3">
        <v>182.3</v>
      </c>
      <c r="Y353" s="3">
        <v>167.5</v>
      </c>
      <c r="Z353" s="3">
        <v>170.8</v>
      </c>
      <c r="AA353" s="3">
        <v>176.9</v>
      </c>
      <c r="AB353" s="3">
        <v>173.4</v>
      </c>
      <c r="AC353" s="3">
        <v>174.6</v>
      </c>
      <c r="AD353" s="3">
        <v>177.8</v>
      </c>
    </row>
    <row r="354" spans="1:30" ht="15" customHeight="1" x14ac:dyDescent="0.2">
      <c r="A354" s="3" t="s">
        <v>87</v>
      </c>
      <c r="B354" s="3">
        <v>2022</v>
      </c>
      <c r="C354" s="3" t="s">
        <v>107</v>
      </c>
      <c r="D354" s="3">
        <v>168.4</v>
      </c>
      <c r="E354" s="3">
        <v>213.4</v>
      </c>
      <c r="F354" s="3">
        <v>183.2</v>
      </c>
      <c r="G354" s="3">
        <v>172.3</v>
      </c>
      <c r="H354" s="3">
        <v>180</v>
      </c>
      <c r="I354" s="3">
        <v>162.6</v>
      </c>
      <c r="J354" s="3">
        <v>205.5</v>
      </c>
      <c r="K354" s="3">
        <v>171</v>
      </c>
      <c r="L354" s="3">
        <v>123.4</v>
      </c>
      <c r="M354" s="3">
        <v>198.8</v>
      </c>
      <c r="N354" s="3">
        <v>162.1</v>
      </c>
      <c r="O354" s="3">
        <v>192.4</v>
      </c>
      <c r="P354" s="3">
        <v>181.3</v>
      </c>
      <c r="Q354" s="3">
        <v>200.6</v>
      </c>
      <c r="R354" s="3">
        <v>176.7</v>
      </c>
      <c r="S354" s="3">
        <v>163.5</v>
      </c>
      <c r="T354" s="3">
        <v>174.7</v>
      </c>
      <c r="U354" s="3" t="s">
        <v>213</v>
      </c>
      <c r="V354" s="3">
        <v>180.3</v>
      </c>
      <c r="W354" s="3">
        <v>166.9</v>
      </c>
      <c r="X354" s="3">
        <v>175.8</v>
      </c>
      <c r="Y354" s="3">
        <v>158.9</v>
      </c>
      <c r="Z354" s="3">
        <v>166.7</v>
      </c>
      <c r="AA354" s="3">
        <v>171.5</v>
      </c>
      <c r="AB354" s="3">
        <v>173.8</v>
      </c>
      <c r="AC354" s="3">
        <v>167.4</v>
      </c>
      <c r="AD354" s="3">
        <v>174.1</v>
      </c>
    </row>
    <row r="355" spans="1:30" ht="15" customHeight="1" x14ac:dyDescent="0.2">
      <c r="A355" s="3" t="s">
        <v>89</v>
      </c>
      <c r="B355" s="3">
        <v>2022</v>
      </c>
      <c r="C355" s="3" t="s">
        <v>107</v>
      </c>
      <c r="D355" s="3">
        <v>167.4</v>
      </c>
      <c r="E355" s="3">
        <v>209.4</v>
      </c>
      <c r="F355" s="3">
        <v>181.4</v>
      </c>
      <c r="G355" s="3">
        <v>172.3</v>
      </c>
      <c r="H355" s="3">
        <v>188.9</v>
      </c>
      <c r="I355" s="3">
        <v>160.69999999999999</v>
      </c>
      <c r="J355" s="3">
        <v>183.1</v>
      </c>
      <c r="K355" s="3">
        <v>170.5</v>
      </c>
      <c r="L355" s="3">
        <v>122.1</v>
      </c>
      <c r="M355" s="3">
        <v>202.8</v>
      </c>
      <c r="N355" s="3">
        <v>170.4</v>
      </c>
      <c r="O355" s="3">
        <v>189.5</v>
      </c>
      <c r="P355" s="3">
        <v>178.3</v>
      </c>
      <c r="Q355" s="3">
        <v>196.9</v>
      </c>
      <c r="R355" s="3">
        <v>183.1</v>
      </c>
      <c r="S355" s="3">
        <v>176.2</v>
      </c>
      <c r="T355" s="3">
        <v>182.1</v>
      </c>
      <c r="U355" s="3" t="s">
        <v>213</v>
      </c>
      <c r="V355" s="3">
        <v>181.3</v>
      </c>
      <c r="W355" s="3">
        <v>171.4</v>
      </c>
      <c r="X355" s="3">
        <v>179.8</v>
      </c>
      <c r="Y355" s="3">
        <v>163</v>
      </c>
      <c r="Z355" s="3">
        <v>168.5</v>
      </c>
      <c r="AA355" s="3">
        <v>173.7</v>
      </c>
      <c r="AB355" s="3">
        <v>173.6</v>
      </c>
      <c r="AC355" s="3">
        <v>171.1</v>
      </c>
      <c r="AD355" s="3">
        <v>176.5</v>
      </c>
    </row>
    <row r="356" spans="1:30" ht="15" customHeight="1" x14ac:dyDescent="0.2">
      <c r="A356" s="3" t="s">
        <v>84</v>
      </c>
      <c r="B356" s="3">
        <v>2022</v>
      </c>
      <c r="C356" s="3" t="s">
        <v>109</v>
      </c>
      <c r="D356" s="3">
        <v>168.8</v>
      </c>
      <c r="E356" s="3">
        <v>206.9</v>
      </c>
      <c r="F356" s="3">
        <v>189.1</v>
      </c>
      <c r="G356" s="3">
        <v>173.4</v>
      </c>
      <c r="H356" s="3">
        <v>193.9</v>
      </c>
      <c r="I356" s="3">
        <v>156.69999999999999</v>
      </c>
      <c r="J356" s="3">
        <v>150.19999999999999</v>
      </c>
      <c r="K356" s="3">
        <v>170.5</v>
      </c>
      <c r="L356" s="3">
        <v>121.2</v>
      </c>
      <c r="M356" s="3">
        <v>207.5</v>
      </c>
      <c r="N356" s="3">
        <v>176.8</v>
      </c>
      <c r="O356" s="3">
        <v>187.7</v>
      </c>
      <c r="P356" s="3">
        <v>174.4</v>
      </c>
      <c r="Q356" s="3">
        <v>195.9</v>
      </c>
      <c r="R356" s="3">
        <v>188.1</v>
      </c>
      <c r="S356" s="3">
        <v>185.9</v>
      </c>
      <c r="T356" s="3">
        <v>187.8</v>
      </c>
      <c r="V356" s="3">
        <v>182.8</v>
      </c>
      <c r="W356" s="3">
        <v>176.4</v>
      </c>
      <c r="X356" s="3">
        <v>183.5</v>
      </c>
      <c r="Y356" s="3">
        <v>167.8</v>
      </c>
      <c r="Z356" s="3">
        <v>171.2</v>
      </c>
      <c r="AA356" s="3">
        <v>177.3</v>
      </c>
      <c r="AB356" s="3">
        <v>175.7</v>
      </c>
      <c r="AC356" s="3">
        <v>175.5</v>
      </c>
      <c r="AD356" s="3">
        <v>177.1</v>
      </c>
    </row>
    <row r="357" spans="1:30" ht="15" customHeight="1" x14ac:dyDescent="0.2">
      <c r="A357" s="3" t="s">
        <v>87</v>
      </c>
      <c r="B357" s="3">
        <v>2022</v>
      </c>
      <c r="C357" s="3" t="s">
        <v>109</v>
      </c>
      <c r="D357" s="3">
        <v>170.2</v>
      </c>
      <c r="E357" s="3">
        <v>212.9</v>
      </c>
      <c r="F357" s="3">
        <v>191.9</v>
      </c>
      <c r="G357" s="3">
        <v>173.9</v>
      </c>
      <c r="H357" s="3">
        <v>179.1</v>
      </c>
      <c r="I357" s="3">
        <v>159.5</v>
      </c>
      <c r="J357" s="3">
        <v>178.7</v>
      </c>
      <c r="K357" s="3">
        <v>171.3</v>
      </c>
      <c r="L357" s="3">
        <v>123.1</v>
      </c>
      <c r="M357" s="3">
        <v>200.5</v>
      </c>
      <c r="N357" s="3">
        <v>162.80000000000001</v>
      </c>
      <c r="O357" s="3">
        <v>193.3</v>
      </c>
      <c r="P357" s="3">
        <v>178.6</v>
      </c>
      <c r="Q357" s="3">
        <v>201.1</v>
      </c>
      <c r="R357" s="3">
        <v>177.7</v>
      </c>
      <c r="S357" s="3">
        <v>164.5</v>
      </c>
      <c r="T357" s="3">
        <v>175.7</v>
      </c>
      <c r="U357" s="3" t="s">
        <v>214</v>
      </c>
      <c r="V357" s="3">
        <v>180.6</v>
      </c>
      <c r="W357" s="3">
        <v>167.3</v>
      </c>
      <c r="X357" s="3">
        <v>177.2</v>
      </c>
      <c r="Y357" s="3">
        <v>159.4</v>
      </c>
      <c r="Z357" s="3">
        <v>167.1</v>
      </c>
      <c r="AA357" s="3">
        <v>171.8</v>
      </c>
      <c r="AB357" s="3">
        <v>176</v>
      </c>
      <c r="AC357" s="3">
        <v>168.2</v>
      </c>
      <c r="AD357" s="3">
        <v>174.1</v>
      </c>
    </row>
    <row r="358" spans="1:30" ht="15" customHeight="1" x14ac:dyDescent="0.2">
      <c r="A358" s="3" t="s">
        <v>89</v>
      </c>
      <c r="B358" s="3">
        <v>2022</v>
      </c>
      <c r="C358" s="3" t="s">
        <v>109</v>
      </c>
      <c r="D358" s="3">
        <v>169.2</v>
      </c>
      <c r="E358" s="3">
        <v>209</v>
      </c>
      <c r="F358" s="3">
        <v>190.2</v>
      </c>
      <c r="G358" s="3">
        <v>173.6</v>
      </c>
      <c r="H358" s="3">
        <v>188.5</v>
      </c>
      <c r="I358" s="3">
        <v>158</v>
      </c>
      <c r="J358" s="3">
        <v>159.9</v>
      </c>
      <c r="K358" s="3">
        <v>170.8</v>
      </c>
      <c r="L358" s="3">
        <v>121.8</v>
      </c>
      <c r="M358" s="3">
        <v>205.2</v>
      </c>
      <c r="N358" s="3">
        <v>171</v>
      </c>
      <c r="O358" s="3">
        <v>190.3</v>
      </c>
      <c r="P358" s="3">
        <v>175.9</v>
      </c>
      <c r="Q358" s="3">
        <v>197.3</v>
      </c>
      <c r="R358" s="3">
        <v>184</v>
      </c>
      <c r="S358" s="3">
        <v>177</v>
      </c>
      <c r="T358" s="3">
        <v>183</v>
      </c>
      <c r="U358" s="3" t="s">
        <v>214</v>
      </c>
      <c r="V358" s="3">
        <v>182</v>
      </c>
      <c r="W358" s="3">
        <v>172.1</v>
      </c>
      <c r="X358" s="3">
        <v>181.1</v>
      </c>
      <c r="Y358" s="3">
        <v>163.4</v>
      </c>
      <c r="Z358" s="3">
        <v>168.9</v>
      </c>
      <c r="AA358" s="3">
        <v>174.1</v>
      </c>
      <c r="AB358" s="3">
        <v>175.8</v>
      </c>
      <c r="AC358" s="3">
        <v>172</v>
      </c>
      <c r="AD358" s="3">
        <v>175.7</v>
      </c>
    </row>
    <row r="359" spans="1:30" ht="15" customHeight="1" x14ac:dyDescent="0.2">
      <c r="A359" s="3" t="s">
        <v>84</v>
      </c>
      <c r="B359" s="3">
        <v>2023</v>
      </c>
      <c r="C359" s="3" t="s">
        <v>85</v>
      </c>
      <c r="D359" s="3">
        <v>174</v>
      </c>
      <c r="E359" s="3">
        <v>208.3</v>
      </c>
      <c r="F359" s="3">
        <v>192.9</v>
      </c>
      <c r="G359" s="3">
        <v>174.3</v>
      </c>
      <c r="H359" s="3">
        <v>192.6</v>
      </c>
      <c r="I359" s="3">
        <v>156.30000000000001</v>
      </c>
      <c r="J359" s="3">
        <v>142.9</v>
      </c>
      <c r="K359" s="3">
        <v>170.7</v>
      </c>
      <c r="L359" s="3">
        <v>120.3</v>
      </c>
      <c r="M359" s="3">
        <v>210.5</v>
      </c>
      <c r="N359" s="3">
        <v>176.9</v>
      </c>
      <c r="O359" s="3">
        <v>188.5</v>
      </c>
      <c r="P359" s="3">
        <v>175</v>
      </c>
      <c r="Q359" s="3">
        <v>196.9</v>
      </c>
      <c r="R359" s="3">
        <v>189</v>
      </c>
      <c r="S359" s="3">
        <v>186.3</v>
      </c>
      <c r="T359" s="3">
        <v>188.6</v>
      </c>
      <c r="V359" s="3">
        <v>183.2</v>
      </c>
      <c r="W359" s="3">
        <v>177.2</v>
      </c>
      <c r="X359" s="3">
        <v>184.7</v>
      </c>
      <c r="Y359" s="3">
        <v>168.2</v>
      </c>
      <c r="Z359" s="3">
        <v>171.8</v>
      </c>
      <c r="AA359" s="3">
        <v>177.8</v>
      </c>
      <c r="AB359" s="3">
        <v>178.4</v>
      </c>
      <c r="AC359" s="3">
        <v>176.5</v>
      </c>
      <c r="AD359" s="3">
        <v>177.8</v>
      </c>
    </row>
    <row r="360" spans="1:30" ht="15" customHeight="1" x14ac:dyDescent="0.2">
      <c r="A360" s="3" t="s">
        <v>87</v>
      </c>
      <c r="B360" s="3">
        <v>2023</v>
      </c>
      <c r="C360" s="3" t="s">
        <v>85</v>
      </c>
      <c r="D360" s="3">
        <v>173.3</v>
      </c>
      <c r="E360" s="3">
        <v>215.2</v>
      </c>
      <c r="F360" s="3">
        <v>197</v>
      </c>
      <c r="G360" s="3">
        <v>175.2</v>
      </c>
      <c r="H360" s="3">
        <v>178</v>
      </c>
      <c r="I360" s="3">
        <v>160.5</v>
      </c>
      <c r="J360" s="3">
        <v>175.3</v>
      </c>
      <c r="K360" s="3">
        <v>171.2</v>
      </c>
      <c r="L360" s="3">
        <v>122.7</v>
      </c>
      <c r="M360" s="3">
        <v>204.3</v>
      </c>
      <c r="N360" s="3">
        <v>163.69999999999999</v>
      </c>
      <c r="O360" s="3">
        <v>194.3</v>
      </c>
      <c r="P360" s="3">
        <v>179.5</v>
      </c>
      <c r="Q360" s="3">
        <v>201.6</v>
      </c>
      <c r="R360" s="3">
        <v>178.7</v>
      </c>
      <c r="S360" s="3">
        <v>165.3</v>
      </c>
      <c r="T360" s="3">
        <v>176.6</v>
      </c>
      <c r="U360" s="3" t="s">
        <v>215</v>
      </c>
      <c r="V360" s="3">
        <v>180.1</v>
      </c>
      <c r="W360" s="3">
        <v>168</v>
      </c>
      <c r="X360" s="3">
        <v>178.5</v>
      </c>
      <c r="Y360" s="3">
        <v>159.5</v>
      </c>
      <c r="Z360" s="3">
        <v>167.8</v>
      </c>
      <c r="AA360" s="3">
        <v>171.8</v>
      </c>
      <c r="AB360" s="3">
        <v>178.8</v>
      </c>
      <c r="AC360" s="3">
        <v>168.9</v>
      </c>
      <c r="AD360" s="3">
        <v>174.9</v>
      </c>
    </row>
    <row r="361" spans="1:30" ht="15" customHeight="1" x14ac:dyDescent="0.2">
      <c r="A361" s="3" t="s">
        <v>89</v>
      </c>
      <c r="B361" s="3">
        <v>2023</v>
      </c>
      <c r="C361" s="3" t="s">
        <v>85</v>
      </c>
      <c r="D361" s="3">
        <v>173.8</v>
      </c>
      <c r="E361" s="3">
        <v>210.7</v>
      </c>
      <c r="F361" s="3">
        <v>194.5</v>
      </c>
      <c r="G361" s="3">
        <v>174.6</v>
      </c>
      <c r="H361" s="3">
        <v>187.2</v>
      </c>
      <c r="I361" s="3">
        <v>158.30000000000001</v>
      </c>
      <c r="J361" s="3">
        <v>153.9</v>
      </c>
      <c r="K361" s="3">
        <v>170.9</v>
      </c>
      <c r="L361" s="3">
        <v>121.1</v>
      </c>
      <c r="M361" s="3">
        <v>208.4</v>
      </c>
      <c r="N361" s="3">
        <v>171.4</v>
      </c>
      <c r="O361" s="3">
        <v>191.2</v>
      </c>
      <c r="P361" s="3">
        <v>176.7</v>
      </c>
      <c r="Q361" s="3">
        <v>198.2</v>
      </c>
      <c r="R361" s="3">
        <v>184.9</v>
      </c>
      <c r="S361" s="3">
        <v>177.6</v>
      </c>
      <c r="T361" s="3">
        <v>183.8</v>
      </c>
      <c r="U361" s="3" t="s">
        <v>215</v>
      </c>
      <c r="V361" s="3">
        <v>182</v>
      </c>
      <c r="W361" s="3">
        <v>172.9</v>
      </c>
      <c r="X361" s="3">
        <v>182.3</v>
      </c>
      <c r="Y361" s="3">
        <v>163.6</v>
      </c>
      <c r="Z361" s="3">
        <v>169.5</v>
      </c>
      <c r="AA361" s="3">
        <v>174.3</v>
      </c>
      <c r="AB361" s="3">
        <v>178.6</v>
      </c>
      <c r="AC361" s="3">
        <v>172.8</v>
      </c>
      <c r="AD361" s="3">
        <v>176.5</v>
      </c>
    </row>
    <row r="362" spans="1:30" ht="15" customHeight="1" x14ac:dyDescent="0.2">
      <c r="A362" s="3" t="s">
        <v>84</v>
      </c>
      <c r="B362" s="3">
        <v>2023</v>
      </c>
      <c r="C362" s="3" t="s">
        <v>90</v>
      </c>
      <c r="D362" s="3">
        <v>174.2</v>
      </c>
      <c r="E362" s="3">
        <v>205.2</v>
      </c>
      <c r="F362" s="3">
        <v>173.9</v>
      </c>
      <c r="G362" s="3">
        <v>177</v>
      </c>
      <c r="H362" s="3">
        <v>183.4</v>
      </c>
      <c r="I362" s="3">
        <v>167.2</v>
      </c>
      <c r="J362" s="3">
        <v>140.9</v>
      </c>
      <c r="K362" s="3">
        <v>170.4</v>
      </c>
      <c r="L362" s="3">
        <v>119.1</v>
      </c>
      <c r="M362" s="3">
        <v>212.1</v>
      </c>
      <c r="N362" s="3">
        <v>177.6</v>
      </c>
      <c r="O362" s="3">
        <v>189.9</v>
      </c>
      <c r="P362" s="3">
        <v>174.8</v>
      </c>
      <c r="Q362" s="3">
        <v>198.3</v>
      </c>
      <c r="R362" s="3">
        <v>190</v>
      </c>
      <c r="S362" s="3">
        <v>187</v>
      </c>
      <c r="T362" s="3">
        <v>189.6</v>
      </c>
      <c r="V362" s="3">
        <v>181.6</v>
      </c>
      <c r="W362" s="3">
        <v>178.6</v>
      </c>
      <c r="X362" s="3">
        <v>186.6</v>
      </c>
      <c r="Y362" s="3">
        <v>169</v>
      </c>
      <c r="Z362" s="3">
        <v>172.8</v>
      </c>
      <c r="AA362" s="3">
        <v>178.5</v>
      </c>
      <c r="AB362" s="3">
        <v>180.7</v>
      </c>
      <c r="AC362" s="3">
        <v>177.9</v>
      </c>
      <c r="AD362" s="3">
        <v>178</v>
      </c>
    </row>
    <row r="363" spans="1:30" ht="15" customHeight="1" x14ac:dyDescent="0.2">
      <c r="A363" s="3" t="s">
        <v>87</v>
      </c>
      <c r="B363" s="3">
        <v>2023</v>
      </c>
      <c r="C363" s="3" t="s">
        <v>90</v>
      </c>
      <c r="D363" s="3">
        <v>174.7</v>
      </c>
      <c r="E363" s="3">
        <v>212.2</v>
      </c>
      <c r="F363" s="3">
        <v>177.2</v>
      </c>
      <c r="G363" s="3">
        <v>177.9</v>
      </c>
      <c r="H363" s="3">
        <v>172.2</v>
      </c>
      <c r="I363" s="3">
        <v>172.1</v>
      </c>
      <c r="J363" s="3">
        <v>175.8</v>
      </c>
      <c r="K363" s="3">
        <v>172.2</v>
      </c>
      <c r="L363" s="3">
        <v>121.9</v>
      </c>
      <c r="M363" s="3">
        <v>204.8</v>
      </c>
      <c r="N363" s="3">
        <v>164.9</v>
      </c>
      <c r="O363" s="3">
        <v>196.6</v>
      </c>
      <c r="P363" s="3">
        <v>180.7</v>
      </c>
      <c r="Q363" s="3">
        <v>202.7</v>
      </c>
      <c r="R363" s="3">
        <v>180.3</v>
      </c>
      <c r="S363" s="3">
        <v>167</v>
      </c>
      <c r="T363" s="3">
        <v>178.2</v>
      </c>
      <c r="U363" s="3" t="s">
        <v>216</v>
      </c>
      <c r="V363" s="3">
        <v>182.8</v>
      </c>
      <c r="W363" s="3">
        <v>169.2</v>
      </c>
      <c r="X363" s="3">
        <v>180.8</v>
      </c>
      <c r="Y363" s="3">
        <v>159.80000000000001</v>
      </c>
      <c r="Z363" s="3">
        <v>168.4</v>
      </c>
      <c r="AA363" s="3">
        <v>172.5</v>
      </c>
      <c r="AB363" s="3">
        <v>181.4</v>
      </c>
      <c r="AC363" s="3">
        <v>170</v>
      </c>
      <c r="AD363" s="3">
        <v>176.3</v>
      </c>
    </row>
    <row r="364" spans="1:30" ht="15" customHeight="1" x14ac:dyDescent="0.2">
      <c r="A364" s="3" t="s">
        <v>89</v>
      </c>
      <c r="B364" s="3">
        <v>2023</v>
      </c>
      <c r="C364" s="3" t="s">
        <v>90</v>
      </c>
      <c r="D364" s="3">
        <v>174.4</v>
      </c>
      <c r="E364" s="3">
        <v>207.7</v>
      </c>
      <c r="F364" s="3">
        <v>175.2</v>
      </c>
      <c r="G364" s="3">
        <v>177.3</v>
      </c>
      <c r="H364" s="3">
        <v>179.3</v>
      </c>
      <c r="I364" s="3">
        <v>169.5</v>
      </c>
      <c r="J364" s="3">
        <v>152.69999999999999</v>
      </c>
      <c r="K364" s="3">
        <v>171</v>
      </c>
      <c r="L364" s="3">
        <v>120</v>
      </c>
      <c r="M364" s="3">
        <v>209.7</v>
      </c>
      <c r="N364" s="3">
        <v>172.3</v>
      </c>
      <c r="O364" s="3">
        <v>193</v>
      </c>
      <c r="P364" s="3">
        <v>177</v>
      </c>
      <c r="Q364" s="3">
        <v>199.5</v>
      </c>
      <c r="R364" s="3">
        <v>186.2</v>
      </c>
      <c r="S364" s="3">
        <v>178.7</v>
      </c>
      <c r="T364" s="3">
        <v>185.1</v>
      </c>
      <c r="U364" s="3" t="s">
        <v>216</v>
      </c>
      <c r="V364" s="3">
        <v>182.1</v>
      </c>
      <c r="W364" s="3">
        <v>174.2</v>
      </c>
      <c r="X364" s="3">
        <v>184.4</v>
      </c>
      <c r="Y364" s="3">
        <v>164.2</v>
      </c>
      <c r="Z364" s="3">
        <v>170.3</v>
      </c>
      <c r="AA364" s="3">
        <v>175</v>
      </c>
      <c r="AB364" s="3">
        <v>181</v>
      </c>
      <c r="AC364" s="3">
        <v>174.1</v>
      </c>
      <c r="AD364" s="3">
        <v>177.2</v>
      </c>
    </row>
    <row r="365" spans="1:30" ht="15" customHeight="1" x14ac:dyDescent="0.2">
      <c r="A365" s="3" t="s">
        <v>84</v>
      </c>
      <c r="B365" s="3">
        <v>2023</v>
      </c>
      <c r="C365" s="3" t="s">
        <v>92</v>
      </c>
      <c r="D365" s="3">
        <v>174.3</v>
      </c>
      <c r="E365" s="3">
        <v>205.2</v>
      </c>
      <c r="F365" s="3">
        <v>173.9</v>
      </c>
      <c r="G365" s="3">
        <v>177</v>
      </c>
      <c r="H365" s="3">
        <v>183.3</v>
      </c>
      <c r="I365" s="3">
        <v>167.2</v>
      </c>
      <c r="J365" s="3">
        <v>140.9</v>
      </c>
      <c r="K365" s="3">
        <v>170.5</v>
      </c>
      <c r="L365" s="3">
        <v>119.1</v>
      </c>
      <c r="M365" s="3">
        <v>212.1</v>
      </c>
      <c r="N365" s="3">
        <v>177.6</v>
      </c>
      <c r="O365" s="3">
        <v>189.9</v>
      </c>
      <c r="P365" s="3">
        <v>174.8</v>
      </c>
      <c r="Q365" s="3">
        <v>198.4</v>
      </c>
      <c r="R365" s="3">
        <v>190</v>
      </c>
      <c r="S365" s="3">
        <v>187</v>
      </c>
      <c r="T365" s="3">
        <v>189.6</v>
      </c>
      <c r="V365" s="3">
        <v>181.4</v>
      </c>
      <c r="W365" s="3">
        <v>178.6</v>
      </c>
      <c r="X365" s="3">
        <v>186.6</v>
      </c>
      <c r="Y365" s="3">
        <v>169</v>
      </c>
      <c r="Z365" s="3">
        <v>172.8</v>
      </c>
      <c r="AA365" s="3">
        <v>178.5</v>
      </c>
      <c r="AB365" s="3">
        <v>180.7</v>
      </c>
      <c r="AC365" s="3">
        <v>177.9</v>
      </c>
      <c r="AD365" s="3">
        <v>178</v>
      </c>
    </row>
    <row r="366" spans="1:30" ht="15" customHeight="1" x14ac:dyDescent="0.2">
      <c r="A366" s="3" t="s">
        <v>87</v>
      </c>
      <c r="B366" s="3">
        <v>2023</v>
      </c>
      <c r="C366" s="3" t="s">
        <v>92</v>
      </c>
      <c r="D366" s="3">
        <v>174.7</v>
      </c>
      <c r="E366" s="3">
        <v>212.2</v>
      </c>
      <c r="F366" s="3">
        <v>177.2</v>
      </c>
      <c r="G366" s="3">
        <v>177.9</v>
      </c>
      <c r="H366" s="3">
        <v>172.2</v>
      </c>
      <c r="I366" s="3">
        <v>172.1</v>
      </c>
      <c r="J366" s="3">
        <v>175.9</v>
      </c>
      <c r="K366" s="3">
        <v>172.2</v>
      </c>
      <c r="L366" s="3">
        <v>121.9</v>
      </c>
      <c r="M366" s="3">
        <v>204.8</v>
      </c>
      <c r="N366" s="3">
        <v>164.9</v>
      </c>
      <c r="O366" s="3">
        <v>196.6</v>
      </c>
      <c r="P366" s="3">
        <v>180.8</v>
      </c>
      <c r="Q366" s="3">
        <v>202.7</v>
      </c>
      <c r="R366" s="3">
        <v>180.2</v>
      </c>
      <c r="S366" s="3">
        <v>167</v>
      </c>
      <c r="T366" s="3">
        <v>178.2</v>
      </c>
      <c r="U366" s="3" t="s">
        <v>216</v>
      </c>
      <c r="V366" s="3">
        <v>182.6</v>
      </c>
      <c r="W366" s="3">
        <v>169.2</v>
      </c>
      <c r="X366" s="3">
        <v>180.8</v>
      </c>
      <c r="Y366" s="3">
        <v>159.80000000000001</v>
      </c>
      <c r="Z366" s="3">
        <v>168.4</v>
      </c>
      <c r="AA366" s="3">
        <v>172.5</v>
      </c>
      <c r="AB366" s="3">
        <v>181.5</v>
      </c>
      <c r="AC366" s="3">
        <v>170</v>
      </c>
      <c r="AD366" s="3">
        <v>176.3</v>
      </c>
    </row>
    <row r="367" spans="1:30" ht="15" customHeight="1" x14ac:dyDescent="0.2">
      <c r="A367" s="3" t="s">
        <v>89</v>
      </c>
      <c r="B367" s="3">
        <v>2023</v>
      </c>
      <c r="C367" s="3" t="s">
        <v>92</v>
      </c>
      <c r="D367" s="3">
        <v>174.4</v>
      </c>
      <c r="E367" s="3">
        <v>207.7</v>
      </c>
      <c r="F367" s="3">
        <v>175.2</v>
      </c>
      <c r="G367" s="3">
        <v>177.3</v>
      </c>
      <c r="H367" s="3">
        <v>179.2</v>
      </c>
      <c r="I367" s="3">
        <v>169.5</v>
      </c>
      <c r="J367" s="3">
        <v>152.80000000000001</v>
      </c>
      <c r="K367" s="3">
        <v>171.1</v>
      </c>
      <c r="L367" s="3">
        <v>120</v>
      </c>
      <c r="M367" s="3">
        <v>209.7</v>
      </c>
      <c r="N367" s="3">
        <v>172.3</v>
      </c>
      <c r="O367" s="3">
        <v>193</v>
      </c>
      <c r="P367" s="3">
        <v>177</v>
      </c>
      <c r="Q367" s="3">
        <v>199.5</v>
      </c>
      <c r="R367" s="3">
        <v>186.1</v>
      </c>
      <c r="S367" s="3">
        <v>178.7</v>
      </c>
      <c r="T367" s="3">
        <v>185.1</v>
      </c>
      <c r="U367" s="3" t="s">
        <v>216</v>
      </c>
      <c r="V367" s="3">
        <v>181.9</v>
      </c>
      <c r="W367" s="3">
        <v>174.2</v>
      </c>
      <c r="X367" s="3">
        <v>184.4</v>
      </c>
      <c r="Y367" s="3">
        <v>164.2</v>
      </c>
      <c r="Z367" s="3">
        <v>170.3</v>
      </c>
      <c r="AA367" s="3">
        <v>175</v>
      </c>
      <c r="AB367" s="3">
        <v>181</v>
      </c>
      <c r="AC367" s="3">
        <v>174.1</v>
      </c>
      <c r="AD367" s="3">
        <v>177.2</v>
      </c>
    </row>
    <row r="368" spans="1:30" ht="15" customHeight="1" x14ac:dyDescent="0.2">
      <c r="A368" s="3" t="s">
        <v>84</v>
      </c>
      <c r="B368" s="3">
        <v>2023</v>
      </c>
      <c r="C368" s="3" t="s">
        <v>93</v>
      </c>
      <c r="D368" s="3">
        <v>173.3</v>
      </c>
      <c r="E368" s="3">
        <v>206.9</v>
      </c>
      <c r="F368" s="3">
        <v>167.9</v>
      </c>
      <c r="G368" s="3">
        <v>178.2</v>
      </c>
      <c r="H368" s="3">
        <v>178.5</v>
      </c>
      <c r="I368" s="3">
        <v>173.7</v>
      </c>
      <c r="J368" s="3">
        <v>142.80000000000001</v>
      </c>
      <c r="K368" s="3">
        <v>172.8</v>
      </c>
      <c r="L368" s="3">
        <v>120.4</v>
      </c>
      <c r="M368" s="3">
        <v>215.5</v>
      </c>
      <c r="N368" s="3">
        <v>178.2</v>
      </c>
      <c r="O368" s="3">
        <v>190.5</v>
      </c>
      <c r="P368" s="3">
        <v>175.5</v>
      </c>
      <c r="Q368" s="3">
        <v>199.5</v>
      </c>
      <c r="R368" s="3">
        <v>190.7</v>
      </c>
      <c r="S368" s="3">
        <v>187.3</v>
      </c>
      <c r="T368" s="3">
        <v>190.2</v>
      </c>
      <c r="U368" s="3" t="s">
        <v>193</v>
      </c>
      <c r="V368" s="3">
        <v>181.5</v>
      </c>
      <c r="W368" s="3">
        <v>179.1</v>
      </c>
      <c r="X368" s="3">
        <v>187.2</v>
      </c>
      <c r="Y368" s="3">
        <v>169.4</v>
      </c>
      <c r="Z368" s="3">
        <v>173.2</v>
      </c>
      <c r="AA368" s="3">
        <v>179.4</v>
      </c>
      <c r="AB368" s="3">
        <v>183.8</v>
      </c>
      <c r="AC368" s="3">
        <v>178.9</v>
      </c>
      <c r="AD368" s="3">
        <v>178.8</v>
      </c>
    </row>
    <row r="369" spans="1:30" ht="15" customHeight="1" x14ac:dyDescent="0.2">
      <c r="A369" s="3" t="s">
        <v>87</v>
      </c>
      <c r="B369" s="3">
        <v>2023</v>
      </c>
      <c r="C369" s="3" t="s">
        <v>93</v>
      </c>
      <c r="D369" s="3">
        <v>174.8</v>
      </c>
      <c r="E369" s="3">
        <v>213.7</v>
      </c>
      <c r="F369" s="3">
        <v>172.4</v>
      </c>
      <c r="G369" s="3">
        <v>178.8</v>
      </c>
      <c r="H369" s="3">
        <v>168.7</v>
      </c>
      <c r="I369" s="3">
        <v>179.2</v>
      </c>
      <c r="J369" s="3">
        <v>179.9</v>
      </c>
      <c r="K369" s="3">
        <v>174.7</v>
      </c>
      <c r="L369" s="3">
        <v>123.1</v>
      </c>
      <c r="M369" s="3">
        <v>207.8</v>
      </c>
      <c r="N369" s="3">
        <v>165.5</v>
      </c>
      <c r="O369" s="3">
        <v>197</v>
      </c>
      <c r="P369" s="3">
        <v>182.1</v>
      </c>
      <c r="Q369" s="3">
        <v>203.5</v>
      </c>
      <c r="R369" s="3">
        <v>181</v>
      </c>
      <c r="S369" s="3">
        <v>167.7</v>
      </c>
      <c r="T369" s="3">
        <v>178.9</v>
      </c>
      <c r="U369" s="3" t="s">
        <v>217</v>
      </c>
      <c r="V369" s="3">
        <v>182.1</v>
      </c>
      <c r="W369" s="3">
        <v>169.6</v>
      </c>
      <c r="X369" s="3">
        <v>181.5</v>
      </c>
      <c r="Y369" s="3">
        <v>160.1</v>
      </c>
      <c r="Z369" s="3">
        <v>168.8</v>
      </c>
      <c r="AA369" s="3">
        <v>174.2</v>
      </c>
      <c r="AB369" s="3">
        <v>184.4</v>
      </c>
      <c r="AC369" s="3">
        <v>170.9</v>
      </c>
      <c r="AD369" s="3">
        <v>177.4</v>
      </c>
    </row>
    <row r="370" spans="1:30" ht="15" customHeight="1" x14ac:dyDescent="0.2">
      <c r="A370" s="3" t="s">
        <v>89</v>
      </c>
      <c r="B370" s="3">
        <v>2023</v>
      </c>
      <c r="C370" s="3" t="s">
        <v>93</v>
      </c>
      <c r="D370" s="3">
        <v>173.8</v>
      </c>
      <c r="E370" s="3">
        <v>209.3</v>
      </c>
      <c r="F370" s="3">
        <v>169.6</v>
      </c>
      <c r="G370" s="3">
        <v>178.4</v>
      </c>
      <c r="H370" s="3">
        <v>174.9</v>
      </c>
      <c r="I370" s="3">
        <v>176.3</v>
      </c>
      <c r="J370" s="3">
        <v>155.4</v>
      </c>
      <c r="K370" s="3">
        <v>173.4</v>
      </c>
      <c r="L370" s="3">
        <v>121.3</v>
      </c>
      <c r="M370" s="3">
        <v>212.9</v>
      </c>
      <c r="N370" s="3">
        <v>172.9</v>
      </c>
      <c r="O370" s="3">
        <v>193.5</v>
      </c>
      <c r="P370" s="3">
        <v>177.9</v>
      </c>
      <c r="Q370" s="3">
        <v>200.6</v>
      </c>
      <c r="R370" s="3">
        <v>186.9</v>
      </c>
      <c r="S370" s="3">
        <v>179.2</v>
      </c>
      <c r="T370" s="3">
        <v>185.7</v>
      </c>
      <c r="U370" s="3" t="s">
        <v>217</v>
      </c>
      <c r="V370" s="3">
        <v>181.7</v>
      </c>
      <c r="W370" s="3">
        <v>174.6</v>
      </c>
      <c r="X370" s="3">
        <v>185</v>
      </c>
      <c r="Y370" s="3">
        <v>164.5</v>
      </c>
      <c r="Z370" s="3">
        <v>170.7</v>
      </c>
      <c r="AA370" s="3">
        <v>176.4</v>
      </c>
      <c r="AB370" s="3">
        <v>184</v>
      </c>
      <c r="AC370" s="3">
        <v>175</v>
      </c>
      <c r="AD370" s="3">
        <v>178.1</v>
      </c>
    </row>
    <row r="371" spans="1:30" ht="15" customHeight="1" x14ac:dyDescent="0.2">
      <c r="A371" s="3" t="s">
        <v>84</v>
      </c>
      <c r="B371" s="3">
        <v>2023</v>
      </c>
      <c r="C371" s="3" t="s">
        <v>95</v>
      </c>
      <c r="D371" s="3">
        <v>173.2</v>
      </c>
      <c r="E371" s="3">
        <v>211.5</v>
      </c>
      <c r="F371" s="3">
        <v>171</v>
      </c>
      <c r="G371" s="3">
        <v>179.6</v>
      </c>
      <c r="H371" s="3">
        <v>173.3</v>
      </c>
      <c r="I371" s="3">
        <v>169</v>
      </c>
      <c r="J371" s="3">
        <v>148.69999999999999</v>
      </c>
      <c r="K371" s="3">
        <v>174.9</v>
      </c>
      <c r="L371" s="3">
        <v>121.9</v>
      </c>
      <c r="M371" s="3">
        <v>221</v>
      </c>
      <c r="N371" s="3">
        <v>178.7</v>
      </c>
      <c r="O371" s="3">
        <v>191.1</v>
      </c>
      <c r="P371" s="3">
        <v>176.8</v>
      </c>
      <c r="Q371" s="3">
        <v>199.9</v>
      </c>
      <c r="R371" s="3">
        <v>191.2</v>
      </c>
      <c r="S371" s="3">
        <v>187.9</v>
      </c>
      <c r="T371" s="3">
        <v>190.8</v>
      </c>
      <c r="U371" s="3" t="s">
        <v>193</v>
      </c>
      <c r="V371" s="3">
        <v>182.5</v>
      </c>
      <c r="W371" s="3">
        <v>179.8</v>
      </c>
      <c r="X371" s="3">
        <v>187.8</v>
      </c>
      <c r="Y371" s="3">
        <v>169.7</v>
      </c>
      <c r="Z371" s="3">
        <v>173.8</v>
      </c>
      <c r="AA371" s="3">
        <v>180.3</v>
      </c>
      <c r="AB371" s="3">
        <v>184.9</v>
      </c>
      <c r="AC371" s="3">
        <v>179.5</v>
      </c>
      <c r="AD371" s="3">
        <v>179.8</v>
      </c>
    </row>
    <row r="372" spans="1:30" ht="15" customHeight="1" x14ac:dyDescent="0.2">
      <c r="A372" s="3" t="s">
        <v>87</v>
      </c>
      <c r="B372" s="3">
        <v>2023</v>
      </c>
      <c r="C372" s="3" t="s">
        <v>95</v>
      </c>
      <c r="D372" s="3">
        <v>174.7</v>
      </c>
      <c r="E372" s="3">
        <v>219.4</v>
      </c>
      <c r="F372" s="3">
        <v>176.7</v>
      </c>
      <c r="G372" s="3">
        <v>179.4</v>
      </c>
      <c r="H372" s="3">
        <v>164.4</v>
      </c>
      <c r="I372" s="3">
        <v>175.8</v>
      </c>
      <c r="J372" s="3">
        <v>185</v>
      </c>
      <c r="K372" s="3">
        <v>176.9</v>
      </c>
      <c r="L372" s="3">
        <v>124.2</v>
      </c>
      <c r="M372" s="3">
        <v>211.9</v>
      </c>
      <c r="N372" s="3">
        <v>165.9</v>
      </c>
      <c r="O372" s="3">
        <v>197.7</v>
      </c>
      <c r="P372" s="3">
        <v>183.1</v>
      </c>
      <c r="Q372" s="3">
        <v>204.2</v>
      </c>
      <c r="R372" s="3">
        <v>181.3</v>
      </c>
      <c r="S372" s="3">
        <v>168.1</v>
      </c>
      <c r="T372" s="3">
        <v>179.3</v>
      </c>
      <c r="U372" s="3" t="s">
        <v>218</v>
      </c>
      <c r="V372" s="3">
        <v>183.4</v>
      </c>
      <c r="W372" s="3">
        <v>170.1</v>
      </c>
      <c r="X372" s="3">
        <v>182.2</v>
      </c>
      <c r="Y372" s="3">
        <v>160.4</v>
      </c>
      <c r="Z372" s="3">
        <v>169.2</v>
      </c>
      <c r="AA372" s="3">
        <v>174.8</v>
      </c>
      <c r="AB372" s="3">
        <v>185.6</v>
      </c>
      <c r="AC372" s="3">
        <v>171.6</v>
      </c>
      <c r="AD372" s="3">
        <v>178.2</v>
      </c>
    </row>
    <row r="373" spans="1:30" ht="15" customHeight="1" x14ac:dyDescent="0.2">
      <c r="A373" s="3" t="s">
        <v>89</v>
      </c>
      <c r="B373" s="3">
        <v>2023</v>
      </c>
      <c r="C373" s="3" t="s">
        <v>95</v>
      </c>
      <c r="D373" s="3">
        <v>173.7</v>
      </c>
      <c r="E373" s="3">
        <v>214.3</v>
      </c>
      <c r="F373" s="3">
        <v>173.2</v>
      </c>
      <c r="G373" s="3">
        <v>179.5</v>
      </c>
      <c r="H373" s="3">
        <v>170</v>
      </c>
      <c r="I373" s="3">
        <v>172.2</v>
      </c>
      <c r="J373" s="3">
        <v>161</v>
      </c>
      <c r="K373" s="3">
        <v>175.6</v>
      </c>
      <c r="L373" s="3">
        <v>122.7</v>
      </c>
      <c r="M373" s="3">
        <v>218</v>
      </c>
      <c r="N373" s="3">
        <v>173.4</v>
      </c>
      <c r="O373" s="3">
        <v>194.2</v>
      </c>
      <c r="P373" s="3">
        <v>179.1</v>
      </c>
      <c r="Q373" s="3">
        <v>201</v>
      </c>
      <c r="R373" s="3">
        <v>187.3</v>
      </c>
      <c r="S373" s="3">
        <v>179.7</v>
      </c>
      <c r="T373" s="3">
        <v>186.2</v>
      </c>
      <c r="U373" s="3" t="s">
        <v>218</v>
      </c>
      <c r="V373" s="3">
        <v>182.8</v>
      </c>
      <c r="W373" s="3">
        <v>175.2</v>
      </c>
      <c r="X373" s="3">
        <v>185.7</v>
      </c>
      <c r="Y373" s="3">
        <v>164.8</v>
      </c>
      <c r="Z373" s="3">
        <v>171.2</v>
      </c>
      <c r="AA373" s="3">
        <v>177.1</v>
      </c>
      <c r="AB373" s="3">
        <v>185.2</v>
      </c>
      <c r="AC373" s="3">
        <v>175.7</v>
      </c>
      <c r="AD373" s="3">
        <v>179.1</v>
      </c>
    </row>
  </sheetData>
  <hyperlinks>
    <hyperlink ref="AE2" r:id="rId1" location="'Dashboard'!A1" xr:uid="{00000000-0004-0000-02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373"/>
  <sheetViews>
    <sheetView showGridLines="0" zoomScale="90" zoomScaleNormal="90" workbookViewId="0">
      <pane ySplit="4" topLeftCell="A89" activePane="bottomLeft" state="frozen"/>
      <selection pane="bottomLeft"/>
    </sheetView>
  </sheetViews>
  <sheetFormatPr defaultColWidth="8.7109375" defaultRowHeight="15" customHeight="1" x14ac:dyDescent="0.2"/>
  <cols>
    <col min="1" max="1" width="13" customWidth="1"/>
    <col min="2" max="3" width="12" customWidth="1"/>
    <col min="4" max="4" width="22" customWidth="1"/>
    <col min="5" max="5" width="15" customWidth="1"/>
    <col min="6" max="6" width="12" customWidth="1"/>
    <col min="7" max="7" width="19" customWidth="1"/>
    <col min="8" max="8" width="15" customWidth="1"/>
    <col min="9" max="10" width="12" customWidth="1"/>
    <col min="11" max="11" width="21" customWidth="1"/>
    <col min="12" max="12" width="25" customWidth="1"/>
    <col min="13" max="13" width="12" customWidth="1"/>
    <col min="14" max="14" width="25" customWidth="1"/>
    <col min="15" max="15" width="32" customWidth="1"/>
    <col min="16" max="16" width="20" customWidth="1"/>
    <col min="17" max="17" width="30" customWidth="1"/>
    <col min="18" max="19" width="12" customWidth="1"/>
    <col min="20" max="20" width="23" customWidth="1"/>
    <col min="21" max="21" width="12" customWidth="1"/>
    <col min="22" max="22" width="16" customWidth="1"/>
    <col min="23" max="23" width="30" customWidth="1"/>
    <col min="24" max="24" width="12" customWidth="1"/>
    <col min="25" max="25" width="29" customWidth="1"/>
    <col min="26" max="26" width="26" customWidth="1"/>
    <col min="27" max="27" width="12" customWidth="1"/>
    <col min="28" max="28" width="27" customWidth="1"/>
    <col min="29" max="30" width="15" customWidth="1"/>
  </cols>
  <sheetData>
    <row r="1" spans="1:31" ht="24" customHeight="1" x14ac:dyDescent="0.2">
      <c r="A1" s="78" t="s">
        <v>54</v>
      </c>
      <c r="B1" s="11" t="s">
        <v>55</v>
      </c>
      <c r="C1" s="11" t="s">
        <v>56</v>
      </c>
      <c r="D1" s="11" t="s">
        <v>57</v>
      </c>
      <c r="E1" s="11" t="s">
        <v>58</v>
      </c>
      <c r="F1" s="11" t="s">
        <v>59</v>
      </c>
      <c r="G1" s="11" t="s">
        <v>60</v>
      </c>
      <c r="H1" s="11" t="s">
        <v>61</v>
      </c>
      <c r="I1" s="11" t="s">
        <v>62</v>
      </c>
      <c r="J1" s="11" t="s">
        <v>63</v>
      </c>
      <c r="K1" s="11" t="s">
        <v>64</v>
      </c>
      <c r="L1" s="11" t="s">
        <v>65</v>
      </c>
      <c r="M1" s="11" t="s">
        <v>66</v>
      </c>
      <c r="N1" s="11" t="s">
        <v>67</v>
      </c>
      <c r="O1" s="11" t="s">
        <v>68</v>
      </c>
      <c r="P1" s="11" t="s">
        <v>69</v>
      </c>
      <c r="Q1" s="11" t="s">
        <v>70</v>
      </c>
      <c r="R1" s="11" t="s">
        <v>71</v>
      </c>
      <c r="S1" s="11" t="s">
        <v>72</v>
      </c>
      <c r="T1" s="11" t="s">
        <v>73</v>
      </c>
      <c r="U1" s="11" t="s">
        <v>74</v>
      </c>
      <c r="V1" s="11" t="s">
        <v>75</v>
      </c>
      <c r="W1" s="11" t="s">
        <v>76</v>
      </c>
      <c r="X1" s="11" t="s">
        <v>77</v>
      </c>
      <c r="Y1" s="11" t="s">
        <v>78</v>
      </c>
      <c r="Z1" s="11" t="s">
        <v>79</v>
      </c>
      <c r="AA1" s="11" t="s">
        <v>80</v>
      </c>
      <c r="AB1" s="11" t="s">
        <v>81</v>
      </c>
      <c r="AC1" s="11" t="s">
        <v>82</v>
      </c>
      <c r="AD1" s="11" t="s">
        <v>83</v>
      </c>
    </row>
    <row r="2" spans="1:31" ht="15" customHeight="1" x14ac:dyDescent="0.25">
      <c r="A2" s="3" t="s">
        <v>84</v>
      </c>
      <c r="B2" s="12">
        <v>2013</v>
      </c>
      <c r="C2" s="3" t="s">
        <v>85</v>
      </c>
      <c r="D2" s="12">
        <v>107.5</v>
      </c>
      <c r="E2" s="12">
        <v>106.3</v>
      </c>
      <c r="F2" s="12">
        <v>108.1</v>
      </c>
      <c r="G2" s="12">
        <v>104.9</v>
      </c>
      <c r="H2" s="12">
        <v>106.1</v>
      </c>
      <c r="I2" s="12">
        <v>103.9</v>
      </c>
      <c r="J2" s="12">
        <v>101.9</v>
      </c>
      <c r="K2" s="12">
        <v>106.1</v>
      </c>
      <c r="L2" s="12">
        <v>106.8</v>
      </c>
      <c r="M2" s="12">
        <v>103.1</v>
      </c>
      <c r="N2" s="12">
        <v>104.8</v>
      </c>
      <c r="O2" s="12">
        <v>106.7</v>
      </c>
      <c r="P2" s="12">
        <v>105.5</v>
      </c>
      <c r="Q2" s="12">
        <v>105.1</v>
      </c>
      <c r="R2" s="12">
        <v>106.5</v>
      </c>
      <c r="S2" s="12">
        <v>105.8</v>
      </c>
      <c r="T2" s="12">
        <v>106.4</v>
      </c>
      <c r="U2" s="13"/>
      <c r="V2" s="12">
        <v>105.5</v>
      </c>
      <c r="W2" s="12">
        <v>104.8</v>
      </c>
      <c r="X2" s="12">
        <v>104</v>
      </c>
      <c r="Y2" s="12">
        <v>103.3</v>
      </c>
      <c r="Z2" s="12">
        <v>103.4</v>
      </c>
      <c r="AA2" s="12">
        <v>103.8</v>
      </c>
      <c r="AB2" s="12">
        <v>104.7</v>
      </c>
      <c r="AC2" s="12">
        <v>104</v>
      </c>
      <c r="AD2" s="12">
        <v>105.1</v>
      </c>
      <c r="AE2" s="10" t="s">
        <v>86</v>
      </c>
    </row>
    <row r="3" spans="1:31" ht="15" customHeight="1" x14ac:dyDescent="0.2">
      <c r="A3" s="3" t="s">
        <v>87</v>
      </c>
      <c r="B3" s="12">
        <v>2013</v>
      </c>
      <c r="C3" s="3" t="s">
        <v>85</v>
      </c>
      <c r="D3" s="12">
        <v>110.5</v>
      </c>
      <c r="E3" s="12">
        <v>109.1</v>
      </c>
      <c r="F3" s="12">
        <v>113</v>
      </c>
      <c r="G3" s="12">
        <v>103.6</v>
      </c>
      <c r="H3" s="12">
        <v>103.4</v>
      </c>
      <c r="I3" s="12">
        <v>102.3</v>
      </c>
      <c r="J3" s="12">
        <v>102.9</v>
      </c>
      <c r="K3" s="12">
        <v>105.8</v>
      </c>
      <c r="L3" s="12">
        <v>105.1</v>
      </c>
      <c r="M3" s="12">
        <v>101.8</v>
      </c>
      <c r="N3" s="12">
        <v>105.1</v>
      </c>
      <c r="O3" s="12">
        <v>107.9</v>
      </c>
      <c r="P3" s="12">
        <v>105.9</v>
      </c>
      <c r="Q3" s="12">
        <v>105.2</v>
      </c>
      <c r="R3" s="12">
        <v>105.9</v>
      </c>
      <c r="S3" s="12">
        <v>105</v>
      </c>
      <c r="T3" s="12">
        <v>105.8</v>
      </c>
      <c r="U3" s="12">
        <v>100.3</v>
      </c>
      <c r="V3" s="12">
        <v>105.4</v>
      </c>
      <c r="W3" s="12">
        <v>104.8</v>
      </c>
      <c r="X3" s="12">
        <v>104.1</v>
      </c>
      <c r="Y3" s="12">
        <v>103.2</v>
      </c>
      <c r="Z3" s="12">
        <v>102.9</v>
      </c>
      <c r="AA3" s="12">
        <v>103.5</v>
      </c>
      <c r="AB3" s="12">
        <v>104.3</v>
      </c>
      <c r="AC3" s="12">
        <v>103.7</v>
      </c>
      <c r="AD3" s="12">
        <v>104</v>
      </c>
    </row>
    <row r="4" spans="1:31" ht="15" customHeight="1" x14ac:dyDescent="0.2">
      <c r="A4" s="3" t="s">
        <v>89</v>
      </c>
      <c r="B4" s="12">
        <v>2013</v>
      </c>
      <c r="C4" s="3" t="s">
        <v>85</v>
      </c>
      <c r="D4" s="12">
        <v>108.4</v>
      </c>
      <c r="E4" s="12">
        <v>107.3</v>
      </c>
      <c r="F4" s="12">
        <v>110</v>
      </c>
      <c r="G4" s="12">
        <v>104.4</v>
      </c>
      <c r="H4" s="12">
        <v>105.1</v>
      </c>
      <c r="I4" s="12">
        <v>103.2</v>
      </c>
      <c r="J4" s="12">
        <v>102.2</v>
      </c>
      <c r="K4" s="12">
        <v>106</v>
      </c>
      <c r="L4" s="12">
        <v>106.2</v>
      </c>
      <c r="M4" s="12">
        <v>102.7</v>
      </c>
      <c r="N4" s="12">
        <v>104.9</v>
      </c>
      <c r="O4" s="12">
        <v>107.3</v>
      </c>
      <c r="P4" s="12">
        <v>105.6</v>
      </c>
      <c r="Q4" s="12">
        <v>105.1</v>
      </c>
      <c r="R4" s="12">
        <v>106.3</v>
      </c>
      <c r="S4" s="12">
        <v>105.5</v>
      </c>
      <c r="T4" s="12">
        <v>106.2</v>
      </c>
      <c r="U4" s="12">
        <v>100.3</v>
      </c>
      <c r="V4" s="12">
        <v>105.5</v>
      </c>
      <c r="W4" s="12">
        <v>104.8</v>
      </c>
      <c r="X4" s="12">
        <v>104</v>
      </c>
      <c r="Y4" s="12">
        <v>103.2</v>
      </c>
      <c r="Z4" s="12">
        <v>103.1</v>
      </c>
      <c r="AA4" s="12">
        <v>103.6</v>
      </c>
      <c r="AB4" s="12">
        <v>104.5</v>
      </c>
      <c r="AC4" s="12">
        <v>103.9</v>
      </c>
      <c r="AD4" s="12">
        <v>104.6</v>
      </c>
    </row>
    <row r="5" spans="1:31" ht="15" customHeight="1" x14ac:dyDescent="0.25">
      <c r="A5" s="3" t="s">
        <v>84</v>
      </c>
      <c r="B5" s="12">
        <v>2013</v>
      </c>
      <c r="C5" s="3" t="s">
        <v>90</v>
      </c>
      <c r="D5" s="12">
        <v>109.2</v>
      </c>
      <c r="E5" s="12">
        <v>108.7</v>
      </c>
      <c r="F5" s="12">
        <v>110.2</v>
      </c>
      <c r="G5" s="12">
        <v>105.4</v>
      </c>
      <c r="H5" s="12">
        <v>106.7</v>
      </c>
      <c r="I5" s="12">
        <v>104</v>
      </c>
      <c r="J5" s="12">
        <v>102.4</v>
      </c>
      <c r="K5" s="12">
        <v>105.9</v>
      </c>
      <c r="L5" s="12">
        <v>105.7</v>
      </c>
      <c r="M5" s="12">
        <v>103.1</v>
      </c>
      <c r="N5" s="12">
        <v>105.1</v>
      </c>
      <c r="O5" s="12">
        <v>107.7</v>
      </c>
      <c r="P5" s="12">
        <v>106.3</v>
      </c>
      <c r="Q5" s="12">
        <v>105.6</v>
      </c>
      <c r="R5" s="12">
        <v>107.1</v>
      </c>
      <c r="S5" s="12">
        <v>106.3</v>
      </c>
      <c r="T5" s="12">
        <v>107</v>
      </c>
      <c r="U5" s="13"/>
      <c r="V5" s="12">
        <v>106.2</v>
      </c>
      <c r="W5" s="12">
        <v>105.2</v>
      </c>
      <c r="X5" s="12">
        <v>104.4</v>
      </c>
      <c r="Y5" s="12">
        <v>103.9</v>
      </c>
      <c r="Z5" s="12">
        <v>104</v>
      </c>
      <c r="AA5" s="12">
        <v>104.1</v>
      </c>
      <c r="AB5" s="12">
        <v>104.6</v>
      </c>
      <c r="AC5" s="12">
        <v>104.4</v>
      </c>
      <c r="AD5" s="12">
        <v>105.8</v>
      </c>
    </row>
    <row r="6" spans="1:31" ht="15" customHeight="1" x14ac:dyDescent="0.2">
      <c r="A6" s="3" t="s">
        <v>87</v>
      </c>
      <c r="B6" s="12">
        <v>2013</v>
      </c>
      <c r="C6" s="3" t="s">
        <v>90</v>
      </c>
      <c r="D6" s="12">
        <v>112.9</v>
      </c>
      <c r="E6" s="12">
        <v>112.9</v>
      </c>
      <c r="F6" s="12">
        <v>116.9</v>
      </c>
      <c r="G6" s="12">
        <v>104</v>
      </c>
      <c r="H6" s="12">
        <v>103.5</v>
      </c>
      <c r="I6" s="12">
        <v>103.1</v>
      </c>
      <c r="J6" s="12">
        <v>104.9</v>
      </c>
      <c r="K6" s="12">
        <v>104.1</v>
      </c>
      <c r="L6" s="12">
        <v>103.8</v>
      </c>
      <c r="M6" s="12">
        <v>102.3</v>
      </c>
      <c r="N6" s="12">
        <v>106</v>
      </c>
      <c r="O6" s="12">
        <v>109</v>
      </c>
      <c r="P6" s="12">
        <v>107.2</v>
      </c>
      <c r="Q6" s="12">
        <v>106</v>
      </c>
      <c r="R6" s="12">
        <v>106.6</v>
      </c>
      <c r="S6" s="12">
        <v>105.5</v>
      </c>
      <c r="T6" s="12">
        <v>106.4</v>
      </c>
      <c r="U6" s="12">
        <v>100.4</v>
      </c>
      <c r="V6" s="12">
        <v>105.7</v>
      </c>
      <c r="W6" s="12">
        <v>105.2</v>
      </c>
      <c r="X6" s="12">
        <v>104.7</v>
      </c>
      <c r="Y6" s="12">
        <v>104.4</v>
      </c>
      <c r="Z6" s="12">
        <v>103.3</v>
      </c>
      <c r="AA6" s="12">
        <v>103.7</v>
      </c>
      <c r="AB6" s="12">
        <v>104.3</v>
      </c>
      <c r="AC6" s="12">
        <v>104.3</v>
      </c>
      <c r="AD6" s="12">
        <v>104.7</v>
      </c>
    </row>
    <row r="7" spans="1:31" ht="15" customHeight="1" x14ac:dyDescent="0.2">
      <c r="A7" s="3" t="s">
        <v>89</v>
      </c>
      <c r="B7" s="12">
        <v>2013</v>
      </c>
      <c r="C7" s="3" t="s">
        <v>90</v>
      </c>
      <c r="D7" s="12">
        <v>110.4</v>
      </c>
      <c r="E7" s="12">
        <v>110.2</v>
      </c>
      <c r="F7" s="12">
        <v>112.8</v>
      </c>
      <c r="G7" s="12">
        <v>104.9</v>
      </c>
      <c r="H7" s="12">
        <v>105.5</v>
      </c>
      <c r="I7" s="12">
        <v>103.6</v>
      </c>
      <c r="J7" s="12">
        <v>103.2</v>
      </c>
      <c r="K7" s="12">
        <v>105.3</v>
      </c>
      <c r="L7" s="12">
        <v>105.1</v>
      </c>
      <c r="M7" s="12">
        <v>102.8</v>
      </c>
      <c r="N7" s="12">
        <v>105.5</v>
      </c>
      <c r="O7" s="12">
        <v>108.3</v>
      </c>
      <c r="P7" s="12">
        <v>106.6</v>
      </c>
      <c r="Q7" s="12">
        <v>105.7</v>
      </c>
      <c r="R7" s="12">
        <v>106.9</v>
      </c>
      <c r="S7" s="12">
        <v>106</v>
      </c>
      <c r="T7" s="12">
        <v>106.8</v>
      </c>
      <c r="U7" s="12">
        <v>100.4</v>
      </c>
      <c r="V7" s="12">
        <v>106</v>
      </c>
      <c r="W7" s="12">
        <v>105.2</v>
      </c>
      <c r="X7" s="12">
        <v>104.5</v>
      </c>
      <c r="Y7" s="12">
        <v>104.2</v>
      </c>
      <c r="Z7" s="12">
        <v>103.6</v>
      </c>
      <c r="AA7" s="12">
        <v>103.9</v>
      </c>
      <c r="AB7" s="12">
        <v>104.5</v>
      </c>
      <c r="AC7" s="12">
        <v>104.4</v>
      </c>
      <c r="AD7" s="12">
        <v>105.3</v>
      </c>
    </row>
    <row r="8" spans="1:31" ht="15" customHeight="1" x14ac:dyDescent="0.25">
      <c r="A8" s="3" t="s">
        <v>84</v>
      </c>
      <c r="B8" s="12">
        <v>2013</v>
      </c>
      <c r="C8" s="3" t="s">
        <v>92</v>
      </c>
      <c r="D8" s="12">
        <v>110.2</v>
      </c>
      <c r="E8" s="12">
        <v>108.8</v>
      </c>
      <c r="F8" s="12">
        <v>109.9</v>
      </c>
      <c r="G8" s="12">
        <v>105.6</v>
      </c>
      <c r="H8" s="12">
        <v>106.2</v>
      </c>
      <c r="I8" s="12">
        <v>105.7</v>
      </c>
      <c r="J8" s="12">
        <v>101.4</v>
      </c>
      <c r="K8" s="12">
        <v>105.7</v>
      </c>
      <c r="L8" s="12">
        <v>105</v>
      </c>
      <c r="M8" s="12">
        <v>103.3</v>
      </c>
      <c r="N8" s="12">
        <v>105.6</v>
      </c>
      <c r="O8" s="12">
        <v>108.2</v>
      </c>
      <c r="P8" s="12">
        <v>106.6</v>
      </c>
      <c r="Q8" s="12">
        <v>106.5</v>
      </c>
      <c r="R8" s="12">
        <v>107.6</v>
      </c>
      <c r="S8" s="12">
        <v>106.8</v>
      </c>
      <c r="T8" s="12">
        <v>107.5</v>
      </c>
      <c r="U8" s="13"/>
      <c r="V8" s="12">
        <v>106.1</v>
      </c>
      <c r="W8" s="12">
        <v>105.6</v>
      </c>
      <c r="X8" s="12">
        <v>104.7</v>
      </c>
      <c r="Y8" s="12">
        <v>104.6</v>
      </c>
      <c r="Z8" s="12">
        <v>104</v>
      </c>
      <c r="AA8" s="12">
        <v>104.3</v>
      </c>
      <c r="AB8" s="12">
        <v>104.3</v>
      </c>
      <c r="AC8" s="12">
        <v>104.6</v>
      </c>
      <c r="AD8" s="12">
        <v>106</v>
      </c>
    </row>
    <row r="9" spans="1:31" ht="15" customHeight="1" x14ac:dyDescent="0.2">
      <c r="A9" s="3" t="s">
        <v>87</v>
      </c>
      <c r="B9" s="12">
        <v>2013</v>
      </c>
      <c r="C9" s="3" t="s">
        <v>92</v>
      </c>
      <c r="D9" s="12">
        <v>113.9</v>
      </c>
      <c r="E9" s="12">
        <v>111.4</v>
      </c>
      <c r="F9" s="12">
        <v>113.2</v>
      </c>
      <c r="G9" s="12">
        <v>104.3</v>
      </c>
      <c r="H9" s="12">
        <v>102.7</v>
      </c>
      <c r="I9" s="12">
        <v>104.9</v>
      </c>
      <c r="J9" s="12">
        <v>103.8</v>
      </c>
      <c r="K9" s="12">
        <v>103.5</v>
      </c>
      <c r="L9" s="12">
        <v>102.6</v>
      </c>
      <c r="M9" s="12">
        <v>102.4</v>
      </c>
      <c r="N9" s="12">
        <v>107</v>
      </c>
      <c r="O9" s="12">
        <v>109.8</v>
      </c>
      <c r="P9" s="12">
        <v>107.3</v>
      </c>
      <c r="Q9" s="12">
        <v>106.8</v>
      </c>
      <c r="R9" s="12">
        <v>107.2</v>
      </c>
      <c r="S9" s="12">
        <v>106</v>
      </c>
      <c r="T9" s="12">
        <v>107</v>
      </c>
      <c r="U9" s="12">
        <v>100.4</v>
      </c>
      <c r="V9" s="12">
        <v>106</v>
      </c>
      <c r="W9" s="12">
        <v>105.7</v>
      </c>
      <c r="X9" s="12">
        <v>105.2</v>
      </c>
      <c r="Y9" s="12">
        <v>105.5</v>
      </c>
      <c r="Z9" s="12">
        <v>103.5</v>
      </c>
      <c r="AA9" s="12">
        <v>103.8</v>
      </c>
      <c r="AB9" s="12">
        <v>104.2</v>
      </c>
      <c r="AC9" s="12">
        <v>104.9</v>
      </c>
      <c r="AD9" s="12">
        <v>105</v>
      </c>
    </row>
    <row r="10" spans="1:31" ht="15" customHeight="1" x14ac:dyDescent="0.2">
      <c r="A10" s="3" t="s">
        <v>89</v>
      </c>
      <c r="B10" s="12">
        <v>2013</v>
      </c>
      <c r="C10" s="3" t="s">
        <v>92</v>
      </c>
      <c r="D10" s="12">
        <v>111.4</v>
      </c>
      <c r="E10" s="12">
        <v>109.7</v>
      </c>
      <c r="F10" s="12">
        <v>111.2</v>
      </c>
      <c r="G10" s="12">
        <v>105.1</v>
      </c>
      <c r="H10" s="12">
        <v>104.9</v>
      </c>
      <c r="I10" s="12">
        <v>105.3</v>
      </c>
      <c r="J10" s="12">
        <v>102.2</v>
      </c>
      <c r="K10" s="12">
        <v>105</v>
      </c>
      <c r="L10" s="12">
        <v>104.2</v>
      </c>
      <c r="M10" s="12">
        <v>103</v>
      </c>
      <c r="N10" s="12">
        <v>106.2</v>
      </c>
      <c r="O10" s="12">
        <v>108.9</v>
      </c>
      <c r="P10" s="12">
        <v>106.9</v>
      </c>
      <c r="Q10" s="12">
        <v>106.6</v>
      </c>
      <c r="R10" s="12">
        <v>107.4</v>
      </c>
      <c r="S10" s="12">
        <v>106.5</v>
      </c>
      <c r="T10" s="12">
        <v>107.3</v>
      </c>
      <c r="U10" s="12">
        <v>100.4</v>
      </c>
      <c r="V10" s="12">
        <v>106.1</v>
      </c>
      <c r="W10" s="12">
        <v>105.6</v>
      </c>
      <c r="X10" s="12">
        <v>104.9</v>
      </c>
      <c r="Y10" s="12">
        <v>105.1</v>
      </c>
      <c r="Z10" s="12">
        <v>103.7</v>
      </c>
      <c r="AA10" s="12">
        <v>104</v>
      </c>
      <c r="AB10" s="12">
        <v>104.3</v>
      </c>
      <c r="AC10" s="12">
        <v>104.7</v>
      </c>
      <c r="AD10" s="12">
        <v>105.5</v>
      </c>
    </row>
    <row r="11" spans="1:31" ht="15" customHeight="1" x14ac:dyDescent="0.25">
      <c r="A11" s="3" t="s">
        <v>84</v>
      </c>
      <c r="B11" s="12">
        <v>2013</v>
      </c>
      <c r="C11" s="3" t="s">
        <v>93</v>
      </c>
      <c r="D11" s="12">
        <v>110.2</v>
      </c>
      <c r="E11" s="12">
        <v>109.5</v>
      </c>
      <c r="F11" s="12">
        <v>106.9</v>
      </c>
      <c r="G11" s="12">
        <v>106.3</v>
      </c>
      <c r="H11" s="12">
        <v>105.7</v>
      </c>
      <c r="I11" s="12">
        <v>108.3</v>
      </c>
      <c r="J11" s="12">
        <v>103.4</v>
      </c>
      <c r="K11" s="12">
        <v>105.7</v>
      </c>
      <c r="L11" s="12">
        <v>104.2</v>
      </c>
      <c r="M11" s="12">
        <v>103.2</v>
      </c>
      <c r="N11" s="12">
        <v>106.5</v>
      </c>
      <c r="O11" s="12">
        <v>108.8</v>
      </c>
      <c r="P11" s="12">
        <v>107.1</v>
      </c>
      <c r="Q11" s="12">
        <v>107.1</v>
      </c>
      <c r="R11" s="12">
        <v>108.1</v>
      </c>
      <c r="S11" s="12">
        <v>107.4</v>
      </c>
      <c r="T11" s="12">
        <v>108</v>
      </c>
      <c r="U11" s="13"/>
      <c r="V11" s="12">
        <v>106.5</v>
      </c>
      <c r="W11" s="12">
        <v>106.1</v>
      </c>
      <c r="X11" s="12">
        <v>105.1</v>
      </c>
      <c r="Y11" s="12">
        <v>104.4</v>
      </c>
      <c r="Z11" s="12">
        <v>104.5</v>
      </c>
      <c r="AA11" s="12">
        <v>104.8</v>
      </c>
      <c r="AB11" s="12">
        <v>102.7</v>
      </c>
      <c r="AC11" s="12">
        <v>104.6</v>
      </c>
      <c r="AD11" s="12">
        <v>106.4</v>
      </c>
    </row>
    <row r="12" spans="1:31" ht="15" customHeight="1" x14ac:dyDescent="0.2">
      <c r="A12" s="3" t="s">
        <v>87</v>
      </c>
      <c r="B12" s="12">
        <v>2013</v>
      </c>
      <c r="C12" s="3" t="s">
        <v>93</v>
      </c>
      <c r="D12" s="12">
        <v>114.6</v>
      </c>
      <c r="E12" s="12">
        <v>113.4</v>
      </c>
      <c r="F12" s="12">
        <v>106</v>
      </c>
      <c r="G12" s="12">
        <v>104.7</v>
      </c>
      <c r="H12" s="12">
        <v>102.1</v>
      </c>
      <c r="I12" s="12">
        <v>109.5</v>
      </c>
      <c r="J12" s="12">
        <v>109.7</v>
      </c>
      <c r="K12" s="12">
        <v>104.6</v>
      </c>
      <c r="L12" s="12">
        <v>102</v>
      </c>
      <c r="M12" s="12">
        <v>103.5</v>
      </c>
      <c r="N12" s="12">
        <v>108.2</v>
      </c>
      <c r="O12" s="12">
        <v>110.6</v>
      </c>
      <c r="P12" s="12">
        <v>108.8</v>
      </c>
      <c r="Q12" s="12">
        <v>108.5</v>
      </c>
      <c r="R12" s="12">
        <v>107.9</v>
      </c>
      <c r="S12" s="12">
        <v>106.4</v>
      </c>
      <c r="T12" s="12">
        <v>107.7</v>
      </c>
      <c r="U12" s="12">
        <v>100.5</v>
      </c>
      <c r="V12" s="12">
        <v>106.4</v>
      </c>
      <c r="W12" s="12">
        <v>106.5</v>
      </c>
      <c r="X12" s="12">
        <v>105.7</v>
      </c>
      <c r="Y12" s="12">
        <v>105</v>
      </c>
      <c r="Z12" s="12">
        <v>104</v>
      </c>
      <c r="AA12" s="12">
        <v>105.2</v>
      </c>
      <c r="AB12" s="12">
        <v>103.2</v>
      </c>
      <c r="AC12" s="12">
        <v>105.1</v>
      </c>
      <c r="AD12" s="12">
        <v>105.7</v>
      </c>
    </row>
    <row r="13" spans="1:31" ht="15" customHeight="1" x14ac:dyDescent="0.2">
      <c r="A13" s="3" t="s">
        <v>89</v>
      </c>
      <c r="B13" s="12">
        <v>2013</v>
      </c>
      <c r="C13" s="3" t="s">
        <v>93</v>
      </c>
      <c r="D13" s="12">
        <v>111.6</v>
      </c>
      <c r="E13" s="12">
        <v>110.9</v>
      </c>
      <c r="F13" s="12">
        <v>106.6</v>
      </c>
      <c r="G13" s="12">
        <v>105.7</v>
      </c>
      <c r="H13" s="12">
        <v>104.4</v>
      </c>
      <c r="I13" s="12">
        <v>108.9</v>
      </c>
      <c r="J13" s="12">
        <v>105.5</v>
      </c>
      <c r="K13" s="12">
        <v>105.3</v>
      </c>
      <c r="L13" s="12">
        <v>103.5</v>
      </c>
      <c r="M13" s="12">
        <v>103.3</v>
      </c>
      <c r="N13" s="12">
        <v>107.2</v>
      </c>
      <c r="O13" s="12">
        <v>109.6</v>
      </c>
      <c r="P13" s="12">
        <v>107.7</v>
      </c>
      <c r="Q13" s="12">
        <v>107.5</v>
      </c>
      <c r="R13" s="12">
        <v>108</v>
      </c>
      <c r="S13" s="12">
        <v>107</v>
      </c>
      <c r="T13" s="12">
        <v>107.9</v>
      </c>
      <c r="U13" s="12">
        <v>100.5</v>
      </c>
      <c r="V13" s="12">
        <v>106.5</v>
      </c>
      <c r="W13" s="12">
        <v>106.3</v>
      </c>
      <c r="X13" s="12">
        <v>105.3</v>
      </c>
      <c r="Y13" s="12">
        <v>104.7</v>
      </c>
      <c r="Z13" s="12">
        <v>104.2</v>
      </c>
      <c r="AA13" s="12">
        <v>105</v>
      </c>
      <c r="AB13" s="12">
        <v>102.9</v>
      </c>
      <c r="AC13" s="12">
        <v>104.8</v>
      </c>
      <c r="AD13" s="12">
        <v>106.1</v>
      </c>
    </row>
    <row r="14" spans="1:31" ht="15" customHeight="1" x14ac:dyDescent="0.25">
      <c r="A14" s="3" t="s">
        <v>84</v>
      </c>
      <c r="B14" s="12">
        <v>2013</v>
      </c>
      <c r="C14" s="3" t="s">
        <v>95</v>
      </c>
      <c r="D14" s="12">
        <v>110.9</v>
      </c>
      <c r="E14" s="12">
        <v>109.8</v>
      </c>
      <c r="F14" s="12">
        <v>105.9</v>
      </c>
      <c r="G14" s="12">
        <v>107.5</v>
      </c>
      <c r="H14" s="12">
        <v>105.3</v>
      </c>
      <c r="I14" s="12">
        <v>108.1</v>
      </c>
      <c r="J14" s="12">
        <v>107.3</v>
      </c>
      <c r="K14" s="12">
        <v>106.1</v>
      </c>
      <c r="L14" s="12">
        <v>103.7</v>
      </c>
      <c r="M14" s="12">
        <v>104</v>
      </c>
      <c r="N14" s="12">
        <v>107.4</v>
      </c>
      <c r="O14" s="12">
        <v>109.9</v>
      </c>
      <c r="P14" s="12">
        <v>108.1</v>
      </c>
      <c r="Q14" s="12">
        <v>108.1</v>
      </c>
      <c r="R14" s="12">
        <v>108.8</v>
      </c>
      <c r="S14" s="12">
        <v>107.9</v>
      </c>
      <c r="T14" s="12">
        <v>108.6</v>
      </c>
      <c r="U14" s="13"/>
      <c r="V14" s="12">
        <v>107.5</v>
      </c>
      <c r="W14" s="12">
        <v>106.8</v>
      </c>
      <c r="X14" s="12">
        <v>105.7</v>
      </c>
      <c r="Y14" s="12">
        <v>104.1</v>
      </c>
      <c r="Z14" s="12">
        <v>105</v>
      </c>
      <c r="AA14" s="12">
        <v>105.5</v>
      </c>
      <c r="AB14" s="12">
        <v>102.1</v>
      </c>
      <c r="AC14" s="12">
        <v>104.8</v>
      </c>
      <c r="AD14" s="12">
        <v>107.2</v>
      </c>
    </row>
    <row r="15" spans="1:31" ht="15" customHeight="1" x14ac:dyDescent="0.2">
      <c r="A15" s="3" t="s">
        <v>87</v>
      </c>
      <c r="B15" s="12">
        <v>2013</v>
      </c>
      <c r="C15" s="3" t="s">
        <v>95</v>
      </c>
      <c r="D15" s="12">
        <v>115.4</v>
      </c>
      <c r="E15" s="12">
        <v>114.2</v>
      </c>
      <c r="F15" s="12">
        <v>102.7</v>
      </c>
      <c r="G15" s="12">
        <v>105.5</v>
      </c>
      <c r="H15" s="12">
        <v>101.5</v>
      </c>
      <c r="I15" s="12">
        <v>110.6</v>
      </c>
      <c r="J15" s="12">
        <v>123.7</v>
      </c>
      <c r="K15" s="12">
        <v>105.2</v>
      </c>
      <c r="L15" s="12">
        <v>101.9</v>
      </c>
      <c r="M15" s="12">
        <v>105</v>
      </c>
      <c r="N15" s="12">
        <v>109.1</v>
      </c>
      <c r="O15" s="12">
        <v>111.3</v>
      </c>
      <c r="P15" s="12">
        <v>111.1</v>
      </c>
      <c r="Q15" s="12">
        <v>109.8</v>
      </c>
      <c r="R15" s="12">
        <v>108.5</v>
      </c>
      <c r="S15" s="12">
        <v>106.7</v>
      </c>
      <c r="T15" s="12">
        <v>108.3</v>
      </c>
      <c r="U15" s="12">
        <v>100.5</v>
      </c>
      <c r="V15" s="12">
        <v>107.2</v>
      </c>
      <c r="W15" s="12">
        <v>107.1</v>
      </c>
      <c r="X15" s="12">
        <v>106.2</v>
      </c>
      <c r="Y15" s="12">
        <v>103.9</v>
      </c>
      <c r="Z15" s="12">
        <v>104.6</v>
      </c>
      <c r="AA15" s="12">
        <v>105.7</v>
      </c>
      <c r="AB15" s="12">
        <v>102.6</v>
      </c>
      <c r="AC15" s="12">
        <v>104.9</v>
      </c>
      <c r="AD15" s="12">
        <v>106.6</v>
      </c>
    </row>
    <row r="16" spans="1:31" ht="15" customHeight="1" x14ac:dyDescent="0.2">
      <c r="A16" s="3" t="s">
        <v>89</v>
      </c>
      <c r="B16" s="12">
        <v>2013</v>
      </c>
      <c r="C16" s="3" t="s">
        <v>95</v>
      </c>
      <c r="D16" s="12">
        <v>112.3</v>
      </c>
      <c r="E16" s="12">
        <v>111.3</v>
      </c>
      <c r="F16" s="12">
        <v>104.7</v>
      </c>
      <c r="G16" s="12">
        <v>106.8</v>
      </c>
      <c r="H16" s="12">
        <v>103.9</v>
      </c>
      <c r="I16" s="12">
        <v>109.3</v>
      </c>
      <c r="J16" s="12">
        <v>112.9</v>
      </c>
      <c r="K16" s="12">
        <v>105.8</v>
      </c>
      <c r="L16" s="12">
        <v>103.1</v>
      </c>
      <c r="M16" s="12">
        <v>104.3</v>
      </c>
      <c r="N16" s="12">
        <v>108.1</v>
      </c>
      <c r="O16" s="12">
        <v>110.5</v>
      </c>
      <c r="P16" s="12">
        <v>109.2</v>
      </c>
      <c r="Q16" s="12">
        <v>108.6</v>
      </c>
      <c r="R16" s="12">
        <v>108.7</v>
      </c>
      <c r="S16" s="12">
        <v>107.4</v>
      </c>
      <c r="T16" s="12">
        <v>108.5</v>
      </c>
      <c r="U16" s="12">
        <v>100.5</v>
      </c>
      <c r="V16" s="12">
        <v>107.4</v>
      </c>
      <c r="W16" s="12">
        <v>106.9</v>
      </c>
      <c r="X16" s="12">
        <v>105.9</v>
      </c>
      <c r="Y16" s="12">
        <v>104</v>
      </c>
      <c r="Z16" s="12">
        <v>104.8</v>
      </c>
      <c r="AA16" s="12">
        <v>105.6</v>
      </c>
      <c r="AB16" s="12">
        <v>102.3</v>
      </c>
      <c r="AC16" s="12">
        <v>104.8</v>
      </c>
      <c r="AD16" s="12">
        <v>106.9</v>
      </c>
    </row>
    <row r="17" spans="1:30" ht="15" customHeight="1" x14ac:dyDescent="0.25">
      <c r="A17" s="3" t="s">
        <v>84</v>
      </c>
      <c r="B17" s="12">
        <v>2013</v>
      </c>
      <c r="C17" s="3" t="s">
        <v>96</v>
      </c>
      <c r="D17" s="12">
        <v>112.3</v>
      </c>
      <c r="E17" s="12">
        <v>112.1</v>
      </c>
      <c r="F17" s="12">
        <v>108.1</v>
      </c>
      <c r="G17" s="12">
        <v>108.3</v>
      </c>
      <c r="H17" s="12">
        <v>105.9</v>
      </c>
      <c r="I17" s="12">
        <v>109.2</v>
      </c>
      <c r="J17" s="12">
        <v>118</v>
      </c>
      <c r="K17" s="12">
        <v>106.8</v>
      </c>
      <c r="L17" s="12">
        <v>104.1</v>
      </c>
      <c r="M17" s="12">
        <v>105.4</v>
      </c>
      <c r="N17" s="12">
        <v>108.2</v>
      </c>
      <c r="O17" s="12">
        <v>111</v>
      </c>
      <c r="P17" s="12">
        <v>110.6</v>
      </c>
      <c r="Q17" s="12">
        <v>109</v>
      </c>
      <c r="R17" s="12">
        <v>109.7</v>
      </c>
      <c r="S17" s="12">
        <v>108.8</v>
      </c>
      <c r="T17" s="12">
        <v>109.5</v>
      </c>
      <c r="U17" s="13"/>
      <c r="V17" s="12">
        <v>108.5</v>
      </c>
      <c r="W17" s="12">
        <v>107.5</v>
      </c>
      <c r="X17" s="12">
        <v>106.3</v>
      </c>
      <c r="Y17" s="12">
        <v>105</v>
      </c>
      <c r="Z17" s="12">
        <v>105.6</v>
      </c>
      <c r="AA17" s="12">
        <v>106.5</v>
      </c>
      <c r="AB17" s="12">
        <v>102.5</v>
      </c>
      <c r="AC17" s="12">
        <v>105.5</v>
      </c>
      <c r="AD17" s="12">
        <v>108.9</v>
      </c>
    </row>
    <row r="18" spans="1:30" ht="15" customHeight="1" x14ac:dyDescent="0.2">
      <c r="A18" s="3" t="s">
        <v>87</v>
      </c>
      <c r="B18" s="12">
        <v>2013</v>
      </c>
      <c r="C18" s="3" t="s">
        <v>96</v>
      </c>
      <c r="D18" s="12">
        <v>117</v>
      </c>
      <c r="E18" s="12">
        <v>120.1</v>
      </c>
      <c r="F18" s="12">
        <v>112.5</v>
      </c>
      <c r="G18" s="12">
        <v>107.3</v>
      </c>
      <c r="H18" s="12">
        <v>101.3</v>
      </c>
      <c r="I18" s="12">
        <v>112.4</v>
      </c>
      <c r="J18" s="12">
        <v>143.6</v>
      </c>
      <c r="K18" s="12">
        <v>105.4</v>
      </c>
      <c r="L18" s="12">
        <v>101.4</v>
      </c>
      <c r="M18" s="12">
        <v>106.4</v>
      </c>
      <c r="N18" s="12">
        <v>110</v>
      </c>
      <c r="O18" s="12">
        <v>112.2</v>
      </c>
      <c r="P18" s="12">
        <v>115</v>
      </c>
      <c r="Q18" s="12">
        <v>110.9</v>
      </c>
      <c r="R18" s="12">
        <v>109.2</v>
      </c>
      <c r="S18" s="12">
        <v>107.2</v>
      </c>
      <c r="T18" s="12">
        <v>108.9</v>
      </c>
      <c r="U18" s="12">
        <v>106.6</v>
      </c>
      <c r="V18" s="12">
        <v>108</v>
      </c>
      <c r="W18" s="12">
        <v>107.7</v>
      </c>
      <c r="X18" s="12">
        <v>106.5</v>
      </c>
      <c r="Y18" s="12">
        <v>105.2</v>
      </c>
      <c r="Z18" s="12">
        <v>105.2</v>
      </c>
      <c r="AA18" s="12">
        <v>108.1</v>
      </c>
      <c r="AB18" s="12">
        <v>103.3</v>
      </c>
      <c r="AC18" s="12">
        <v>106.1</v>
      </c>
      <c r="AD18" s="12">
        <v>109.7</v>
      </c>
    </row>
    <row r="19" spans="1:30" ht="15" customHeight="1" x14ac:dyDescent="0.2">
      <c r="A19" s="3" t="s">
        <v>89</v>
      </c>
      <c r="B19" s="12">
        <v>2013</v>
      </c>
      <c r="C19" s="3" t="s">
        <v>96</v>
      </c>
      <c r="D19" s="12">
        <v>113.8</v>
      </c>
      <c r="E19" s="12">
        <v>114.9</v>
      </c>
      <c r="F19" s="12">
        <v>109.8</v>
      </c>
      <c r="G19" s="12">
        <v>107.9</v>
      </c>
      <c r="H19" s="12">
        <v>104.2</v>
      </c>
      <c r="I19" s="12">
        <v>110.7</v>
      </c>
      <c r="J19" s="12">
        <v>126.7</v>
      </c>
      <c r="K19" s="12">
        <v>106.3</v>
      </c>
      <c r="L19" s="12">
        <v>103.2</v>
      </c>
      <c r="M19" s="12">
        <v>105.7</v>
      </c>
      <c r="N19" s="12">
        <v>109</v>
      </c>
      <c r="O19" s="12">
        <v>111.6</v>
      </c>
      <c r="P19" s="12">
        <v>112.2</v>
      </c>
      <c r="Q19" s="12">
        <v>109.5</v>
      </c>
      <c r="R19" s="12">
        <v>109.5</v>
      </c>
      <c r="S19" s="12">
        <v>108.1</v>
      </c>
      <c r="T19" s="12">
        <v>109.3</v>
      </c>
      <c r="U19" s="12">
        <v>106.6</v>
      </c>
      <c r="V19" s="12">
        <v>108.3</v>
      </c>
      <c r="W19" s="12">
        <v>107.6</v>
      </c>
      <c r="X19" s="12">
        <v>106.4</v>
      </c>
      <c r="Y19" s="12">
        <v>105.1</v>
      </c>
      <c r="Z19" s="12">
        <v>105.4</v>
      </c>
      <c r="AA19" s="12">
        <v>107.4</v>
      </c>
      <c r="AB19" s="12">
        <v>102.8</v>
      </c>
      <c r="AC19" s="12">
        <v>105.8</v>
      </c>
      <c r="AD19" s="12">
        <v>109.3</v>
      </c>
    </row>
    <row r="20" spans="1:30" ht="15" customHeight="1" x14ac:dyDescent="0.25">
      <c r="A20" s="3" t="s">
        <v>84</v>
      </c>
      <c r="B20" s="12">
        <v>2013</v>
      </c>
      <c r="C20" s="3" t="s">
        <v>98</v>
      </c>
      <c r="D20" s="12">
        <v>113.4</v>
      </c>
      <c r="E20" s="12">
        <v>114.9</v>
      </c>
      <c r="F20" s="12">
        <v>110.5</v>
      </c>
      <c r="G20" s="12">
        <v>109.3</v>
      </c>
      <c r="H20" s="12">
        <v>106.2</v>
      </c>
      <c r="I20" s="12">
        <v>110.3</v>
      </c>
      <c r="J20" s="12">
        <v>129.19999999999999</v>
      </c>
      <c r="K20" s="12">
        <v>107.1</v>
      </c>
      <c r="L20" s="12">
        <v>104.3</v>
      </c>
      <c r="M20" s="12">
        <v>106.4</v>
      </c>
      <c r="N20" s="12">
        <v>109.1</v>
      </c>
      <c r="O20" s="12">
        <v>112.1</v>
      </c>
      <c r="P20" s="12">
        <v>113.1</v>
      </c>
      <c r="Q20" s="12">
        <v>109.8</v>
      </c>
      <c r="R20" s="12">
        <v>110.5</v>
      </c>
      <c r="S20" s="12">
        <v>109.5</v>
      </c>
      <c r="T20" s="12">
        <v>110.3</v>
      </c>
      <c r="U20" s="13"/>
      <c r="V20" s="12">
        <v>109.5</v>
      </c>
      <c r="W20" s="12">
        <v>108.3</v>
      </c>
      <c r="X20" s="12">
        <v>106.9</v>
      </c>
      <c r="Y20" s="12">
        <v>106.8</v>
      </c>
      <c r="Z20" s="12">
        <v>106.4</v>
      </c>
      <c r="AA20" s="12">
        <v>107.8</v>
      </c>
      <c r="AB20" s="12">
        <v>102.5</v>
      </c>
      <c r="AC20" s="12">
        <v>106.5</v>
      </c>
      <c r="AD20" s="12">
        <v>110.7</v>
      </c>
    </row>
    <row r="21" spans="1:30" ht="15" customHeight="1" x14ac:dyDescent="0.2">
      <c r="A21" s="3" t="s">
        <v>87</v>
      </c>
      <c r="B21" s="12">
        <v>2013</v>
      </c>
      <c r="C21" s="3" t="s">
        <v>98</v>
      </c>
      <c r="D21" s="12">
        <v>117.8</v>
      </c>
      <c r="E21" s="12">
        <v>119.2</v>
      </c>
      <c r="F21" s="12">
        <v>114</v>
      </c>
      <c r="G21" s="12">
        <v>108.3</v>
      </c>
      <c r="H21" s="12">
        <v>101.1</v>
      </c>
      <c r="I21" s="12">
        <v>113.2</v>
      </c>
      <c r="J21" s="12">
        <v>160.9</v>
      </c>
      <c r="K21" s="12">
        <v>105.1</v>
      </c>
      <c r="L21" s="12">
        <v>101.3</v>
      </c>
      <c r="M21" s="12">
        <v>107.5</v>
      </c>
      <c r="N21" s="12">
        <v>110.4</v>
      </c>
      <c r="O21" s="12">
        <v>113.1</v>
      </c>
      <c r="P21" s="12">
        <v>117.5</v>
      </c>
      <c r="Q21" s="12">
        <v>111.7</v>
      </c>
      <c r="R21" s="12">
        <v>109.8</v>
      </c>
      <c r="S21" s="12">
        <v>107.8</v>
      </c>
      <c r="T21" s="12">
        <v>109.5</v>
      </c>
      <c r="U21" s="12">
        <v>107.7</v>
      </c>
      <c r="V21" s="12">
        <v>108.6</v>
      </c>
      <c r="W21" s="12">
        <v>108.1</v>
      </c>
      <c r="X21" s="12">
        <v>107.1</v>
      </c>
      <c r="Y21" s="12">
        <v>107.3</v>
      </c>
      <c r="Z21" s="12">
        <v>105.9</v>
      </c>
      <c r="AA21" s="12">
        <v>110.1</v>
      </c>
      <c r="AB21" s="12">
        <v>103.2</v>
      </c>
      <c r="AC21" s="12">
        <v>107.3</v>
      </c>
      <c r="AD21" s="12">
        <v>111.4</v>
      </c>
    </row>
    <row r="22" spans="1:30" ht="15" customHeight="1" x14ac:dyDescent="0.2">
      <c r="A22" s="3" t="s">
        <v>89</v>
      </c>
      <c r="B22" s="12">
        <v>2013</v>
      </c>
      <c r="C22" s="3" t="s">
        <v>98</v>
      </c>
      <c r="D22" s="12">
        <v>114.8</v>
      </c>
      <c r="E22" s="12">
        <v>116.4</v>
      </c>
      <c r="F22" s="12">
        <v>111.9</v>
      </c>
      <c r="G22" s="12">
        <v>108.9</v>
      </c>
      <c r="H22" s="12">
        <v>104.3</v>
      </c>
      <c r="I22" s="12">
        <v>111.7</v>
      </c>
      <c r="J22" s="12">
        <v>140</v>
      </c>
      <c r="K22" s="12">
        <v>106.4</v>
      </c>
      <c r="L22" s="12">
        <v>103.3</v>
      </c>
      <c r="M22" s="12">
        <v>106.8</v>
      </c>
      <c r="N22" s="12">
        <v>109.6</v>
      </c>
      <c r="O22" s="12">
        <v>112.6</v>
      </c>
      <c r="P22" s="12">
        <v>114.7</v>
      </c>
      <c r="Q22" s="12">
        <v>110.3</v>
      </c>
      <c r="R22" s="12">
        <v>110.2</v>
      </c>
      <c r="S22" s="12">
        <v>108.8</v>
      </c>
      <c r="T22" s="12">
        <v>110</v>
      </c>
      <c r="U22" s="12">
        <v>107.7</v>
      </c>
      <c r="V22" s="12">
        <v>109.2</v>
      </c>
      <c r="W22" s="12">
        <v>108.2</v>
      </c>
      <c r="X22" s="12">
        <v>107</v>
      </c>
      <c r="Y22" s="12">
        <v>107.1</v>
      </c>
      <c r="Z22" s="12">
        <v>106.1</v>
      </c>
      <c r="AA22" s="12">
        <v>109.1</v>
      </c>
      <c r="AB22" s="12">
        <v>102.8</v>
      </c>
      <c r="AC22" s="12">
        <v>106.9</v>
      </c>
      <c r="AD22" s="12">
        <v>111</v>
      </c>
    </row>
    <row r="23" spans="1:30" ht="15" customHeight="1" x14ac:dyDescent="0.25">
      <c r="A23" s="3" t="s">
        <v>84</v>
      </c>
      <c r="B23" s="12">
        <v>2013</v>
      </c>
      <c r="C23" s="3" t="s">
        <v>100</v>
      </c>
      <c r="D23" s="12">
        <v>114.3</v>
      </c>
      <c r="E23" s="12">
        <v>115.4</v>
      </c>
      <c r="F23" s="12">
        <v>111.1</v>
      </c>
      <c r="G23" s="12">
        <v>110</v>
      </c>
      <c r="H23" s="12">
        <v>106.4</v>
      </c>
      <c r="I23" s="12">
        <v>110.8</v>
      </c>
      <c r="J23" s="12">
        <v>138.9</v>
      </c>
      <c r="K23" s="12">
        <v>107.4</v>
      </c>
      <c r="L23" s="12">
        <v>104.1</v>
      </c>
      <c r="M23" s="12">
        <v>106.9</v>
      </c>
      <c r="N23" s="12">
        <v>109.7</v>
      </c>
      <c r="O23" s="12">
        <v>112.6</v>
      </c>
      <c r="P23" s="12">
        <v>114.9</v>
      </c>
      <c r="Q23" s="12">
        <v>110.7</v>
      </c>
      <c r="R23" s="12">
        <v>111.3</v>
      </c>
      <c r="S23" s="12">
        <v>110.2</v>
      </c>
      <c r="T23" s="12">
        <v>111.1</v>
      </c>
      <c r="U23" s="13"/>
      <c r="V23" s="12">
        <v>109.9</v>
      </c>
      <c r="W23" s="12">
        <v>108.7</v>
      </c>
      <c r="X23" s="12">
        <v>107.5</v>
      </c>
      <c r="Y23" s="12">
        <v>107.8</v>
      </c>
      <c r="Z23" s="12">
        <v>106.8</v>
      </c>
      <c r="AA23" s="12">
        <v>108.7</v>
      </c>
      <c r="AB23" s="12">
        <v>105</v>
      </c>
      <c r="AC23" s="12">
        <v>107.5</v>
      </c>
      <c r="AD23" s="12">
        <v>112.1</v>
      </c>
    </row>
    <row r="24" spans="1:30" ht="15" customHeight="1" x14ac:dyDescent="0.2">
      <c r="A24" s="3" t="s">
        <v>87</v>
      </c>
      <c r="B24" s="12">
        <v>2013</v>
      </c>
      <c r="C24" s="3" t="s">
        <v>100</v>
      </c>
      <c r="D24" s="12">
        <v>118.3</v>
      </c>
      <c r="E24" s="12">
        <v>120.4</v>
      </c>
      <c r="F24" s="12">
        <v>112.7</v>
      </c>
      <c r="G24" s="12">
        <v>108.9</v>
      </c>
      <c r="H24" s="12">
        <v>101.1</v>
      </c>
      <c r="I24" s="12">
        <v>108.7</v>
      </c>
      <c r="J24" s="12">
        <v>177</v>
      </c>
      <c r="K24" s="12">
        <v>104.7</v>
      </c>
      <c r="L24" s="12">
        <v>101</v>
      </c>
      <c r="M24" s="12">
        <v>108.5</v>
      </c>
      <c r="N24" s="12">
        <v>110.9</v>
      </c>
      <c r="O24" s="12">
        <v>114.3</v>
      </c>
      <c r="P24" s="12">
        <v>119.6</v>
      </c>
      <c r="Q24" s="12">
        <v>112.4</v>
      </c>
      <c r="R24" s="12">
        <v>110.6</v>
      </c>
      <c r="S24" s="12">
        <v>108.3</v>
      </c>
      <c r="T24" s="12">
        <v>110.2</v>
      </c>
      <c r="U24" s="12">
        <v>108.9</v>
      </c>
      <c r="V24" s="12">
        <v>109.3</v>
      </c>
      <c r="W24" s="12">
        <v>108.7</v>
      </c>
      <c r="X24" s="12">
        <v>107.6</v>
      </c>
      <c r="Y24" s="12">
        <v>108.1</v>
      </c>
      <c r="Z24" s="12">
        <v>106.5</v>
      </c>
      <c r="AA24" s="12">
        <v>110.8</v>
      </c>
      <c r="AB24" s="12">
        <v>106</v>
      </c>
      <c r="AC24" s="12">
        <v>108.3</v>
      </c>
      <c r="AD24" s="12">
        <v>112.7</v>
      </c>
    </row>
    <row r="25" spans="1:30" ht="15" customHeight="1" x14ac:dyDescent="0.2">
      <c r="A25" s="3" t="s">
        <v>89</v>
      </c>
      <c r="B25" s="12">
        <v>2013</v>
      </c>
      <c r="C25" s="3" t="s">
        <v>100</v>
      </c>
      <c r="D25" s="12">
        <v>115.6</v>
      </c>
      <c r="E25" s="12">
        <v>117.2</v>
      </c>
      <c r="F25" s="12">
        <v>111.7</v>
      </c>
      <c r="G25" s="12">
        <v>109.6</v>
      </c>
      <c r="H25" s="12">
        <v>104.5</v>
      </c>
      <c r="I25" s="12">
        <v>109.8</v>
      </c>
      <c r="J25" s="12">
        <v>151.80000000000001</v>
      </c>
      <c r="K25" s="12">
        <v>106.5</v>
      </c>
      <c r="L25" s="12">
        <v>103.1</v>
      </c>
      <c r="M25" s="12">
        <v>107.4</v>
      </c>
      <c r="N25" s="12">
        <v>110.2</v>
      </c>
      <c r="O25" s="12">
        <v>113.4</v>
      </c>
      <c r="P25" s="12">
        <v>116.6</v>
      </c>
      <c r="Q25" s="12">
        <v>111.2</v>
      </c>
      <c r="R25" s="12">
        <v>111</v>
      </c>
      <c r="S25" s="12">
        <v>109.4</v>
      </c>
      <c r="T25" s="12">
        <v>110.7</v>
      </c>
      <c r="U25" s="12">
        <v>108.9</v>
      </c>
      <c r="V25" s="12">
        <v>109.7</v>
      </c>
      <c r="W25" s="12">
        <v>108.7</v>
      </c>
      <c r="X25" s="12">
        <v>107.5</v>
      </c>
      <c r="Y25" s="12">
        <v>108</v>
      </c>
      <c r="Z25" s="12">
        <v>106.6</v>
      </c>
      <c r="AA25" s="12">
        <v>109.9</v>
      </c>
      <c r="AB25" s="12">
        <v>105.4</v>
      </c>
      <c r="AC25" s="12">
        <v>107.9</v>
      </c>
      <c r="AD25" s="12">
        <v>112.4</v>
      </c>
    </row>
    <row r="26" spans="1:30" ht="15" customHeight="1" x14ac:dyDescent="0.25">
      <c r="A26" s="3" t="s">
        <v>84</v>
      </c>
      <c r="B26" s="12">
        <v>2013</v>
      </c>
      <c r="C26" s="3" t="s">
        <v>102</v>
      </c>
      <c r="D26" s="12">
        <v>115.4</v>
      </c>
      <c r="E26" s="12">
        <v>115.7</v>
      </c>
      <c r="F26" s="12">
        <v>111.7</v>
      </c>
      <c r="G26" s="12">
        <v>111</v>
      </c>
      <c r="H26" s="12">
        <v>107.4</v>
      </c>
      <c r="I26" s="12">
        <v>110.9</v>
      </c>
      <c r="J26" s="12">
        <v>154</v>
      </c>
      <c r="K26" s="12">
        <v>108.1</v>
      </c>
      <c r="L26" s="12">
        <v>104.2</v>
      </c>
      <c r="M26" s="12">
        <v>107.9</v>
      </c>
      <c r="N26" s="12">
        <v>110.4</v>
      </c>
      <c r="O26" s="12">
        <v>114</v>
      </c>
      <c r="P26" s="12">
        <v>117.8</v>
      </c>
      <c r="Q26" s="12">
        <v>111.7</v>
      </c>
      <c r="R26" s="12">
        <v>112.7</v>
      </c>
      <c r="S26" s="12">
        <v>111.4</v>
      </c>
      <c r="T26" s="12">
        <v>112.5</v>
      </c>
      <c r="U26" s="13"/>
      <c r="V26" s="12">
        <v>111.1</v>
      </c>
      <c r="W26" s="12">
        <v>109.6</v>
      </c>
      <c r="X26" s="12">
        <v>108.3</v>
      </c>
      <c r="Y26" s="12">
        <v>109.3</v>
      </c>
      <c r="Z26" s="12">
        <v>107.7</v>
      </c>
      <c r="AA26" s="12">
        <v>109.8</v>
      </c>
      <c r="AB26" s="12">
        <v>106.7</v>
      </c>
      <c r="AC26" s="12">
        <v>108.7</v>
      </c>
      <c r="AD26" s="12">
        <v>114.2</v>
      </c>
    </row>
    <row r="27" spans="1:30" ht="15" customHeight="1" x14ac:dyDescent="0.2">
      <c r="A27" s="3" t="s">
        <v>87</v>
      </c>
      <c r="B27" s="12">
        <v>2013</v>
      </c>
      <c r="C27" s="3" t="s">
        <v>102</v>
      </c>
      <c r="D27" s="12">
        <v>118.6</v>
      </c>
      <c r="E27" s="12">
        <v>119.1</v>
      </c>
      <c r="F27" s="12">
        <v>113.2</v>
      </c>
      <c r="G27" s="12">
        <v>109.6</v>
      </c>
      <c r="H27" s="12">
        <v>101.7</v>
      </c>
      <c r="I27" s="12">
        <v>103.2</v>
      </c>
      <c r="J27" s="12">
        <v>174.3</v>
      </c>
      <c r="K27" s="12">
        <v>105.1</v>
      </c>
      <c r="L27" s="12">
        <v>100.8</v>
      </c>
      <c r="M27" s="12">
        <v>109.1</v>
      </c>
      <c r="N27" s="12">
        <v>111.1</v>
      </c>
      <c r="O27" s="12">
        <v>115.4</v>
      </c>
      <c r="P27" s="12">
        <v>119.2</v>
      </c>
      <c r="Q27" s="12">
        <v>112.9</v>
      </c>
      <c r="R27" s="12">
        <v>111.4</v>
      </c>
      <c r="S27" s="12">
        <v>109</v>
      </c>
      <c r="T27" s="12">
        <v>111.1</v>
      </c>
      <c r="U27" s="12">
        <v>109.7</v>
      </c>
      <c r="V27" s="12">
        <v>109.5</v>
      </c>
      <c r="W27" s="12">
        <v>109.6</v>
      </c>
      <c r="X27" s="12">
        <v>107.9</v>
      </c>
      <c r="Y27" s="12">
        <v>110.4</v>
      </c>
      <c r="Z27" s="12">
        <v>107.4</v>
      </c>
      <c r="AA27" s="12">
        <v>111.2</v>
      </c>
      <c r="AB27" s="12">
        <v>106.9</v>
      </c>
      <c r="AC27" s="12">
        <v>109.4</v>
      </c>
      <c r="AD27" s="12">
        <v>113.2</v>
      </c>
    </row>
    <row r="28" spans="1:30" ht="15" customHeight="1" x14ac:dyDescent="0.2">
      <c r="A28" s="3" t="s">
        <v>89</v>
      </c>
      <c r="B28" s="12">
        <v>2013</v>
      </c>
      <c r="C28" s="3" t="s">
        <v>102</v>
      </c>
      <c r="D28" s="12">
        <v>116.4</v>
      </c>
      <c r="E28" s="12">
        <v>116.9</v>
      </c>
      <c r="F28" s="12">
        <v>112.3</v>
      </c>
      <c r="G28" s="12">
        <v>110.5</v>
      </c>
      <c r="H28" s="12">
        <v>105.3</v>
      </c>
      <c r="I28" s="12">
        <v>107.3</v>
      </c>
      <c r="J28" s="12">
        <v>160.9</v>
      </c>
      <c r="K28" s="12">
        <v>107.1</v>
      </c>
      <c r="L28" s="12">
        <v>103.1</v>
      </c>
      <c r="M28" s="12">
        <v>108.3</v>
      </c>
      <c r="N28" s="12">
        <v>110.7</v>
      </c>
      <c r="O28" s="12">
        <v>114.6</v>
      </c>
      <c r="P28" s="12">
        <v>118.3</v>
      </c>
      <c r="Q28" s="12">
        <v>112</v>
      </c>
      <c r="R28" s="12">
        <v>112.2</v>
      </c>
      <c r="S28" s="12">
        <v>110.4</v>
      </c>
      <c r="T28" s="12">
        <v>111.9</v>
      </c>
      <c r="U28" s="12">
        <v>109.7</v>
      </c>
      <c r="V28" s="12">
        <v>110.5</v>
      </c>
      <c r="W28" s="12">
        <v>109.6</v>
      </c>
      <c r="X28" s="12">
        <v>108.1</v>
      </c>
      <c r="Y28" s="12">
        <v>109.9</v>
      </c>
      <c r="Z28" s="12">
        <v>107.5</v>
      </c>
      <c r="AA28" s="12">
        <v>110.6</v>
      </c>
      <c r="AB28" s="12">
        <v>106.8</v>
      </c>
      <c r="AC28" s="12">
        <v>109</v>
      </c>
      <c r="AD28" s="12">
        <v>113.7</v>
      </c>
    </row>
    <row r="29" spans="1:30" ht="15" customHeight="1" x14ac:dyDescent="0.25">
      <c r="A29" s="3" t="s">
        <v>84</v>
      </c>
      <c r="B29" s="12">
        <v>2013</v>
      </c>
      <c r="C29" s="3" t="s">
        <v>104</v>
      </c>
      <c r="D29" s="12">
        <v>116.3</v>
      </c>
      <c r="E29" s="12">
        <v>115.4</v>
      </c>
      <c r="F29" s="12">
        <v>112.6</v>
      </c>
      <c r="G29" s="12">
        <v>111.7</v>
      </c>
      <c r="H29" s="12">
        <v>107.7</v>
      </c>
      <c r="I29" s="12">
        <v>113.2</v>
      </c>
      <c r="J29" s="12">
        <v>164.9</v>
      </c>
      <c r="K29" s="12">
        <v>108.3</v>
      </c>
      <c r="L29" s="12">
        <v>103.9</v>
      </c>
      <c r="M29" s="12">
        <v>108.2</v>
      </c>
      <c r="N29" s="12">
        <v>111.1</v>
      </c>
      <c r="O29" s="12">
        <v>114.9</v>
      </c>
      <c r="P29" s="12">
        <v>119.8</v>
      </c>
      <c r="Q29" s="12">
        <v>112.2</v>
      </c>
      <c r="R29" s="12">
        <v>113.6</v>
      </c>
      <c r="S29" s="12">
        <v>112.3</v>
      </c>
      <c r="T29" s="12">
        <v>113.4</v>
      </c>
      <c r="U29" s="13"/>
      <c r="V29" s="12">
        <v>111.6</v>
      </c>
      <c r="W29" s="12">
        <v>110.4</v>
      </c>
      <c r="X29" s="12">
        <v>108.9</v>
      </c>
      <c r="Y29" s="12">
        <v>109.3</v>
      </c>
      <c r="Z29" s="12">
        <v>108.3</v>
      </c>
      <c r="AA29" s="12">
        <v>110.2</v>
      </c>
      <c r="AB29" s="12">
        <v>107.5</v>
      </c>
      <c r="AC29" s="12">
        <v>109.1</v>
      </c>
      <c r="AD29" s="12">
        <v>115.5</v>
      </c>
    </row>
    <row r="30" spans="1:30" ht="15" customHeight="1" x14ac:dyDescent="0.2">
      <c r="A30" s="3" t="s">
        <v>87</v>
      </c>
      <c r="B30" s="12">
        <v>2013</v>
      </c>
      <c r="C30" s="3" t="s">
        <v>104</v>
      </c>
      <c r="D30" s="12">
        <v>118.9</v>
      </c>
      <c r="E30" s="12">
        <v>118.1</v>
      </c>
      <c r="F30" s="12">
        <v>114.5</v>
      </c>
      <c r="G30" s="12">
        <v>110.4</v>
      </c>
      <c r="H30" s="12">
        <v>102.3</v>
      </c>
      <c r="I30" s="12">
        <v>106.2</v>
      </c>
      <c r="J30" s="12">
        <v>183.5</v>
      </c>
      <c r="K30" s="12">
        <v>105.3</v>
      </c>
      <c r="L30" s="12">
        <v>100.2</v>
      </c>
      <c r="M30" s="12">
        <v>109.6</v>
      </c>
      <c r="N30" s="12">
        <v>111.4</v>
      </c>
      <c r="O30" s="12">
        <v>116</v>
      </c>
      <c r="P30" s="12">
        <v>120.8</v>
      </c>
      <c r="Q30" s="12">
        <v>113.5</v>
      </c>
      <c r="R30" s="12">
        <v>112.5</v>
      </c>
      <c r="S30" s="12">
        <v>109.7</v>
      </c>
      <c r="T30" s="12">
        <v>112</v>
      </c>
      <c r="U30" s="12">
        <v>110.5</v>
      </c>
      <c r="V30" s="12">
        <v>109.7</v>
      </c>
      <c r="W30" s="12">
        <v>110.2</v>
      </c>
      <c r="X30" s="12">
        <v>108.2</v>
      </c>
      <c r="Y30" s="12">
        <v>109.7</v>
      </c>
      <c r="Z30" s="12">
        <v>108</v>
      </c>
      <c r="AA30" s="12">
        <v>111.3</v>
      </c>
      <c r="AB30" s="12">
        <v>107.3</v>
      </c>
      <c r="AC30" s="12">
        <v>109.4</v>
      </c>
      <c r="AD30" s="12">
        <v>114</v>
      </c>
    </row>
    <row r="31" spans="1:30" ht="15" customHeight="1" x14ac:dyDescent="0.2">
      <c r="A31" s="3" t="s">
        <v>89</v>
      </c>
      <c r="B31" s="12">
        <v>2013</v>
      </c>
      <c r="C31" s="3" t="s">
        <v>104</v>
      </c>
      <c r="D31" s="12">
        <v>117.1</v>
      </c>
      <c r="E31" s="12">
        <v>116.3</v>
      </c>
      <c r="F31" s="12">
        <v>113.3</v>
      </c>
      <c r="G31" s="12">
        <v>111.2</v>
      </c>
      <c r="H31" s="12">
        <v>105.7</v>
      </c>
      <c r="I31" s="12">
        <v>109.9</v>
      </c>
      <c r="J31" s="12">
        <v>171.2</v>
      </c>
      <c r="K31" s="12">
        <v>107.3</v>
      </c>
      <c r="L31" s="12">
        <v>102.7</v>
      </c>
      <c r="M31" s="12">
        <v>108.7</v>
      </c>
      <c r="N31" s="12">
        <v>111.2</v>
      </c>
      <c r="O31" s="12">
        <v>115.4</v>
      </c>
      <c r="P31" s="12">
        <v>120.2</v>
      </c>
      <c r="Q31" s="12">
        <v>112.5</v>
      </c>
      <c r="R31" s="12">
        <v>113.2</v>
      </c>
      <c r="S31" s="12">
        <v>111.2</v>
      </c>
      <c r="T31" s="12">
        <v>112.8</v>
      </c>
      <c r="U31" s="12">
        <v>110.5</v>
      </c>
      <c r="V31" s="12">
        <v>110.9</v>
      </c>
      <c r="W31" s="12">
        <v>110.3</v>
      </c>
      <c r="X31" s="12">
        <v>108.6</v>
      </c>
      <c r="Y31" s="12">
        <v>109.5</v>
      </c>
      <c r="Z31" s="12">
        <v>108.1</v>
      </c>
      <c r="AA31" s="12">
        <v>110.8</v>
      </c>
      <c r="AB31" s="12">
        <v>107.4</v>
      </c>
      <c r="AC31" s="12">
        <v>109.2</v>
      </c>
      <c r="AD31" s="12">
        <v>114.8</v>
      </c>
    </row>
    <row r="32" spans="1:30" ht="15" customHeight="1" x14ac:dyDescent="0.25">
      <c r="A32" s="3" t="s">
        <v>84</v>
      </c>
      <c r="B32" s="12">
        <v>2013</v>
      </c>
      <c r="C32" s="3" t="s">
        <v>107</v>
      </c>
      <c r="D32" s="12">
        <v>117.3</v>
      </c>
      <c r="E32" s="12">
        <v>114.9</v>
      </c>
      <c r="F32" s="12">
        <v>116.2</v>
      </c>
      <c r="G32" s="12">
        <v>112.8</v>
      </c>
      <c r="H32" s="12">
        <v>108.9</v>
      </c>
      <c r="I32" s="12">
        <v>116.6</v>
      </c>
      <c r="J32" s="12">
        <v>178.1</v>
      </c>
      <c r="K32" s="12">
        <v>109.1</v>
      </c>
      <c r="L32" s="12">
        <v>103.6</v>
      </c>
      <c r="M32" s="12">
        <v>109</v>
      </c>
      <c r="N32" s="12">
        <v>111.8</v>
      </c>
      <c r="O32" s="12">
        <v>116</v>
      </c>
      <c r="P32" s="12">
        <v>122.5</v>
      </c>
      <c r="Q32" s="12">
        <v>112.8</v>
      </c>
      <c r="R32" s="12">
        <v>114.6</v>
      </c>
      <c r="S32" s="12">
        <v>113.1</v>
      </c>
      <c r="T32" s="12">
        <v>114.4</v>
      </c>
      <c r="U32" s="13"/>
      <c r="V32" s="12">
        <v>112.6</v>
      </c>
      <c r="W32" s="12">
        <v>111.3</v>
      </c>
      <c r="X32" s="12">
        <v>109.7</v>
      </c>
      <c r="Y32" s="12">
        <v>109.6</v>
      </c>
      <c r="Z32" s="12">
        <v>108.7</v>
      </c>
      <c r="AA32" s="12">
        <v>111</v>
      </c>
      <c r="AB32" s="12">
        <v>108.2</v>
      </c>
      <c r="AC32" s="12">
        <v>109.8</v>
      </c>
      <c r="AD32" s="12">
        <v>117.4</v>
      </c>
    </row>
    <row r="33" spans="1:30" ht="15" customHeight="1" x14ac:dyDescent="0.2">
      <c r="A33" s="3" t="s">
        <v>87</v>
      </c>
      <c r="B33" s="12">
        <v>2013</v>
      </c>
      <c r="C33" s="3" t="s">
        <v>107</v>
      </c>
      <c r="D33" s="12">
        <v>119.8</v>
      </c>
      <c r="E33" s="12">
        <v>116.3</v>
      </c>
      <c r="F33" s="12">
        <v>122.6</v>
      </c>
      <c r="G33" s="12">
        <v>112</v>
      </c>
      <c r="H33" s="12">
        <v>103.2</v>
      </c>
      <c r="I33" s="12">
        <v>110</v>
      </c>
      <c r="J33" s="12">
        <v>192.8</v>
      </c>
      <c r="K33" s="12">
        <v>106.3</v>
      </c>
      <c r="L33" s="12">
        <v>99.5</v>
      </c>
      <c r="M33" s="12">
        <v>110.3</v>
      </c>
      <c r="N33" s="12">
        <v>111.8</v>
      </c>
      <c r="O33" s="12">
        <v>117.1</v>
      </c>
      <c r="P33" s="12">
        <v>122.9</v>
      </c>
      <c r="Q33" s="12">
        <v>114.1</v>
      </c>
      <c r="R33" s="12">
        <v>113.5</v>
      </c>
      <c r="S33" s="12">
        <v>110.3</v>
      </c>
      <c r="T33" s="12">
        <v>113</v>
      </c>
      <c r="U33" s="12">
        <v>111.1</v>
      </c>
      <c r="V33" s="12">
        <v>110</v>
      </c>
      <c r="W33" s="12">
        <v>110.9</v>
      </c>
      <c r="X33" s="12">
        <v>108.6</v>
      </c>
      <c r="Y33" s="12">
        <v>109.5</v>
      </c>
      <c r="Z33" s="12">
        <v>108.5</v>
      </c>
      <c r="AA33" s="12">
        <v>111.3</v>
      </c>
      <c r="AB33" s="12">
        <v>107.9</v>
      </c>
      <c r="AC33" s="12">
        <v>109.6</v>
      </c>
      <c r="AD33" s="12">
        <v>115</v>
      </c>
    </row>
    <row r="34" spans="1:30" ht="15" customHeight="1" x14ac:dyDescent="0.2">
      <c r="A34" s="3" t="s">
        <v>89</v>
      </c>
      <c r="B34" s="12">
        <v>2013</v>
      </c>
      <c r="C34" s="3" t="s">
        <v>107</v>
      </c>
      <c r="D34" s="12">
        <v>118.1</v>
      </c>
      <c r="E34" s="12">
        <v>115.4</v>
      </c>
      <c r="F34" s="12">
        <v>118.7</v>
      </c>
      <c r="G34" s="12">
        <v>112.5</v>
      </c>
      <c r="H34" s="12">
        <v>106.8</v>
      </c>
      <c r="I34" s="12">
        <v>113.5</v>
      </c>
      <c r="J34" s="12">
        <v>183.1</v>
      </c>
      <c r="K34" s="12">
        <v>108.2</v>
      </c>
      <c r="L34" s="12">
        <v>102.2</v>
      </c>
      <c r="M34" s="12">
        <v>109.4</v>
      </c>
      <c r="N34" s="12">
        <v>111.8</v>
      </c>
      <c r="O34" s="12">
        <v>116.5</v>
      </c>
      <c r="P34" s="12">
        <v>122.6</v>
      </c>
      <c r="Q34" s="12">
        <v>113.1</v>
      </c>
      <c r="R34" s="12">
        <v>114.2</v>
      </c>
      <c r="S34" s="12">
        <v>111.9</v>
      </c>
      <c r="T34" s="12">
        <v>113.8</v>
      </c>
      <c r="U34" s="12">
        <v>111.1</v>
      </c>
      <c r="V34" s="12">
        <v>111.6</v>
      </c>
      <c r="W34" s="12">
        <v>111.1</v>
      </c>
      <c r="X34" s="12">
        <v>109.3</v>
      </c>
      <c r="Y34" s="12">
        <v>109.5</v>
      </c>
      <c r="Z34" s="12">
        <v>108.6</v>
      </c>
      <c r="AA34" s="12">
        <v>111.2</v>
      </c>
      <c r="AB34" s="12">
        <v>108.1</v>
      </c>
      <c r="AC34" s="12">
        <v>109.7</v>
      </c>
      <c r="AD34" s="12">
        <v>116.3</v>
      </c>
    </row>
    <row r="35" spans="1:30" ht="15" customHeight="1" x14ac:dyDescent="0.25">
      <c r="A35" s="3" t="s">
        <v>84</v>
      </c>
      <c r="B35" s="12">
        <v>2013</v>
      </c>
      <c r="C35" s="3" t="s">
        <v>109</v>
      </c>
      <c r="D35" s="12">
        <v>118.4</v>
      </c>
      <c r="E35" s="12">
        <v>115.9</v>
      </c>
      <c r="F35" s="12">
        <v>120.4</v>
      </c>
      <c r="G35" s="12">
        <v>113.8</v>
      </c>
      <c r="H35" s="12">
        <v>109.5</v>
      </c>
      <c r="I35" s="12">
        <v>115.5</v>
      </c>
      <c r="J35" s="12">
        <v>145.69999999999999</v>
      </c>
      <c r="K35" s="12">
        <v>109.5</v>
      </c>
      <c r="L35" s="12">
        <v>102.9</v>
      </c>
      <c r="M35" s="12">
        <v>109.8</v>
      </c>
      <c r="N35" s="12">
        <v>112.1</v>
      </c>
      <c r="O35" s="12">
        <v>116.8</v>
      </c>
      <c r="P35" s="12">
        <v>118.7</v>
      </c>
      <c r="Q35" s="12">
        <v>113.6</v>
      </c>
      <c r="R35" s="12">
        <v>115.8</v>
      </c>
      <c r="S35" s="12">
        <v>114</v>
      </c>
      <c r="T35" s="12">
        <v>115.5</v>
      </c>
      <c r="U35" s="13"/>
      <c r="V35" s="12">
        <v>112.8</v>
      </c>
      <c r="W35" s="12">
        <v>112.1</v>
      </c>
      <c r="X35" s="12">
        <v>110.1</v>
      </c>
      <c r="Y35" s="12">
        <v>109.9</v>
      </c>
      <c r="Z35" s="12">
        <v>109.2</v>
      </c>
      <c r="AA35" s="12">
        <v>111.6</v>
      </c>
      <c r="AB35" s="12">
        <v>108.1</v>
      </c>
      <c r="AC35" s="12">
        <v>110.1</v>
      </c>
      <c r="AD35" s="12">
        <v>115.5</v>
      </c>
    </row>
    <row r="36" spans="1:30" ht="15" customHeight="1" x14ac:dyDescent="0.2">
      <c r="A36" s="3" t="s">
        <v>87</v>
      </c>
      <c r="B36" s="12">
        <v>2013</v>
      </c>
      <c r="C36" s="3" t="s">
        <v>109</v>
      </c>
      <c r="D36" s="12">
        <v>120.5</v>
      </c>
      <c r="E36" s="12">
        <v>118.1</v>
      </c>
      <c r="F36" s="12">
        <v>128.5</v>
      </c>
      <c r="G36" s="12">
        <v>112.8</v>
      </c>
      <c r="H36" s="12">
        <v>103.4</v>
      </c>
      <c r="I36" s="12">
        <v>110.7</v>
      </c>
      <c r="J36" s="12">
        <v>144.80000000000001</v>
      </c>
      <c r="K36" s="12">
        <v>107.1</v>
      </c>
      <c r="L36" s="12">
        <v>98.6</v>
      </c>
      <c r="M36" s="12">
        <v>111.9</v>
      </c>
      <c r="N36" s="12">
        <v>112.1</v>
      </c>
      <c r="O36" s="12">
        <v>118.1</v>
      </c>
      <c r="P36" s="12">
        <v>117.8</v>
      </c>
      <c r="Q36" s="12">
        <v>115</v>
      </c>
      <c r="R36" s="12">
        <v>114.2</v>
      </c>
      <c r="S36" s="12">
        <v>110.9</v>
      </c>
      <c r="T36" s="12">
        <v>113.7</v>
      </c>
      <c r="U36" s="12">
        <v>110.7</v>
      </c>
      <c r="V36" s="12">
        <v>110.4</v>
      </c>
      <c r="W36" s="12">
        <v>111.3</v>
      </c>
      <c r="X36" s="12">
        <v>109</v>
      </c>
      <c r="Y36" s="12">
        <v>109.7</v>
      </c>
      <c r="Z36" s="12">
        <v>108.9</v>
      </c>
      <c r="AA36" s="12">
        <v>111.4</v>
      </c>
      <c r="AB36" s="12">
        <v>107.7</v>
      </c>
      <c r="AC36" s="12">
        <v>109.8</v>
      </c>
      <c r="AD36" s="12">
        <v>113.3</v>
      </c>
    </row>
    <row r="37" spans="1:30" ht="15" customHeight="1" x14ac:dyDescent="0.2">
      <c r="A37" s="3" t="s">
        <v>89</v>
      </c>
      <c r="B37" s="12">
        <v>2013</v>
      </c>
      <c r="C37" s="3" t="s">
        <v>109</v>
      </c>
      <c r="D37" s="12">
        <v>119.1</v>
      </c>
      <c r="E37" s="12">
        <v>116.7</v>
      </c>
      <c r="F37" s="12">
        <v>123.5</v>
      </c>
      <c r="G37" s="12">
        <v>113.4</v>
      </c>
      <c r="H37" s="12">
        <v>107.3</v>
      </c>
      <c r="I37" s="12">
        <v>113.3</v>
      </c>
      <c r="J37" s="12">
        <v>145.4</v>
      </c>
      <c r="K37" s="12">
        <v>108.7</v>
      </c>
      <c r="L37" s="12">
        <v>101.5</v>
      </c>
      <c r="M37" s="12">
        <v>110.5</v>
      </c>
      <c r="N37" s="12">
        <v>112.1</v>
      </c>
      <c r="O37" s="12">
        <v>117.4</v>
      </c>
      <c r="P37" s="12">
        <v>118.4</v>
      </c>
      <c r="Q37" s="12">
        <v>114</v>
      </c>
      <c r="R37" s="12">
        <v>115.2</v>
      </c>
      <c r="S37" s="12">
        <v>112.7</v>
      </c>
      <c r="T37" s="12">
        <v>114.8</v>
      </c>
      <c r="U37" s="12">
        <v>110.7</v>
      </c>
      <c r="V37" s="12">
        <v>111.9</v>
      </c>
      <c r="W37" s="12">
        <v>111.7</v>
      </c>
      <c r="X37" s="12">
        <v>109.7</v>
      </c>
      <c r="Y37" s="12">
        <v>109.8</v>
      </c>
      <c r="Z37" s="12">
        <v>109</v>
      </c>
      <c r="AA37" s="12">
        <v>111.5</v>
      </c>
      <c r="AB37" s="12">
        <v>107.9</v>
      </c>
      <c r="AC37" s="12">
        <v>110</v>
      </c>
      <c r="AD37" s="12">
        <v>114.5</v>
      </c>
    </row>
    <row r="38" spans="1:30" ht="15" customHeight="1" x14ac:dyDescent="0.25">
      <c r="A38" s="3" t="s">
        <v>84</v>
      </c>
      <c r="B38" s="12">
        <v>2014</v>
      </c>
      <c r="C38" s="3" t="s">
        <v>85</v>
      </c>
      <c r="D38" s="12">
        <v>118.9</v>
      </c>
      <c r="E38" s="12">
        <v>117.1</v>
      </c>
      <c r="F38" s="12">
        <v>120.5</v>
      </c>
      <c r="G38" s="12">
        <v>114.4</v>
      </c>
      <c r="H38" s="12">
        <v>109</v>
      </c>
      <c r="I38" s="12">
        <v>115.5</v>
      </c>
      <c r="J38" s="12">
        <v>123.9</v>
      </c>
      <c r="K38" s="12">
        <v>109.6</v>
      </c>
      <c r="L38" s="12">
        <v>101.8</v>
      </c>
      <c r="M38" s="12">
        <v>110.2</v>
      </c>
      <c r="N38" s="12">
        <v>112.4</v>
      </c>
      <c r="O38" s="12">
        <v>117.3</v>
      </c>
      <c r="P38" s="12">
        <v>116</v>
      </c>
      <c r="Q38" s="12">
        <v>114</v>
      </c>
      <c r="R38" s="12">
        <v>116.5</v>
      </c>
      <c r="S38" s="12">
        <v>114.5</v>
      </c>
      <c r="T38" s="12">
        <v>116.2</v>
      </c>
      <c r="U38" s="13"/>
      <c r="V38" s="12">
        <v>113</v>
      </c>
      <c r="W38" s="12">
        <v>112.6</v>
      </c>
      <c r="X38" s="12">
        <v>110.6</v>
      </c>
      <c r="Y38" s="12">
        <v>110.5</v>
      </c>
      <c r="Z38" s="12">
        <v>109.6</v>
      </c>
      <c r="AA38" s="12">
        <v>111.8</v>
      </c>
      <c r="AB38" s="12">
        <v>108.3</v>
      </c>
      <c r="AC38" s="12">
        <v>110.6</v>
      </c>
      <c r="AD38" s="12">
        <v>114.2</v>
      </c>
    </row>
    <row r="39" spans="1:30" ht="15" customHeight="1" x14ac:dyDescent="0.2">
      <c r="A39" s="3" t="s">
        <v>87</v>
      </c>
      <c r="B39" s="12">
        <v>2014</v>
      </c>
      <c r="C39" s="3" t="s">
        <v>85</v>
      </c>
      <c r="D39" s="12">
        <v>121.2</v>
      </c>
      <c r="E39" s="12">
        <v>122</v>
      </c>
      <c r="F39" s="12">
        <v>129.9</v>
      </c>
      <c r="G39" s="12">
        <v>113.6</v>
      </c>
      <c r="H39" s="12">
        <v>102.9</v>
      </c>
      <c r="I39" s="12">
        <v>112.1</v>
      </c>
      <c r="J39" s="12">
        <v>118.9</v>
      </c>
      <c r="K39" s="12">
        <v>107.5</v>
      </c>
      <c r="L39" s="12">
        <v>96.9</v>
      </c>
      <c r="M39" s="12">
        <v>112.7</v>
      </c>
      <c r="N39" s="12">
        <v>112.1</v>
      </c>
      <c r="O39" s="12">
        <v>119</v>
      </c>
      <c r="P39" s="12">
        <v>115.5</v>
      </c>
      <c r="Q39" s="12">
        <v>115.7</v>
      </c>
      <c r="R39" s="12">
        <v>114.8</v>
      </c>
      <c r="S39" s="12">
        <v>111.3</v>
      </c>
      <c r="T39" s="12">
        <v>114.3</v>
      </c>
      <c r="U39" s="12">
        <v>111.6</v>
      </c>
      <c r="V39" s="12">
        <v>111</v>
      </c>
      <c r="W39" s="12">
        <v>111.9</v>
      </c>
      <c r="X39" s="12">
        <v>109.7</v>
      </c>
      <c r="Y39" s="12">
        <v>110.8</v>
      </c>
      <c r="Z39" s="12">
        <v>109.8</v>
      </c>
      <c r="AA39" s="12">
        <v>111.5</v>
      </c>
      <c r="AB39" s="12">
        <v>108</v>
      </c>
      <c r="AC39" s="12">
        <v>110.5</v>
      </c>
      <c r="AD39" s="12">
        <v>112.9</v>
      </c>
    </row>
    <row r="40" spans="1:30" ht="15" customHeight="1" x14ac:dyDescent="0.2">
      <c r="A40" s="3" t="s">
        <v>89</v>
      </c>
      <c r="B40" s="12">
        <v>2014</v>
      </c>
      <c r="C40" s="3" t="s">
        <v>85</v>
      </c>
      <c r="D40" s="12">
        <v>119.6</v>
      </c>
      <c r="E40" s="12">
        <v>118.8</v>
      </c>
      <c r="F40" s="12">
        <v>124.1</v>
      </c>
      <c r="G40" s="12">
        <v>114.1</v>
      </c>
      <c r="H40" s="12">
        <v>106.8</v>
      </c>
      <c r="I40" s="12">
        <v>113.9</v>
      </c>
      <c r="J40" s="12">
        <v>122.2</v>
      </c>
      <c r="K40" s="12">
        <v>108.9</v>
      </c>
      <c r="L40" s="12">
        <v>100.2</v>
      </c>
      <c r="M40" s="12">
        <v>111</v>
      </c>
      <c r="N40" s="12">
        <v>112.3</v>
      </c>
      <c r="O40" s="12">
        <v>118.1</v>
      </c>
      <c r="P40" s="12">
        <v>115.8</v>
      </c>
      <c r="Q40" s="12">
        <v>114.5</v>
      </c>
      <c r="R40" s="12">
        <v>115.8</v>
      </c>
      <c r="S40" s="12">
        <v>113.2</v>
      </c>
      <c r="T40" s="12">
        <v>115.4</v>
      </c>
      <c r="U40" s="12">
        <v>111.6</v>
      </c>
      <c r="V40" s="12">
        <v>112.2</v>
      </c>
      <c r="W40" s="12">
        <v>112.3</v>
      </c>
      <c r="X40" s="12">
        <v>110.3</v>
      </c>
      <c r="Y40" s="12">
        <v>110.7</v>
      </c>
      <c r="Z40" s="12">
        <v>109.7</v>
      </c>
      <c r="AA40" s="12">
        <v>111.6</v>
      </c>
      <c r="AB40" s="12">
        <v>108.2</v>
      </c>
      <c r="AC40" s="12">
        <v>110.6</v>
      </c>
      <c r="AD40" s="12">
        <v>113.6</v>
      </c>
    </row>
    <row r="41" spans="1:30" ht="15" customHeight="1" x14ac:dyDescent="0.25">
      <c r="A41" s="3" t="s">
        <v>84</v>
      </c>
      <c r="B41" s="12">
        <v>2014</v>
      </c>
      <c r="C41" s="3" t="s">
        <v>90</v>
      </c>
      <c r="D41" s="12">
        <v>119.4</v>
      </c>
      <c r="E41" s="12">
        <v>117.7</v>
      </c>
      <c r="F41" s="12">
        <v>121.2</v>
      </c>
      <c r="G41" s="12">
        <v>115</v>
      </c>
      <c r="H41" s="12">
        <v>109</v>
      </c>
      <c r="I41" s="12">
        <v>116.6</v>
      </c>
      <c r="J41" s="12">
        <v>116</v>
      </c>
      <c r="K41" s="12">
        <v>109.8</v>
      </c>
      <c r="L41" s="12">
        <v>101.1</v>
      </c>
      <c r="M41" s="12">
        <v>110.4</v>
      </c>
      <c r="N41" s="12">
        <v>112.9</v>
      </c>
      <c r="O41" s="12">
        <v>117.8</v>
      </c>
      <c r="P41" s="12">
        <v>115.3</v>
      </c>
      <c r="Q41" s="12">
        <v>114.2</v>
      </c>
      <c r="R41" s="12">
        <v>117.1</v>
      </c>
      <c r="S41" s="12">
        <v>114.5</v>
      </c>
      <c r="T41" s="12">
        <v>116.7</v>
      </c>
      <c r="U41" s="13"/>
      <c r="V41" s="12">
        <v>113.2</v>
      </c>
      <c r="W41" s="12">
        <v>112.9</v>
      </c>
      <c r="X41" s="12">
        <v>110.9</v>
      </c>
      <c r="Y41" s="12">
        <v>110.8</v>
      </c>
      <c r="Z41" s="12">
        <v>109.9</v>
      </c>
      <c r="AA41" s="12">
        <v>112</v>
      </c>
      <c r="AB41" s="12">
        <v>108.7</v>
      </c>
      <c r="AC41" s="12">
        <v>110.9</v>
      </c>
      <c r="AD41" s="12">
        <v>114</v>
      </c>
    </row>
    <row r="42" spans="1:30" ht="15" customHeight="1" x14ac:dyDescent="0.2">
      <c r="A42" s="3" t="s">
        <v>87</v>
      </c>
      <c r="B42" s="12">
        <v>2014</v>
      </c>
      <c r="C42" s="3" t="s">
        <v>90</v>
      </c>
      <c r="D42" s="12">
        <v>121.9</v>
      </c>
      <c r="E42" s="12">
        <v>122</v>
      </c>
      <c r="F42" s="12">
        <v>124.5</v>
      </c>
      <c r="G42" s="12">
        <v>115.2</v>
      </c>
      <c r="H42" s="12">
        <v>102.5</v>
      </c>
      <c r="I42" s="12">
        <v>114.1</v>
      </c>
      <c r="J42" s="12">
        <v>111.5</v>
      </c>
      <c r="K42" s="12">
        <v>108.2</v>
      </c>
      <c r="L42" s="12">
        <v>95.4</v>
      </c>
      <c r="M42" s="12">
        <v>113.5</v>
      </c>
      <c r="N42" s="12">
        <v>112.1</v>
      </c>
      <c r="O42" s="12">
        <v>119.9</v>
      </c>
      <c r="P42" s="12">
        <v>115.2</v>
      </c>
      <c r="Q42" s="12">
        <v>116.2</v>
      </c>
      <c r="R42" s="12">
        <v>115.3</v>
      </c>
      <c r="S42" s="12">
        <v>111.7</v>
      </c>
      <c r="T42" s="12">
        <v>114.7</v>
      </c>
      <c r="U42" s="12">
        <v>112.5</v>
      </c>
      <c r="V42" s="12">
        <v>111.1</v>
      </c>
      <c r="W42" s="12">
        <v>112.6</v>
      </c>
      <c r="X42" s="12">
        <v>110.4</v>
      </c>
      <c r="Y42" s="12">
        <v>111.3</v>
      </c>
      <c r="Z42" s="12">
        <v>110.3</v>
      </c>
      <c r="AA42" s="12">
        <v>111.6</v>
      </c>
      <c r="AB42" s="12">
        <v>108.7</v>
      </c>
      <c r="AC42" s="12">
        <v>111</v>
      </c>
      <c r="AD42" s="12">
        <v>113.1</v>
      </c>
    </row>
    <row r="43" spans="1:30" ht="15" customHeight="1" x14ac:dyDescent="0.2">
      <c r="A43" s="3" t="s">
        <v>89</v>
      </c>
      <c r="B43" s="12">
        <v>2014</v>
      </c>
      <c r="C43" s="3" t="s">
        <v>90</v>
      </c>
      <c r="D43" s="12">
        <v>120.2</v>
      </c>
      <c r="E43" s="12">
        <v>119.2</v>
      </c>
      <c r="F43" s="12">
        <v>122.5</v>
      </c>
      <c r="G43" s="12">
        <v>115.1</v>
      </c>
      <c r="H43" s="12">
        <v>106.6</v>
      </c>
      <c r="I43" s="12">
        <v>115.4</v>
      </c>
      <c r="J43" s="12">
        <v>114.5</v>
      </c>
      <c r="K43" s="12">
        <v>109.3</v>
      </c>
      <c r="L43" s="12">
        <v>99.2</v>
      </c>
      <c r="M43" s="12">
        <v>111.4</v>
      </c>
      <c r="N43" s="12">
        <v>112.6</v>
      </c>
      <c r="O43" s="12">
        <v>118.8</v>
      </c>
      <c r="P43" s="12">
        <v>115.3</v>
      </c>
      <c r="Q43" s="12">
        <v>114.7</v>
      </c>
      <c r="R43" s="12">
        <v>116.4</v>
      </c>
      <c r="S43" s="12">
        <v>113.3</v>
      </c>
      <c r="T43" s="12">
        <v>115.9</v>
      </c>
      <c r="U43" s="12">
        <v>112.5</v>
      </c>
      <c r="V43" s="12">
        <v>112.4</v>
      </c>
      <c r="W43" s="12">
        <v>112.8</v>
      </c>
      <c r="X43" s="12">
        <v>110.7</v>
      </c>
      <c r="Y43" s="12">
        <v>111.1</v>
      </c>
      <c r="Z43" s="12">
        <v>110.1</v>
      </c>
      <c r="AA43" s="12">
        <v>111.8</v>
      </c>
      <c r="AB43" s="12">
        <v>108.7</v>
      </c>
      <c r="AC43" s="12">
        <v>110.9</v>
      </c>
      <c r="AD43" s="12">
        <v>113.6</v>
      </c>
    </row>
    <row r="44" spans="1:30" ht="15" customHeight="1" x14ac:dyDescent="0.25">
      <c r="A44" s="3" t="s">
        <v>84</v>
      </c>
      <c r="B44" s="12">
        <v>2014</v>
      </c>
      <c r="C44" s="3" t="s">
        <v>92</v>
      </c>
      <c r="D44" s="12">
        <v>120.1</v>
      </c>
      <c r="E44" s="12">
        <v>118.1</v>
      </c>
      <c r="F44" s="12">
        <v>120.7</v>
      </c>
      <c r="G44" s="12">
        <v>116.1</v>
      </c>
      <c r="H44" s="12">
        <v>109.3</v>
      </c>
      <c r="I44" s="12">
        <v>119.6</v>
      </c>
      <c r="J44" s="12">
        <v>117.9</v>
      </c>
      <c r="K44" s="12">
        <v>110.2</v>
      </c>
      <c r="L44" s="12">
        <v>101.2</v>
      </c>
      <c r="M44" s="12">
        <v>110.7</v>
      </c>
      <c r="N44" s="12">
        <v>113</v>
      </c>
      <c r="O44" s="12">
        <v>118.3</v>
      </c>
      <c r="P44" s="12">
        <v>116.2</v>
      </c>
      <c r="Q44" s="12">
        <v>114.6</v>
      </c>
      <c r="R44" s="12">
        <v>117.5</v>
      </c>
      <c r="S44" s="12">
        <v>114.9</v>
      </c>
      <c r="T44" s="12">
        <v>117.2</v>
      </c>
      <c r="U44" s="13"/>
      <c r="V44" s="12">
        <v>113.4</v>
      </c>
      <c r="W44" s="12">
        <v>113.4</v>
      </c>
      <c r="X44" s="12">
        <v>111.4</v>
      </c>
      <c r="Y44" s="12">
        <v>111.2</v>
      </c>
      <c r="Z44" s="12">
        <v>110.2</v>
      </c>
      <c r="AA44" s="12">
        <v>112.4</v>
      </c>
      <c r="AB44" s="12">
        <v>108.9</v>
      </c>
      <c r="AC44" s="12">
        <v>111.3</v>
      </c>
      <c r="AD44" s="12">
        <v>114.6</v>
      </c>
    </row>
    <row r="45" spans="1:30" ht="15" customHeight="1" x14ac:dyDescent="0.2">
      <c r="A45" s="3" t="s">
        <v>87</v>
      </c>
      <c r="B45" s="12">
        <v>2014</v>
      </c>
      <c r="C45" s="3" t="s">
        <v>92</v>
      </c>
      <c r="D45" s="12">
        <v>122.1</v>
      </c>
      <c r="E45" s="12">
        <v>121.4</v>
      </c>
      <c r="F45" s="12">
        <v>121.5</v>
      </c>
      <c r="G45" s="12">
        <v>116.2</v>
      </c>
      <c r="H45" s="12">
        <v>102.8</v>
      </c>
      <c r="I45" s="12">
        <v>117.7</v>
      </c>
      <c r="J45" s="12">
        <v>113.3</v>
      </c>
      <c r="K45" s="12">
        <v>108.9</v>
      </c>
      <c r="L45" s="12">
        <v>96.3</v>
      </c>
      <c r="M45" s="12">
        <v>114.1</v>
      </c>
      <c r="N45" s="12">
        <v>112.2</v>
      </c>
      <c r="O45" s="12">
        <v>120.5</v>
      </c>
      <c r="P45" s="12">
        <v>116</v>
      </c>
      <c r="Q45" s="12">
        <v>116.7</v>
      </c>
      <c r="R45" s="12">
        <v>115.8</v>
      </c>
      <c r="S45" s="12">
        <v>112.1</v>
      </c>
      <c r="T45" s="12">
        <v>115.2</v>
      </c>
      <c r="U45" s="12">
        <v>113.2</v>
      </c>
      <c r="V45" s="12">
        <v>110.9</v>
      </c>
      <c r="W45" s="12">
        <v>113</v>
      </c>
      <c r="X45" s="12">
        <v>110.8</v>
      </c>
      <c r="Y45" s="12">
        <v>111.6</v>
      </c>
      <c r="Z45" s="12">
        <v>110.9</v>
      </c>
      <c r="AA45" s="12">
        <v>111.8</v>
      </c>
      <c r="AB45" s="12">
        <v>109.2</v>
      </c>
      <c r="AC45" s="12">
        <v>111.4</v>
      </c>
      <c r="AD45" s="12">
        <v>113.7</v>
      </c>
    </row>
    <row r="46" spans="1:30" ht="15" customHeight="1" x14ac:dyDescent="0.2">
      <c r="A46" s="3" t="s">
        <v>89</v>
      </c>
      <c r="B46" s="12">
        <v>2014</v>
      </c>
      <c r="C46" s="3" t="s">
        <v>92</v>
      </c>
      <c r="D46" s="12">
        <v>120.7</v>
      </c>
      <c r="E46" s="12">
        <v>119.3</v>
      </c>
      <c r="F46" s="12">
        <v>121</v>
      </c>
      <c r="G46" s="12">
        <v>116.1</v>
      </c>
      <c r="H46" s="12">
        <v>106.9</v>
      </c>
      <c r="I46" s="12">
        <v>118.7</v>
      </c>
      <c r="J46" s="12">
        <v>116.3</v>
      </c>
      <c r="K46" s="12">
        <v>109.8</v>
      </c>
      <c r="L46" s="12">
        <v>99.6</v>
      </c>
      <c r="M46" s="12">
        <v>111.8</v>
      </c>
      <c r="N46" s="12">
        <v>112.7</v>
      </c>
      <c r="O46" s="12">
        <v>119.3</v>
      </c>
      <c r="P46" s="12">
        <v>116.1</v>
      </c>
      <c r="Q46" s="12">
        <v>115.2</v>
      </c>
      <c r="R46" s="12">
        <v>116.8</v>
      </c>
      <c r="S46" s="12">
        <v>113.7</v>
      </c>
      <c r="T46" s="12">
        <v>116.4</v>
      </c>
      <c r="U46" s="12">
        <v>113.2</v>
      </c>
      <c r="V46" s="12">
        <v>112.5</v>
      </c>
      <c r="W46" s="12">
        <v>113.2</v>
      </c>
      <c r="X46" s="12">
        <v>111.2</v>
      </c>
      <c r="Y46" s="12">
        <v>111.4</v>
      </c>
      <c r="Z46" s="12">
        <v>110.6</v>
      </c>
      <c r="AA46" s="12">
        <v>112</v>
      </c>
      <c r="AB46" s="12">
        <v>109</v>
      </c>
      <c r="AC46" s="12">
        <v>111.3</v>
      </c>
      <c r="AD46" s="12">
        <v>114.2</v>
      </c>
    </row>
    <row r="47" spans="1:30" ht="15" customHeight="1" x14ac:dyDescent="0.25">
      <c r="A47" s="3" t="s">
        <v>84</v>
      </c>
      <c r="B47" s="12">
        <v>2014</v>
      </c>
      <c r="C47" s="3" t="s">
        <v>93</v>
      </c>
      <c r="D47" s="12">
        <v>120.2</v>
      </c>
      <c r="E47" s="12">
        <v>118.9</v>
      </c>
      <c r="F47" s="12">
        <v>118.1</v>
      </c>
      <c r="G47" s="12">
        <v>117</v>
      </c>
      <c r="H47" s="12">
        <v>109.7</v>
      </c>
      <c r="I47" s="12">
        <v>125.5</v>
      </c>
      <c r="J47" s="12">
        <v>120.5</v>
      </c>
      <c r="K47" s="12">
        <v>111</v>
      </c>
      <c r="L47" s="12">
        <v>102.6</v>
      </c>
      <c r="M47" s="12">
        <v>111.2</v>
      </c>
      <c r="N47" s="12">
        <v>113.5</v>
      </c>
      <c r="O47" s="12">
        <v>118.7</v>
      </c>
      <c r="P47" s="12">
        <v>117.2</v>
      </c>
      <c r="Q47" s="12">
        <v>115.4</v>
      </c>
      <c r="R47" s="12">
        <v>118.1</v>
      </c>
      <c r="S47" s="12">
        <v>116.1</v>
      </c>
      <c r="T47" s="12">
        <v>117.8</v>
      </c>
      <c r="U47" s="13"/>
      <c r="V47" s="12">
        <v>113.4</v>
      </c>
      <c r="W47" s="12">
        <v>113.7</v>
      </c>
      <c r="X47" s="12">
        <v>111.8</v>
      </c>
      <c r="Y47" s="12">
        <v>111.2</v>
      </c>
      <c r="Z47" s="12">
        <v>110.5</v>
      </c>
      <c r="AA47" s="12">
        <v>113</v>
      </c>
      <c r="AB47" s="12">
        <v>108.9</v>
      </c>
      <c r="AC47" s="12">
        <v>111.5</v>
      </c>
      <c r="AD47" s="12">
        <v>115.4</v>
      </c>
    </row>
    <row r="48" spans="1:30" ht="15" customHeight="1" x14ac:dyDescent="0.2">
      <c r="A48" s="3" t="s">
        <v>87</v>
      </c>
      <c r="B48" s="12">
        <v>2014</v>
      </c>
      <c r="C48" s="3" t="s">
        <v>93</v>
      </c>
      <c r="D48" s="12">
        <v>122.5</v>
      </c>
      <c r="E48" s="12">
        <v>121.7</v>
      </c>
      <c r="F48" s="12">
        <v>113.3</v>
      </c>
      <c r="G48" s="12">
        <v>117</v>
      </c>
      <c r="H48" s="12">
        <v>103.1</v>
      </c>
      <c r="I48" s="12">
        <v>126.7</v>
      </c>
      <c r="J48" s="12">
        <v>121.2</v>
      </c>
      <c r="K48" s="12">
        <v>111</v>
      </c>
      <c r="L48" s="12">
        <v>100.3</v>
      </c>
      <c r="M48" s="12">
        <v>115.3</v>
      </c>
      <c r="N48" s="12">
        <v>112.7</v>
      </c>
      <c r="O48" s="12">
        <v>121</v>
      </c>
      <c r="P48" s="12">
        <v>118.2</v>
      </c>
      <c r="Q48" s="12">
        <v>117.6</v>
      </c>
      <c r="R48" s="12">
        <v>116.3</v>
      </c>
      <c r="S48" s="12">
        <v>112.5</v>
      </c>
      <c r="T48" s="12">
        <v>115.7</v>
      </c>
      <c r="U48" s="12">
        <v>113.9</v>
      </c>
      <c r="V48" s="12">
        <v>110.9</v>
      </c>
      <c r="W48" s="12">
        <v>113.4</v>
      </c>
      <c r="X48" s="12">
        <v>111</v>
      </c>
      <c r="Y48" s="12">
        <v>111.2</v>
      </c>
      <c r="Z48" s="12">
        <v>111.2</v>
      </c>
      <c r="AA48" s="12">
        <v>112.5</v>
      </c>
      <c r="AB48" s="12">
        <v>109.1</v>
      </c>
      <c r="AC48" s="12">
        <v>111.4</v>
      </c>
      <c r="AD48" s="12">
        <v>114.7</v>
      </c>
    </row>
    <row r="49" spans="1:30" ht="15" customHeight="1" x14ac:dyDescent="0.2">
      <c r="A49" s="3" t="s">
        <v>89</v>
      </c>
      <c r="B49" s="12">
        <v>2014</v>
      </c>
      <c r="C49" s="3" t="s">
        <v>93</v>
      </c>
      <c r="D49" s="12">
        <v>120.9</v>
      </c>
      <c r="E49" s="12">
        <v>119.9</v>
      </c>
      <c r="F49" s="12">
        <v>116.2</v>
      </c>
      <c r="G49" s="12">
        <v>117</v>
      </c>
      <c r="H49" s="12">
        <v>107.3</v>
      </c>
      <c r="I49" s="12">
        <v>126.1</v>
      </c>
      <c r="J49" s="12">
        <v>120.7</v>
      </c>
      <c r="K49" s="12">
        <v>111</v>
      </c>
      <c r="L49" s="12">
        <v>101.8</v>
      </c>
      <c r="M49" s="12">
        <v>112.6</v>
      </c>
      <c r="N49" s="12">
        <v>113.2</v>
      </c>
      <c r="O49" s="12">
        <v>119.8</v>
      </c>
      <c r="P49" s="12">
        <v>117.6</v>
      </c>
      <c r="Q49" s="12">
        <v>116</v>
      </c>
      <c r="R49" s="12">
        <v>117.4</v>
      </c>
      <c r="S49" s="12">
        <v>114.6</v>
      </c>
      <c r="T49" s="12">
        <v>117</v>
      </c>
      <c r="U49" s="12">
        <v>113.9</v>
      </c>
      <c r="V49" s="12">
        <v>112.5</v>
      </c>
      <c r="W49" s="12">
        <v>113.6</v>
      </c>
      <c r="X49" s="12">
        <v>111.5</v>
      </c>
      <c r="Y49" s="12">
        <v>111.2</v>
      </c>
      <c r="Z49" s="12">
        <v>110.9</v>
      </c>
      <c r="AA49" s="12">
        <v>112.7</v>
      </c>
      <c r="AB49" s="12">
        <v>109</v>
      </c>
      <c r="AC49" s="12">
        <v>111.5</v>
      </c>
      <c r="AD49" s="12">
        <v>115.1</v>
      </c>
    </row>
    <row r="50" spans="1:30" ht="15" customHeight="1" x14ac:dyDescent="0.25">
      <c r="A50" s="3" t="s">
        <v>84</v>
      </c>
      <c r="B50" s="12">
        <v>2014</v>
      </c>
      <c r="C50" s="3" t="s">
        <v>95</v>
      </c>
      <c r="D50" s="12">
        <v>120.3</v>
      </c>
      <c r="E50" s="12">
        <v>120.2</v>
      </c>
      <c r="F50" s="12">
        <v>116.9</v>
      </c>
      <c r="G50" s="12">
        <v>118</v>
      </c>
      <c r="H50" s="12">
        <v>110.1</v>
      </c>
      <c r="I50" s="12">
        <v>126.3</v>
      </c>
      <c r="J50" s="12">
        <v>123.9</v>
      </c>
      <c r="K50" s="12">
        <v>111.5</v>
      </c>
      <c r="L50" s="12">
        <v>103.5</v>
      </c>
      <c r="M50" s="12">
        <v>111.6</v>
      </c>
      <c r="N50" s="12">
        <v>114.2</v>
      </c>
      <c r="O50" s="12">
        <v>119.2</v>
      </c>
      <c r="P50" s="12">
        <v>118.2</v>
      </c>
      <c r="Q50" s="12">
        <v>116.3</v>
      </c>
      <c r="R50" s="12">
        <v>118.7</v>
      </c>
      <c r="S50" s="12">
        <v>116.8</v>
      </c>
      <c r="T50" s="12">
        <v>118.5</v>
      </c>
      <c r="U50" s="13"/>
      <c r="V50" s="12">
        <v>113.4</v>
      </c>
      <c r="W50" s="12">
        <v>114.1</v>
      </c>
      <c r="X50" s="12">
        <v>112.1</v>
      </c>
      <c r="Y50" s="12">
        <v>111.4</v>
      </c>
      <c r="Z50" s="12">
        <v>110.9</v>
      </c>
      <c r="AA50" s="12">
        <v>113.1</v>
      </c>
      <c r="AB50" s="12">
        <v>108.9</v>
      </c>
      <c r="AC50" s="12">
        <v>111.8</v>
      </c>
      <c r="AD50" s="12">
        <v>116</v>
      </c>
    </row>
    <row r="51" spans="1:30" ht="15" customHeight="1" x14ac:dyDescent="0.2">
      <c r="A51" s="3" t="s">
        <v>87</v>
      </c>
      <c r="B51" s="12">
        <v>2014</v>
      </c>
      <c r="C51" s="3" t="s">
        <v>95</v>
      </c>
      <c r="D51" s="12">
        <v>122.7</v>
      </c>
      <c r="E51" s="12">
        <v>124.1</v>
      </c>
      <c r="F51" s="12">
        <v>114.2</v>
      </c>
      <c r="G51" s="12">
        <v>119.1</v>
      </c>
      <c r="H51" s="12">
        <v>103.5</v>
      </c>
      <c r="I51" s="12">
        <v>129.19999999999999</v>
      </c>
      <c r="J51" s="12">
        <v>127</v>
      </c>
      <c r="K51" s="12">
        <v>112.6</v>
      </c>
      <c r="L51" s="12">
        <v>101.3</v>
      </c>
      <c r="M51" s="12">
        <v>117</v>
      </c>
      <c r="N51" s="12">
        <v>112.9</v>
      </c>
      <c r="O51" s="12">
        <v>121.7</v>
      </c>
      <c r="P51" s="12">
        <v>120</v>
      </c>
      <c r="Q51" s="12">
        <v>118.3</v>
      </c>
      <c r="R51" s="12">
        <v>116.8</v>
      </c>
      <c r="S51" s="12">
        <v>112.9</v>
      </c>
      <c r="T51" s="12">
        <v>116.2</v>
      </c>
      <c r="U51" s="12">
        <v>114.3</v>
      </c>
      <c r="V51" s="12">
        <v>111.1</v>
      </c>
      <c r="W51" s="12">
        <v>114.1</v>
      </c>
      <c r="X51" s="12">
        <v>111.2</v>
      </c>
      <c r="Y51" s="12">
        <v>111.3</v>
      </c>
      <c r="Z51" s="12">
        <v>111.5</v>
      </c>
      <c r="AA51" s="12">
        <v>112.9</v>
      </c>
      <c r="AB51" s="12">
        <v>109.3</v>
      </c>
      <c r="AC51" s="12">
        <v>111.7</v>
      </c>
      <c r="AD51" s="12">
        <v>115.6</v>
      </c>
    </row>
    <row r="52" spans="1:30" ht="15" customHeight="1" x14ac:dyDescent="0.2">
      <c r="A52" s="3" t="s">
        <v>89</v>
      </c>
      <c r="B52" s="12">
        <v>2014</v>
      </c>
      <c r="C52" s="3" t="s">
        <v>95</v>
      </c>
      <c r="D52" s="12">
        <v>121.1</v>
      </c>
      <c r="E52" s="12">
        <v>121.6</v>
      </c>
      <c r="F52" s="12">
        <v>115.9</v>
      </c>
      <c r="G52" s="12">
        <v>118.4</v>
      </c>
      <c r="H52" s="12">
        <v>107.7</v>
      </c>
      <c r="I52" s="12">
        <v>127.7</v>
      </c>
      <c r="J52" s="12">
        <v>125</v>
      </c>
      <c r="K52" s="12">
        <v>111.9</v>
      </c>
      <c r="L52" s="12">
        <v>102.8</v>
      </c>
      <c r="M52" s="12">
        <v>113.4</v>
      </c>
      <c r="N52" s="12">
        <v>113.7</v>
      </c>
      <c r="O52" s="12">
        <v>120.4</v>
      </c>
      <c r="P52" s="12">
        <v>118.9</v>
      </c>
      <c r="Q52" s="12">
        <v>116.8</v>
      </c>
      <c r="R52" s="12">
        <v>118</v>
      </c>
      <c r="S52" s="12">
        <v>115.2</v>
      </c>
      <c r="T52" s="12">
        <v>117.6</v>
      </c>
      <c r="U52" s="12">
        <v>114.3</v>
      </c>
      <c r="V52" s="12">
        <v>112.5</v>
      </c>
      <c r="W52" s="12">
        <v>114.1</v>
      </c>
      <c r="X52" s="12">
        <v>111.8</v>
      </c>
      <c r="Y52" s="12">
        <v>111.3</v>
      </c>
      <c r="Z52" s="12">
        <v>111.2</v>
      </c>
      <c r="AA52" s="12">
        <v>113</v>
      </c>
      <c r="AB52" s="12">
        <v>109.1</v>
      </c>
      <c r="AC52" s="12">
        <v>111.8</v>
      </c>
      <c r="AD52" s="12">
        <v>115.8</v>
      </c>
    </row>
    <row r="53" spans="1:30" ht="15" customHeight="1" x14ac:dyDescent="0.25">
      <c r="A53" s="3" t="s">
        <v>84</v>
      </c>
      <c r="B53" s="12">
        <v>2014</v>
      </c>
      <c r="C53" s="3" t="s">
        <v>96</v>
      </c>
      <c r="D53" s="12">
        <v>120.7</v>
      </c>
      <c r="E53" s="12">
        <v>121.6</v>
      </c>
      <c r="F53" s="12">
        <v>116.1</v>
      </c>
      <c r="G53" s="12">
        <v>119.3</v>
      </c>
      <c r="H53" s="12">
        <v>110.3</v>
      </c>
      <c r="I53" s="12">
        <v>125.8</v>
      </c>
      <c r="J53" s="12">
        <v>129.30000000000001</v>
      </c>
      <c r="K53" s="12">
        <v>112.2</v>
      </c>
      <c r="L53" s="12">
        <v>103.6</v>
      </c>
      <c r="M53" s="12">
        <v>112.3</v>
      </c>
      <c r="N53" s="12">
        <v>114.9</v>
      </c>
      <c r="O53" s="12">
        <v>120.1</v>
      </c>
      <c r="P53" s="12">
        <v>119.5</v>
      </c>
      <c r="Q53" s="12">
        <v>117.3</v>
      </c>
      <c r="R53" s="12">
        <v>119.7</v>
      </c>
      <c r="S53" s="12">
        <v>117.3</v>
      </c>
      <c r="T53" s="12">
        <v>119.3</v>
      </c>
      <c r="U53" s="13"/>
      <c r="V53" s="12">
        <v>114.4</v>
      </c>
      <c r="W53" s="12">
        <v>114.9</v>
      </c>
      <c r="X53" s="12">
        <v>112.8</v>
      </c>
      <c r="Y53" s="12">
        <v>112.2</v>
      </c>
      <c r="Z53" s="12">
        <v>111.4</v>
      </c>
      <c r="AA53" s="12">
        <v>114.3</v>
      </c>
      <c r="AB53" s="12">
        <v>108</v>
      </c>
      <c r="AC53" s="12">
        <v>112.3</v>
      </c>
      <c r="AD53" s="12">
        <v>117</v>
      </c>
    </row>
    <row r="54" spans="1:30" ht="15" customHeight="1" x14ac:dyDescent="0.2">
      <c r="A54" s="3" t="s">
        <v>87</v>
      </c>
      <c r="B54" s="12">
        <v>2014</v>
      </c>
      <c r="C54" s="3" t="s">
        <v>96</v>
      </c>
      <c r="D54" s="12">
        <v>123.1</v>
      </c>
      <c r="E54" s="12">
        <v>125.9</v>
      </c>
      <c r="F54" s="12">
        <v>115.4</v>
      </c>
      <c r="G54" s="12">
        <v>120.4</v>
      </c>
      <c r="H54" s="12">
        <v>103.4</v>
      </c>
      <c r="I54" s="12">
        <v>131.19999999999999</v>
      </c>
      <c r="J54" s="12">
        <v>137.5</v>
      </c>
      <c r="K54" s="12">
        <v>112.8</v>
      </c>
      <c r="L54" s="12">
        <v>101.4</v>
      </c>
      <c r="M54" s="12">
        <v>118.3</v>
      </c>
      <c r="N54" s="12">
        <v>113.2</v>
      </c>
      <c r="O54" s="12">
        <v>122.4</v>
      </c>
      <c r="P54" s="12">
        <v>122</v>
      </c>
      <c r="Q54" s="12">
        <v>119</v>
      </c>
      <c r="R54" s="12">
        <v>117.4</v>
      </c>
      <c r="S54" s="12">
        <v>113.2</v>
      </c>
      <c r="T54" s="12">
        <v>116.7</v>
      </c>
      <c r="U54" s="12">
        <v>113.9</v>
      </c>
      <c r="V54" s="12">
        <v>111.2</v>
      </c>
      <c r="W54" s="12">
        <v>114.3</v>
      </c>
      <c r="X54" s="12">
        <v>111.4</v>
      </c>
      <c r="Y54" s="12">
        <v>111.5</v>
      </c>
      <c r="Z54" s="12">
        <v>111.8</v>
      </c>
      <c r="AA54" s="12">
        <v>115.1</v>
      </c>
      <c r="AB54" s="12">
        <v>108.7</v>
      </c>
      <c r="AC54" s="12">
        <v>112.2</v>
      </c>
      <c r="AD54" s="12">
        <v>116.4</v>
      </c>
    </row>
    <row r="55" spans="1:30" ht="15" customHeight="1" x14ac:dyDescent="0.2">
      <c r="A55" s="3" t="s">
        <v>89</v>
      </c>
      <c r="B55" s="12">
        <v>2014</v>
      </c>
      <c r="C55" s="3" t="s">
        <v>96</v>
      </c>
      <c r="D55" s="12">
        <v>121.5</v>
      </c>
      <c r="E55" s="12">
        <v>123.1</v>
      </c>
      <c r="F55" s="12">
        <v>115.8</v>
      </c>
      <c r="G55" s="12">
        <v>119.7</v>
      </c>
      <c r="H55" s="12">
        <v>107.8</v>
      </c>
      <c r="I55" s="12">
        <v>128.30000000000001</v>
      </c>
      <c r="J55" s="12">
        <v>132.1</v>
      </c>
      <c r="K55" s="12">
        <v>112.4</v>
      </c>
      <c r="L55" s="12">
        <v>102.9</v>
      </c>
      <c r="M55" s="12">
        <v>114.3</v>
      </c>
      <c r="N55" s="12">
        <v>114.2</v>
      </c>
      <c r="O55" s="12">
        <v>121.2</v>
      </c>
      <c r="P55" s="12">
        <v>120.4</v>
      </c>
      <c r="Q55" s="12">
        <v>117.8</v>
      </c>
      <c r="R55" s="12">
        <v>118.8</v>
      </c>
      <c r="S55" s="12">
        <v>115.6</v>
      </c>
      <c r="T55" s="12">
        <v>118.3</v>
      </c>
      <c r="U55" s="12">
        <v>113.9</v>
      </c>
      <c r="V55" s="12">
        <v>113.2</v>
      </c>
      <c r="W55" s="12">
        <v>114.6</v>
      </c>
      <c r="X55" s="12">
        <v>112.3</v>
      </c>
      <c r="Y55" s="12">
        <v>111.8</v>
      </c>
      <c r="Z55" s="12">
        <v>111.6</v>
      </c>
      <c r="AA55" s="12">
        <v>114.8</v>
      </c>
      <c r="AB55" s="12">
        <v>108.3</v>
      </c>
      <c r="AC55" s="12">
        <v>112.3</v>
      </c>
      <c r="AD55" s="12">
        <v>116.7</v>
      </c>
    </row>
    <row r="56" spans="1:30" ht="15" customHeight="1" x14ac:dyDescent="0.25">
      <c r="A56" s="3" t="s">
        <v>84</v>
      </c>
      <c r="B56" s="12">
        <v>2014</v>
      </c>
      <c r="C56" s="3" t="s">
        <v>98</v>
      </c>
      <c r="D56" s="12">
        <v>121.7</v>
      </c>
      <c r="E56" s="12">
        <v>122.5</v>
      </c>
      <c r="F56" s="12">
        <v>117.7</v>
      </c>
      <c r="G56" s="12">
        <v>120.6</v>
      </c>
      <c r="H56" s="12">
        <v>110.4</v>
      </c>
      <c r="I56" s="12">
        <v>129.1</v>
      </c>
      <c r="J56" s="12">
        <v>150.1</v>
      </c>
      <c r="K56" s="12">
        <v>113.2</v>
      </c>
      <c r="L56" s="12">
        <v>104.8</v>
      </c>
      <c r="M56" s="12">
        <v>113.3</v>
      </c>
      <c r="N56" s="12">
        <v>115.6</v>
      </c>
      <c r="O56" s="12">
        <v>120.9</v>
      </c>
      <c r="P56" s="12">
        <v>123.3</v>
      </c>
      <c r="Q56" s="12">
        <v>118</v>
      </c>
      <c r="R56" s="12">
        <v>120.7</v>
      </c>
      <c r="S56" s="12">
        <v>118.3</v>
      </c>
      <c r="T56" s="12">
        <v>120.3</v>
      </c>
      <c r="U56" s="13"/>
      <c r="V56" s="12">
        <v>115.3</v>
      </c>
      <c r="W56" s="12">
        <v>115.4</v>
      </c>
      <c r="X56" s="12">
        <v>113.4</v>
      </c>
      <c r="Y56" s="12">
        <v>113.2</v>
      </c>
      <c r="Z56" s="12">
        <v>111.8</v>
      </c>
      <c r="AA56" s="12">
        <v>115.5</v>
      </c>
      <c r="AB56" s="12">
        <v>108.8</v>
      </c>
      <c r="AC56" s="12">
        <v>113.1</v>
      </c>
      <c r="AD56" s="12">
        <v>119.5</v>
      </c>
    </row>
    <row r="57" spans="1:30" ht="15" customHeight="1" x14ac:dyDescent="0.2">
      <c r="A57" s="3" t="s">
        <v>87</v>
      </c>
      <c r="B57" s="12">
        <v>2014</v>
      </c>
      <c r="C57" s="3" t="s">
        <v>98</v>
      </c>
      <c r="D57" s="12">
        <v>123.8</v>
      </c>
      <c r="E57" s="12">
        <v>126.4</v>
      </c>
      <c r="F57" s="12">
        <v>118</v>
      </c>
      <c r="G57" s="12">
        <v>121.6</v>
      </c>
      <c r="H57" s="12">
        <v>103.5</v>
      </c>
      <c r="I57" s="12">
        <v>133.69999999999999</v>
      </c>
      <c r="J57" s="12">
        <v>172.4</v>
      </c>
      <c r="K57" s="12">
        <v>113.1</v>
      </c>
      <c r="L57" s="12">
        <v>102.7</v>
      </c>
      <c r="M57" s="12">
        <v>120</v>
      </c>
      <c r="N57" s="12">
        <v>113.8</v>
      </c>
      <c r="O57" s="12">
        <v>123.4</v>
      </c>
      <c r="P57" s="12">
        <v>127.1</v>
      </c>
      <c r="Q57" s="12">
        <v>121</v>
      </c>
      <c r="R57" s="12">
        <v>118</v>
      </c>
      <c r="S57" s="12">
        <v>113.6</v>
      </c>
      <c r="T57" s="12">
        <v>117.4</v>
      </c>
      <c r="U57" s="12">
        <v>114.8</v>
      </c>
      <c r="V57" s="12">
        <v>111.6</v>
      </c>
      <c r="W57" s="12">
        <v>114.9</v>
      </c>
      <c r="X57" s="12">
        <v>111.5</v>
      </c>
      <c r="Y57" s="12">
        <v>113</v>
      </c>
      <c r="Z57" s="12">
        <v>112.4</v>
      </c>
      <c r="AA57" s="12">
        <v>117.8</v>
      </c>
      <c r="AB57" s="12">
        <v>109.7</v>
      </c>
      <c r="AC57" s="12">
        <v>113.5</v>
      </c>
      <c r="AD57" s="12">
        <v>118.9</v>
      </c>
    </row>
    <row r="58" spans="1:30" ht="15" customHeight="1" x14ac:dyDescent="0.2">
      <c r="A58" s="3" t="s">
        <v>89</v>
      </c>
      <c r="B58" s="12">
        <v>2014</v>
      </c>
      <c r="C58" s="3" t="s">
        <v>98</v>
      </c>
      <c r="D58" s="12">
        <v>122.4</v>
      </c>
      <c r="E58" s="12">
        <v>123.9</v>
      </c>
      <c r="F58" s="12">
        <v>117.8</v>
      </c>
      <c r="G58" s="12">
        <v>121</v>
      </c>
      <c r="H58" s="12">
        <v>107.9</v>
      </c>
      <c r="I58" s="12">
        <v>131.19999999999999</v>
      </c>
      <c r="J58" s="12">
        <v>157.69999999999999</v>
      </c>
      <c r="K58" s="12">
        <v>113.2</v>
      </c>
      <c r="L58" s="12">
        <v>104.1</v>
      </c>
      <c r="M58" s="12">
        <v>115.5</v>
      </c>
      <c r="N58" s="12">
        <v>114.8</v>
      </c>
      <c r="O58" s="12">
        <v>122.1</v>
      </c>
      <c r="P58" s="12">
        <v>124.7</v>
      </c>
      <c r="Q58" s="12">
        <v>118.8</v>
      </c>
      <c r="R58" s="12">
        <v>119.6</v>
      </c>
      <c r="S58" s="12">
        <v>116.3</v>
      </c>
      <c r="T58" s="12">
        <v>119.1</v>
      </c>
      <c r="U58" s="12">
        <v>114.8</v>
      </c>
      <c r="V58" s="12">
        <v>113.9</v>
      </c>
      <c r="W58" s="12">
        <v>115.2</v>
      </c>
      <c r="X58" s="12">
        <v>112.7</v>
      </c>
      <c r="Y58" s="12">
        <v>113.1</v>
      </c>
      <c r="Z58" s="12">
        <v>112.1</v>
      </c>
      <c r="AA58" s="12">
        <v>116.8</v>
      </c>
      <c r="AB58" s="12">
        <v>109.2</v>
      </c>
      <c r="AC58" s="12">
        <v>113.3</v>
      </c>
      <c r="AD58" s="12">
        <v>119.2</v>
      </c>
    </row>
    <row r="59" spans="1:30" ht="15" customHeight="1" x14ac:dyDescent="0.25">
      <c r="A59" s="3" t="s">
        <v>84</v>
      </c>
      <c r="B59" s="12">
        <v>2014</v>
      </c>
      <c r="C59" s="3" t="s">
        <v>100</v>
      </c>
      <c r="D59" s="12">
        <v>121.8</v>
      </c>
      <c r="E59" s="12">
        <v>122.8</v>
      </c>
      <c r="F59" s="12">
        <v>117.8</v>
      </c>
      <c r="G59" s="12">
        <v>121.9</v>
      </c>
      <c r="H59" s="12">
        <v>110.6</v>
      </c>
      <c r="I59" s="12">
        <v>129.69999999999999</v>
      </c>
      <c r="J59" s="12">
        <v>161.1</v>
      </c>
      <c r="K59" s="12">
        <v>114.1</v>
      </c>
      <c r="L59" s="12">
        <v>105.1</v>
      </c>
      <c r="M59" s="12">
        <v>114.6</v>
      </c>
      <c r="N59" s="12">
        <v>115.8</v>
      </c>
      <c r="O59" s="12">
        <v>121.7</v>
      </c>
      <c r="P59" s="12">
        <v>125.3</v>
      </c>
      <c r="Q59" s="12">
        <v>118.8</v>
      </c>
      <c r="R59" s="12">
        <v>120.9</v>
      </c>
      <c r="S59" s="12">
        <v>118.8</v>
      </c>
      <c r="T59" s="12">
        <v>120.7</v>
      </c>
      <c r="U59" s="13"/>
      <c r="V59" s="12">
        <v>115.4</v>
      </c>
      <c r="W59" s="12">
        <v>115.9</v>
      </c>
      <c r="X59" s="12">
        <v>114</v>
      </c>
      <c r="Y59" s="12">
        <v>113.2</v>
      </c>
      <c r="Z59" s="12">
        <v>112.2</v>
      </c>
      <c r="AA59" s="12">
        <v>116.2</v>
      </c>
      <c r="AB59" s="12">
        <v>109.4</v>
      </c>
      <c r="AC59" s="12">
        <v>113.5</v>
      </c>
      <c r="AD59" s="12">
        <v>120.7</v>
      </c>
    </row>
    <row r="60" spans="1:30" ht="15" customHeight="1" x14ac:dyDescent="0.2">
      <c r="A60" s="3" t="s">
        <v>87</v>
      </c>
      <c r="B60" s="12">
        <v>2014</v>
      </c>
      <c r="C60" s="3" t="s">
        <v>100</v>
      </c>
      <c r="D60" s="12">
        <v>124.8</v>
      </c>
      <c r="E60" s="12">
        <v>127.3</v>
      </c>
      <c r="F60" s="12">
        <v>116.5</v>
      </c>
      <c r="G60" s="12">
        <v>122.2</v>
      </c>
      <c r="H60" s="12">
        <v>103.6</v>
      </c>
      <c r="I60" s="12">
        <v>132.69999999999999</v>
      </c>
      <c r="J60" s="12">
        <v>181.9</v>
      </c>
      <c r="K60" s="12">
        <v>115.2</v>
      </c>
      <c r="L60" s="12">
        <v>102.7</v>
      </c>
      <c r="M60" s="12">
        <v>122.1</v>
      </c>
      <c r="N60" s="12">
        <v>114.4</v>
      </c>
      <c r="O60" s="12">
        <v>124.7</v>
      </c>
      <c r="P60" s="12">
        <v>128.9</v>
      </c>
      <c r="Q60" s="12">
        <v>123</v>
      </c>
      <c r="R60" s="12">
        <v>118.6</v>
      </c>
      <c r="S60" s="12">
        <v>114.1</v>
      </c>
      <c r="T60" s="12">
        <v>117.9</v>
      </c>
      <c r="U60" s="12">
        <v>115.5</v>
      </c>
      <c r="V60" s="12">
        <v>111.8</v>
      </c>
      <c r="W60" s="12">
        <v>115.3</v>
      </c>
      <c r="X60" s="12">
        <v>112.2</v>
      </c>
      <c r="Y60" s="12">
        <v>112.5</v>
      </c>
      <c r="Z60" s="12">
        <v>112.9</v>
      </c>
      <c r="AA60" s="12">
        <v>119.2</v>
      </c>
      <c r="AB60" s="12">
        <v>110.5</v>
      </c>
      <c r="AC60" s="12">
        <v>113.9</v>
      </c>
      <c r="AD60" s="12">
        <v>119.9</v>
      </c>
    </row>
    <row r="61" spans="1:30" ht="15" customHeight="1" x14ac:dyDescent="0.2">
      <c r="A61" s="3" t="s">
        <v>89</v>
      </c>
      <c r="B61" s="12">
        <v>2014</v>
      </c>
      <c r="C61" s="3" t="s">
        <v>100</v>
      </c>
      <c r="D61" s="12">
        <v>122.7</v>
      </c>
      <c r="E61" s="12">
        <v>124.4</v>
      </c>
      <c r="F61" s="12">
        <v>117.3</v>
      </c>
      <c r="G61" s="12">
        <v>122</v>
      </c>
      <c r="H61" s="12">
        <v>108</v>
      </c>
      <c r="I61" s="12">
        <v>131.1</v>
      </c>
      <c r="J61" s="12">
        <v>168.2</v>
      </c>
      <c r="K61" s="12">
        <v>114.5</v>
      </c>
      <c r="L61" s="12">
        <v>104.3</v>
      </c>
      <c r="M61" s="12">
        <v>117.1</v>
      </c>
      <c r="N61" s="12">
        <v>115.2</v>
      </c>
      <c r="O61" s="12">
        <v>123.1</v>
      </c>
      <c r="P61" s="12">
        <v>126.6</v>
      </c>
      <c r="Q61" s="12">
        <v>119.9</v>
      </c>
      <c r="R61" s="12">
        <v>120</v>
      </c>
      <c r="S61" s="12">
        <v>116.8</v>
      </c>
      <c r="T61" s="12">
        <v>119.6</v>
      </c>
      <c r="U61" s="12">
        <v>115.5</v>
      </c>
      <c r="V61" s="12">
        <v>114</v>
      </c>
      <c r="W61" s="12">
        <v>115.6</v>
      </c>
      <c r="X61" s="12">
        <v>113.3</v>
      </c>
      <c r="Y61" s="12">
        <v>112.8</v>
      </c>
      <c r="Z61" s="12">
        <v>112.6</v>
      </c>
      <c r="AA61" s="12">
        <v>118</v>
      </c>
      <c r="AB61" s="12">
        <v>109.9</v>
      </c>
      <c r="AC61" s="12">
        <v>113.7</v>
      </c>
      <c r="AD61" s="12">
        <v>120.3</v>
      </c>
    </row>
    <row r="62" spans="1:30" ht="15" customHeight="1" x14ac:dyDescent="0.25">
      <c r="A62" s="3" t="s">
        <v>84</v>
      </c>
      <c r="B62" s="12">
        <v>2014</v>
      </c>
      <c r="C62" s="3" t="s">
        <v>102</v>
      </c>
      <c r="D62" s="12">
        <v>122.3</v>
      </c>
      <c r="E62" s="12">
        <v>122.4</v>
      </c>
      <c r="F62" s="12">
        <v>117.8</v>
      </c>
      <c r="G62" s="12">
        <v>122.7</v>
      </c>
      <c r="H62" s="12">
        <v>110.4</v>
      </c>
      <c r="I62" s="12">
        <v>129.80000000000001</v>
      </c>
      <c r="J62" s="12">
        <v>158.80000000000001</v>
      </c>
      <c r="K62" s="12">
        <v>115</v>
      </c>
      <c r="L62" s="12">
        <v>104.7</v>
      </c>
      <c r="M62" s="12">
        <v>114.9</v>
      </c>
      <c r="N62" s="12">
        <v>116.5</v>
      </c>
      <c r="O62" s="12">
        <v>122.6</v>
      </c>
      <c r="P62" s="12">
        <v>125.3</v>
      </c>
      <c r="Q62" s="12">
        <v>119.5</v>
      </c>
      <c r="R62" s="12">
        <v>121.7</v>
      </c>
      <c r="S62" s="12">
        <v>119.2</v>
      </c>
      <c r="T62" s="12">
        <v>121.3</v>
      </c>
      <c r="U62" s="13"/>
      <c r="V62" s="12">
        <v>115.8</v>
      </c>
      <c r="W62" s="12">
        <v>116.7</v>
      </c>
      <c r="X62" s="12">
        <v>114.5</v>
      </c>
      <c r="Y62" s="12">
        <v>112.8</v>
      </c>
      <c r="Z62" s="12">
        <v>112.6</v>
      </c>
      <c r="AA62" s="12">
        <v>116.6</v>
      </c>
      <c r="AB62" s="12">
        <v>109.1</v>
      </c>
      <c r="AC62" s="12">
        <v>113.7</v>
      </c>
      <c r="AD62" s="12">
        <v>120.9</v>
      </c>
    </row>
    <row r="63" spans="1:30" ht="15" customHeight="1" x14ac:dyDescent="0.2">
      <c r="A63" s="3" t="s">
        <v>87</v>
      </c>
      <c r="B63" s="12">
        <v>2014</v>
      </c>
      <c r="C63" s="3" t="s">
        <v>102</v>
      </c>
      <c r="D63" s="12">
        <v>124.2</v>
      </c>
      <c r="E63" s="12">
        <v>125.4</v>
      </c>
      <c r="F63" s="12">
        <v>116.4</v>
      </c>
      <c r="G63" s="12">
        <v>122.7</v>
      </c>
      <c r="H63" s="12">
        <v>103.5</v>
      </c>
      <c r="I63" s="12">
        <v>124.5</v>
      </c>
      <c r="J63" s="12">
        <v>168.6</v>
      </c>
      <c r="K63" s="12">
        <v>116.9</v>
      </c>
      <c r="L63" s="12">
        <v>101.9</v>
      </c>
      <c r="M63" s="12">
        <v>122.9</v>
      </c>
      <c r="N63" s="12">
        <v>114.8</v>
      </c>
      <c r="O63" s="12">
        <v>125.2</v>
      </c>
      <c r="P63" s="12">
        <v>126.7</v>
      </c>
      <c r="Q63" s="12">
        <v>124.3</v>
      </c>
      <c r="R63" s="12">
        <v>119.2</v>
      </c>
      <c r="S63" s="12">
        <v>114.5</v>
      </c>
      <c r="T63" s="12">
        <v>118.4</v>
      </c>
      <c r="U63" s="12">
        <v>116.1</v>
      </c>
      <c r="V63" s="12">
        <v>111.8</v>
      </c>
      <c r="W63" s="12">
        <v>115.5</v>
      </c>
      <c r="X63" s="12">
        <v>112.3</v>
      </c>
      <c r="Y63" s="12">
        <v>111.2</v>
      </c>
      <c r="Z63" s="12">
        <v>113.4</v>
      </c>
      <c r="AA63" s="12">
        <v>120</v>
      </c>
      <c r="AB63" s="12">
        <v>110</v>
      </c>
      <c r="AC63" s="12">
        <v>113.6</v>
      </c>
      <c r="AD63" s="12">
        <v>119.2</v>
      </c>
    </row>
    <row r="64" spans="1:30" ht="15" customHeight="1" x14ac:dyDescent="0.2">
      <c r="A64" s="3" t="s">
        <v>89</v>
      </c>
      <c r="B64" s="12">
        <v>2014</v>
      </c>
      <c r="C64" s="3" t="s">
        <v>102</v>
      </c>
      <c r="D64" s="12">
        <v>122.9</v>
      </c>
      <c r="E64" s="12">
        <v>123.5</v>
      </c>
      <c r="F64" s="12">
        <v>117.3</v>
      </c>
      <c r="G64" s="12">
        <v>122.7</v>
      </c>
      <c r="H64" s="12">
        <v>107.9</v>
      </c>
      <c r="I64" s="12">
        <v>127.3</v>
      </c>
      <c r="J64" s="12">
        <v>162.1</v>
      </c>
      <c r="K64" s="12">
        <v>115.6</v>
      </c>
      <c r="L64" s="12">
        <v>103.8</v>
      </c>
      <c r="M64" s="12">
        <v>117.6</v>
      </c>
      <c r="N64" s="12">
        <v>115.8</v>
      </c>
      <c r="O64" s="12">
        <v>123.8</v>
      </c>
      <c r="P64" s="12">
        <v>125.8</v>
      </c>
      <c r="Q64" s="12">
        <v>120.8</v>
      </c>
      <c r="R64" s="12">
        <v>120.7</v>
      </c>
      <c r="S64" s="12">
        <v>117.2</v>
      </c>
      <c r="T64" s="12">
        <v>120.1</v>
      </c>
      <c r="U64" s="12">
        <v>116.1</v>
      </c>
      <c r="V64" s="12">
        <v>114.3</v>
      </c>
      <c r="W64" s="12">
        <v>116.1</v>
      </c>
      <c r="X64" s="12">
        <v>113.7</v>
      </c>
      <c r="Y64" s="12">
        <v>112</v>
      </c>
      <c r="Z64" s="12">
        <v>113.1</v>
      </c>
      <c r="AA64" s="12">
        <v>118.6</v>
      </c>
      <c r="AB64" s="12">
        <v>109.5</v>
      </c>
      <c r="AC64" s="12">
        <v>113.7</v>
      </c>
      <c r="AD64" s="12">
        <v>120.1</v>
      </c>
    </row>
    <row r="65" spans="1:30" ht="15" customHeight="1" x14ac:dyDescent="0.25">
      <c r="A65" s="3" t="s">
        <v>84</v>
      </c>
      <c r="B65" s="12">
        <v>2014</v>
      </c>
      <c r="C65" s="3" t="s">
        <v>104</v>
      </c>
      <c r="D65" s="12">
        <v>122.6</v>
      </c>
      <c r="E65" s="12">
        <v>122.5</v>
      </c>
      <c r="F65" s="12">
        <v>118.3</v>
      </c>
      <c r="G65" s="12">
        <v>123.2</v>
      </c>
      <c r="H65" s="12">
        <v>110.5</v>
      </c>
      <c r="I65" s="12">
        <v>128.9</v>
      </c>
      <c r="J65" s="12">
        <v>155.30000000000001</v>
      </c>
      <c r="K65" s="12">
        <v>115.5</v>
      </c>
      <c r="L65" s="12">
        <v>104</v>
      </c>
      <c r="M65" s="12">
        <v>115.3</v>
      </c>
      <c r="N65" s="12">
        <v>116.8</v>
      </c>
      <c r="O65" s="12">
        <v>123.2</v>
      </c>
      <c r="P65" s="12">
        <v>125.1</v>
      </c>
      <c r="Q65" s="12">
        <v>120</v>
      </c>
      <c r="R65" s="12">
        <v>122.7</v>
      </c>
      <c r="S65" s="12">
        <v>120.3</v>
      </c>
      <c r="T65" s="12">
        <v>122.3</v>
      </c>
      <c r="U65" s="13"/>
      <c r="V65" s="12">
        <v>116.4</v>
      </c>
      <c r="W65" s="12">
        <v>117.5</v>
      </c>
      <c r="X65" s="12">
        <v>115.3</v>
      </c>
      <c r="Y65" s="12">
        <v>112.6</v>
      </c>
      <c r="Z65" s="12">
        <v>113</v>
      </c>
      <c r="AA65" s="12">
        <v>116.9</v>
      </c>
      <c r="AB65" s="12">
        <v>109.3</v>
      </c>
      <c r="AC65" s="12">
        <v>114</v>
      </c>
      <c r="AD65" s="12">
        <v>121</v>
      </c>
    </row>
    <row r="66" spans="1:30" ht="15" customHeight="1" x14ac:dyDescent="0.2">
      <c r="A66" s="3" t="s">
        <v>87</v>
      </c>
      <c r="B66" s="12">
        <v>2014</v>
      </c>
      <c r="C66" s="3" t="s">
        <v>104</v>
      </c>
      <c r="D66" s="12">
        <v>124.6</v>
      </c>
      <c r="E66" s="12">
        <v>126.1</v>
      </c>
      <c r="F66" s="12">
        <v>117.8</v>
      </c>
      <c r="G66" s="12">
        <v>123.1</v>
      </c>
      <c r="H66" s="12">
        <v>103.5</v>
      </c>
      <c r="I66" s="12">
        <v>123.5</v>
      </c>
      <c r="J66" s="12">
        <v>159.6</v>
      </c>
      <c r="K66" s="12">
        <v>117.4</v>
      </c>
      <c r="L66" s="12">
        <v>101.2</v>
      </c>
      <c r="M66" s="12">
        <v>123.8</v>
      </c>
      <c r="N66" s="12">
        <v>115.2</v>
      </c>
      <c r="O66" s="12">
        <v>125.9</v>
      </c>
      <c r="P66" s="12">
        <v>125.8</v>
      </c>
      <c r="Q66" s="12">
        <v>124.3</v>
      </c>
      <c r="R66" s="12">
        <v>119.6</v>
      </c>
      <c r="S66" s="12">
        <v>114.9</v>
      </c>
      <c r="T66" s="12">
        <v>118.9</v>
      </c>
      <c r="U66" s="12">
        <v>116.7</v>
      </c>
      <c r="V66" s="12">
        <v>112</v>
      </c>
      <c r="W66" s="12">
        <v>115.8</v>
      </c>
      <c r="X66" s="12">
        <v>112.6</v>
      </c>
      <c r="Y66" s="12">
        <v>111</v>
      </c>
      <c r="Z66" s="12">
        <v>113.6</v>
      </c>
      <c r="AA66" s="12">
        <v>120.2</v>
      </c>
      <c r="AB66" s="12">
        <v>110.1</v>
      </c>
      <c r="AC66" s="12">
        <v>113.7</v>
      </c>
      <c r="AD66" s="12">
        <v>119.1</v>
      </c>
    </row>
    <row r="67" spans="1:30" ht="15" customHeight="1" x14ac:dyDescent="0.2">
      <c r="A67" s="3" t="s">
        <v>89</v>
      </c>
      <c r="B67" s="12">
        <v>2014</v>
      </c>
      <c r="C67" s="3" t="s">
        <v>104</v>
      </c>
      <c r="D67" s="12">
        <v>123.2</v>
      </c>
      <c r="E67" s="12">
        <v>123.8</v>
      </c>
      <c r="F67" s="12">
        <v>118.1</v>
      </c>
      <c r="G67" s="12">
        <v>123.2</v>
      </c>
      <c r="H67" s="12">
        <v>107.9</v>
      </c>
      <c r="I67" s="12">
        <v>126.4</v>
      </c>
      <c r="J67" s="12">
        <v>156.80000000000001</v>
      </c>
      <c r="K67" s="12">
        <v>116.1</v>
      </c>
      <c r="L67" s="12">
        <v>103.1</v>
      </c>
      <c r="M67" s="12">
        <v>118.1</v>
      </c>
      <c r="N67" s="12">
        <v>116.1</v>
      </c>
      <c r="O67" s="12">
        <v>124.5</v>
      </c>
      <c r="P67" s="12">
        <v>125.4</v>
      </c>
      <c r="Q67" s="12">
        <v>121.1</v>
      </c>
      <c r="R67" s="12">
        <v>121.5</v>
      </c>
      <c r="S67" s="12">
        <v>118.1</v>
      </c>
      <c r="T67" s="12">
        <v>121</v>
      </c>
      <c r="U67" s="12">
        <v>116.7</v>
      </c>
      <c r="V67" s="12">
        <v>114.7</v>
      </c>
      <c r="W67" s="12">
        <v>116.7</v>
      </c>
      <c r="X67" s="12">
        <v>114.3</v>
      </c>
      <c r="Y67" s="12">
        <v>111.8</v>
      </c>
      <c r="Z67" s="12">
        <v>113.3</v>
      </c>
      <c r="AA67" s="12">
        <v>118.8</v>
      </c>
      <c r="AB67" s="12">
        <v>109.6</v>
      </c>
      <c r="AC67" s="12">
        <v>113.9</v>
      </c>
      <c r="AD67" s="12">
        <v>120.1</v>
      </c>
    </row>
    <row r="68" spans="1:30" ht="15" customHeight="1" x14ac:dyDescent="0.25">
      <c r="A68" s="3" t="s">
        <v>84</v>
      </c>
      <c r="B68" s="12">
        <v>2014</v>
      </c>
      <c r="C68" s="3" t="s">
        <v>107</v>
      </c>
      <c r="D68" s="12">
        <v>122.7</v>
      </c>
      <c r="E68" s="12">
        <v>122.6</v>
      </c>
      <c r="F68" s="12">
        <v>119.9</v>
      </c>
      <c r="G68" s="12">
        <v>124</v>
      </c>
      <c r="H68" s="12">
        <v>110.5</v>
      </c>
      <c r="I68" s="12">
        <v>128.80000000000001</v>
      </c>
      <c r="J68" s="12">
        <v>152</v>
      </c>
      <c r="K68" s="12">
        <v>116.2</v>
      </c>
      <c r="L68" s="12">
        <v>103.3</v>
      </c>
      <c r="M68" s="12">
        <v>115.8</v>
      </c>
      <c r="N68" s="12">
        <v>116.8</v>
      </c>
      <c r="O68" s="12">
        <v>124.5</v>
      </c>
      <c r="P68" s="12">
        <v>124.9</v>
      </c>
      <c r="Q68" s="12">
        <v>120.8</v>
      </c>
      <c r="R68" s="12">
        <v>123.3</v>
      </c>
      <c r="S68" s="12">
        <v>120.5</v>
      </c>
      <c r="T68" s="12">
        <v>122.9</v>
      </c>
      <c r="U68" s="13"/>
      <c r="V68" s="12">
        <v>117.3</v>
      </c>
      <c r="W68" s="12">
        <v>118.1</v>
      </c>
      <c r="X68" s="12">
        <v>115.9</v>
      </c>
      <c r="Y68" s="12">
        <v>112</v>
      </c>
      <c r="Z68" s="12">
        <v>113.3</v>
      </c>
      <c r="AA68" s="12">
        <v>117.2</v>
      </c>
      <c r="AB68" s="12">
        <v>108.8</v>
      </c>
      <c r="AC68" s="12">
        <v>114.1</v>
      </c>
      <c r="AD68" s="12">
        <v>121.1</v>
      </c>
    </row>
    <row r="69" spans="1:30" ht="15" customHeight="1" x14ac:dyDescent="0.2">
      <c r="A69" s="3" t="s">
        <v>87</v>
      </c>
      <c r="B69" s="12">
        <v>2014</v>
      </c>
      <c r="C69" s="3" t="s">
        <v>107</v>
      </c>
      <c r="D69" s="12">
        <v>124.5</v>
      </c>
      <c r="E69" s="12">
        <v>125.6</v>
      </c>
      <c r="F69" s="12">
        <v>122.7</v>
      </c>
      <c r="G69" s="12">
        <v>124.6</v>
      </c>
      <c r="H69" s="12">
        <v>103.2</v>
      </c>
      <c r="I69" s="12">
        <v>122.2</v>
      </c>
      <c r="J69" s="12">
        <v>153.19999999999999</v>
      </c>
      <c r="K69" s="12">
        <v>119.3</v>
      </c>
      <c r="L69" s="12">
        <v>99.8</v>
      </c>
      <c r="M69" s="12">
        <v>124.6</v>
      </c>
      <c r="N69" s="12">
        <v>115.8</v>
      </c>
      <c r="O69" s="12">
        <v>126.9</v>
      </c>
      <c r="P69" s="12">
        <v>125.4</v>
      </c>
      <c r="Q69" s="12">
        <v>125.8</v>
      </c>
      <c r="R69" s="12">
        <v>120.3</v>
      </c>
      <c r="S69" s="12">
        <v>115.4</v>
      </c>
      <c r="T69" s="12">
        <v>119.5</v>
      </c>
      <c r="U69" s="12">
        <v>117.1</v>
      </c>
      <c r="V69" s="12">
        <v>112.6</v>
      </c>
      <c r="W69" s="12">
        <v>116.4</v>
      </c>
      <c r="X69" s="12">
        <v>113</v>
      </c>
      <c r="Y69" s="12">
        <v>109.7</v>
      </c>
      <c r="Z69" s="12">
        <v>114</v>
      </c>
      <c r="AA69" s="12">
        <v>120.3</v>
      </c>
      <c r="AB69" s="12">
        <v>109.6</v>
      </c>
      <c r="AC69" s="12">
        <v>113.4</v>
      </c>
      <c r="AD69" s="12">
        <v>119</v>
      </c>
    </row>
    <row r="70" spans="1:30" ht="15" customHeight="1" x14ac:dyDescent="0.2">
      <c r="A70" s="3" t="s">
        <v>89</v>
      </c>
      <c r="B70" s="12">
        <v>2014</v>
      </c>
      <c r="C70" s="3" t="s">
        <v>107</v>
      </c>
      <c r="D70" s="12">
        <v>123.3</v>
      </c>
      <c r="E70" s="12">
        <v>123.7</v>
      </c>
      <c r="F70" s="12">
        <v>121</v>
      </c>
      <c r="G70" s="12">
        <v>124.2</v>
      </c>
      <c r="H70" s="12">
        <v>107.8</v>
      </c>
      <c r="I70" s="12">
        <v>125.7</v>
      </c>
      <c r="J70" s="12">
        <v>152.4</v>
      </c>
      <c r="K70" s="12">
        <v>117.2</v>
      </c>
      <c r="L70" s="12">
        <v>102.1</v>
      </c>
      <c r="M70" s="12">
        <v>118.7</v>
      </c>
      <c r="N70" s="12">
        <v>116.4</v>
      </c>
      <c r="O70" s="12">
        <v>125.6</v>
      </c>
      <c r="P70" s="12">
        <v>125.1</v>
      </c>
      <c r="Q70" s="12">
        <v>122.1</v>
      </c>
      <c r="R70" s="12">
        <v>122.1</v>
      </c>
      <c r="S70" s="12">
        <v>118.4</v>
      </c>
      <c r="T70" s="12">
        <v>121.6</v>
      </c>
      <c r="U70" s="12">
        <v>117.1</v>
      </c>
      <c r="V70" s="12">
        <v>115.5</v>
      </c>
      <c r="W70" s="12">
        <v>117.3</v>
      </c>
      <c r="X70" s="12">
        <v>114.8</v>
      </c>
      <c r="Y70" s="12">
        <v>110.8</v>
      </c>
      <c r="Z70" s="12">
        <v>113.7</v>
      </c>
      <c r="AA70" s="12">
        <v>119</v>
      </c>
      <c r="AB70" s="12">
        <v>109.1</v>
      </c>
      <c r="AC70" s="12">
        <v>113.8</v>
      </c>
      <c r="AD70" s="12">
        <v>120.1</v>
      </c>
    </row>
    <row r="71" spans="1:30" ht="15" customHeight="1" x14ac:dyDescent="0.25">
      <c r="A71" s="3" t="s">
        <v>84</v>
      </c>
      <c r="B71" s="12">
        <v>2014</v>
      </c>
      <c r="C71" s="3" t="s">
        <v>109</v>
      </c>
      <c r="D71" s="12">
        <v>122.4</v>
      </c>
      <c r="E71" s="12">
        <v>122.4</v>
      </c>
      <c r="F71" s="12">
        <v>121.8</v>
      </c>
      <c r="G71" s="12">
        <v>124.2</v>
      </c>
      <c r="H71" s="12">
        <v>110.2</v>
      </c>
      <c r="I71" s="12">
        <v>128.6</v>
      </c>
      <c r="J71" s="12">
        <v>140.30000000000001</v>
      </c>
      <c r="K71" s="12">
        <v>116.3</v>
      </c>
      <c r="L71" s="12">
        <v>102</v>
      </c>
      <c r="M71" s="12">
        <v>116</v>
      </c>
      <c r="N71" s="12">
        <v>117.3</v>
      </c>
      <c r="O71" s="12">
        <v>124.8</v>
      </c>
      <c r="P71" s="12">
        <v>123.3</v>
      </c>
      <c r="Q71" s="12">
        <v>121.7</v>
      </c>
      <c r="R71" s="12">
        <v>123.8</v>
      </c>
      <c r="S71" s="12">
        <v>120.6</v>
      </c>
      <c r="T71" s="12">
        <v>123.3</v>
      </c>
      <c r="U71" s="13"/>
      <c r="V71" s="12">
        <v>117.4</v>
      </c>
      <c r="W71" s="12">
        <v>118.2</v>
      </c>
      <c r="X71" s="12">
        <v>116.2</v>
      </c>
      <c r="Y71" s="12">
        <v>111.5</v>
      </c>
      <c r="Z71" s="12">
        <v>113.3</v>
      </c>
      <c r="AA71" s="12">
        <v>117.7</v>
      </c>
      <c r="AB71" s="12">
        <v>109.4</v>
      </c>
      <c r="AC71" s="12">
        <v>114.2</v>
      </c>
      <c r="AD71" s="12">
        <v>120.3</v>
      </c>
    </row>
    <row r="72" spans="1:30" ht="15" customHeight="1" x14ac:dyDescent="0.2">
      <c r="A72" s="3" t="s">
        <v>87</v>
      </c>
      <c r="B72" s="12">
        <v>2014</v>
      </c>
      <c r="C72" s="3" t="s">
        <v>109</v>
      </c>
      <c r="D72" s="12">
        <v>124</v>
      </c>
      <c r="E72" s="12">
        <v>124.7</v>
      </c>
      <c r="F72" s="12">
        <v>126.3</v>
      </c>
      <c r="G72" s="12">
        <v>124.9</v>
      </c>
      <c r="H72" s="12">
        <v>103</v>
      </c>
      <c r="I72" s="12">
        <v>122.3</v>
      </c>
      <c r="J72" s="12">
        <v>141</v>
      </c>
      <c r="K72" s="12">
        <v>120.1</v>
      </c>
      <c r="L72" s="12">
        <v>97.8</v>
      </c>
      <c r="M72" s="12">
        <v>125.4</v>
      </c>
      <c r="N72" s="12">
        <v>116.1</v>
      </c>
      <c r="O72" s="12">
        <v>127.6</v>
      </c>
      <c r="P72" s="12">
        <v>124</v>
      </c>
      <c r="Q72" s="12">
        <v>126.4</v>
      </c>
      <c r="R72" s="12">
        <v>120.7</v>
      </c>
      <c r="S72" s="12">
        <v>115.8</v>
      </c>
      <c r="T72" s="12">
        <v>120</v>
      </c>
      <c r="U72" s="12">
        <v>116.5</v>
      </c>
      <c r="V72" s="12">
        <v>113</v>
      </c>
      <c r="W72" s="12">
        <v>116.8</v>
      </c>
      <c r="X72" s="12">
        <v>113.2</v>
      </c>
      <c r="Y72" s="12">
        <v>108.8</v>
      </c>
      <c r="Z72" s="12">
        <v>114.3</v>
      </c>
      <c r="AA72" s="12">
        <v>120.7</v>
      </c>
      <c r="AB72" s="12">
        <v>110.4</v>
      </c>
      <c r="AC72" s="12">
        <v>113.4</v>
      </c>
      <c r="AD72" s="12">
        <v>118.4</v>
      </c>
    </row>
    <row r="73" spans="1:30" ht="15" customHeight="1" x14ac:dyDescent="0.2">
      <c r="A73" s="3" t="s">
        <v>89</v>
      </c>
      <c r="B73" s="12">
        <v>2014</v>
      </c>
      <c r="C73" s="3" t="s">
        <v>109</v>
      </c>
      <c r="D73" s="12">
        <v>122.9</v>
      </c>
      <c r="E73" s="12">
        <v>123.2</v>
      </c>
      <c r="F73" s="12">
        <v>123.5</v>
      </c>
      <c r="G73" s="12">
        <v>124.5</v>
      </c>
      <c r="H73" s="12">
        <v>107.6</v>
      </c>
      <c r="I73" s="12">
        <v>125.7</v>
      </c>
      <c r="J73" s="12">
        <v>140.5</v>
      </c>
      <c r="K73" s="12">
        <v>117.6</v>
      </c>
      <c r="L73" s="12">
        <v>100.6</v>
      </c>
      <c r="M73" s="12">
        <v>119.1</v>
      </c>
      <c r="N73" s="12">
        <v>116.8</v>
      </c>
      <c r="O73" s="12">
        <v>126.1</v>
      </c>
      <c r="P73" s="12">
        <v>123.6</v>
      </c>
      <c r="Q73" s="12">
        <v>123</v>
      </c>
      <c r="R73" s="12">
        <v>122.6</v>
      </c>
      <c r="S73" s="12">
        <v>118.6</v>
      </c>
      <c r="T73" s="12">
        <v>122</v>
      </c>
      <c r="U73" s="12">
        <v>116.5</v>
      </c>
      <c r="V73" s="12">
        <v>115.7</v>
      </c>
      <c r="W73" s="12">
        <v>117.5</v>
      </c>
      <c r="X73" s="12">
        <v>115.1</v>
      </c>
      <c r="Y73" s="12">
        <v>110.1</v>
      </c>
      <c r="Z73" s="12">
        <v>113.9</v>
      </c>
      <c r="AA73" s="12">
        <v>119.5</v>
      </c>
      <c r="AB73" s="12">
        <v>109.8</v>
      </c>
      <c r="AC73" s="12">
        <v>113.8</v>
      </c>
      <c r="AD73" s="12">
        <v>119.4</v>
      </c>
    </row>
    <row r="74" spans="1:30" ht="15" customHeight="1" x14ac:dyDescent="0.25">
      <c r="A74" s="3" t="s">
        <v>84</v>
      </c>
      <c r="B74" s="12">
        <v>2015</v>
      </c>
      <c r="C74" s="3" t="s">
        <v>85</v>
      </c>
      <c r="D74" s="12">
        <v>123.1</v>
      </c>
      <c r="E74" s="12">
        <v>123.1</v>
      </c>
      <c r="F74" s="12">
        <v>122.1</v>
      </c>
      <c r="G74" s="12">
        <v>124.9</v>
      </c>
      <c r="H74" s="12">
        <v>111</v>
      </c>
      <c r="I74" s="12">
        <v>130.4</v>
      </c>
      <c r="J74" s="12">
        <v>132.30000000000001</v>
      </c>
      <c r="K74" s="12">
        <v>117.2</v>
      </c>
      <c r="L74" s="12">
        <v>100.5</v>
      </c>
      <c r="M74" s="12">
        <v>117.2</v>
      </c>
      <c r="N74" s="12">
        <v>117.9</v>
      </c>
      <c r="O74" s="12">
        <v>125.6</v>
      </c>
      <c r="P74" s="12">
        <v>122.8</v>
      </c>
      <c r="Q74" s="12">
        <v>122.7</v>
      </c>
      <c r="R74" s="12">
        <v>124.4</v>
      </c>
      <c r="S74" s="12">
        <v>121.6</v>
      </c>
      <c r="T74" s="12">
        <v>124</v>
      </c>
      <c r="U74" s="13"/>
      <c r="V74" s="12">
        <v>118.4</v>
      </c>
      <c r="W74" s="12">
        <v>118.9</v>
      </c>
      <c r="X74" s="12">
        <v>116.6</v>
      </c>
      <c r="Y74" s="12">
        <v>111</v>
      </c>
      <c r="Z74" s="12">
        <v>114</v>
      </c>
      <c r="AA74" s="12">
        <v>118.2</v>
      </c>
      <c r="AB74" s="12">
        <v>110.2</v>
      </c>
      <c r="AC74" s="12">
        <v>114.5</v>
      </c>
      <c r="AD74" s="12">
        <v>120.3</v>
      </c>
    </row>
    <row r="75" spans="1:30" ht="15" customHeight="1" x14ac:dyDescent="0.2">
      <c r="A75" s="3" t="s">
        <v>87</v>
      </c>
      <c r="B75" s="12">
        <v>2015</v>
      </c>
      <c r="C75" s="3" t="s">
        <v>85</v>
      </c>
      <c r="D75" s="12">
        <v>124</v>
      </c>
      <c r="E75" s="12">
        <v>125.5</v>
      </c>
      <c r="F75" s="12">
        <v>126.6</v>
      </c>
      <c r="G75" s="12">
        <v>125.2</v>
      </c>
      <c r="H75" s="12">
        <v>104.3</v>
      </c>
      <c r="I75" s="12">
        <v>121.3</v>
      </c>
      <c r="J75" s="12">
        <v>134.4</v>
      </c>
      <c r="K75" s="12">
        <v>122.9</v>
      </c>
      <c r="L75" s="12">
        <v>96.1</v>
      </c>
      <c r="M75" s="12">
        <v>126.6</v>
      </c>
      <c r="N75" s="12">
        <v>116.5</v>
      </c>
      <c r="O75" s="12">
        <v>128</v>
      </c>
      <c r="P75" s="12">
        <v>123.5</v>
      </c>
      <c r="Q75" s="12">
        <v>127.4</v>
      </c>
      <c r="R75" s="12">
        <v>121</v>
      </c>
      <c r="S75" s="12">
        <v>116.1</v>
      </c>
      <c r="T75" s="12">
        <v>120.2</v>
      </c>
      <c r="U75" s="12">
        <v>117.3</v>
      </c>
      <c r="V75" s="12">
        <v>113.4</v>
      </c>
      <c r="W75" s="12">
        <v>117.2</v>
      </c>
      <c r="X75" s="12">
        <v>113.7</v>
      </c>
      <c r="Y75" s="12">
        <v>107.9</v>
      </c>
      <c r="Z75" s="12">
        <v>114.6</v>
      </c>
      <c r="AA75" s="12">
        <v>120.8</v>
      </c>
      <c r="AB75" s="12">
        <v>111.4</v>
      </c>
      <c r="AC75" s="12">
        <v>113.4</v>
      </c>
      <c r="AD75" s="12">
        <v>118.5</v>
      </c>
    </row>
    <row r="76" spans="1:30" ht="15" customHeight="1" x14ac:dyDescent="0.2">
      <c r="A76" s="3" t="s">
        <v>89</v>
      </c>
      <c r="B76" s="12">
        <v>2015</v>
      </c>
      <c r="C76" s="3" t="s">
        <v>85</v>
      </c>
      <c r="D76" s="12">
        <v>123.4</v>
      </c>
      <c r="E76" s="12">
        <v>123.9</v>
      </c>
      <c r="F76" s="12">
        <v>123.8</v>
      </c>
      <c r="G76" s="12">
        <v>125</v>
      </c>
      <c r="H76" s="12">
        <v>108.5</v>
      </c>
      <c r="I76" s="12">
        <v>126.2</v>
      </c>
      <c r="J76" s="12">
        <v>133</v>
      </c>
      <c r="K76" s="12">
        <v>119.1</v>
      </c>
      <c r="L76" s="12">
        <v>99</v>
      </c>
      <c r="M76" s="12">
        <v>120.3</v>
      </c>
      <c r="N76" s="12">
        <v>117.3</v>
      </c>
      <c r="O76" s="12">
        <v>126.7</v>
      </c>
      <c r="P76" s="12">
        <v>123.1</v>
      </c>
      <c r="Q76" s="12">
        <v>124</v>
      </c>
      <c r="R76" s="12">
        <v>123.1</v>
      </c>
      <c r="S76" s="12">
        <v>119.3</v>
      </c>
      <c r="T76" s="12">
        <v>122.5</v>
      </c>
      <c r="U76" s="12">
        <v>117.3</v>
      </c>
      <c r="V76" s="12">
        <v>116.5</v>
      </c>
      <c r="W76" s="12">
        <v>118.1</v>
      </c>
      <c r="X76" s="12">
        <v>115.5</v>
      </c>
      <c r="Y76" s="12">
        <v>109.4</v>
      </c>
      <c r="Z76" s="12">
        <v>114.3</v>
      </c>
      <c r="AA76" s="12">
        <v>119.7</v>
      </c>
      <c r="AB76" s="12">
        <v>110.7</v>
      </c>
      <c r="AC76" s="12">
        <v>114</v>
      </c>
      <c r="AD76" s="12">
        <v>119.5</v>
      </c>
    </row>
    <row r="77" spans="1:30" ht="15" customHeight="1" x14ac:dyDescent="0.25">
      <c r="A77" s="3" t="s">
        <v>84</v>
      </c>
      <c r="B77" s="12">
        <v>2015</v>
      </c>
      <c r="C77" s="3" t="s">
        <v>90</v>
      </c>
      <c r="D77" s="12">
        <v>123.4</v>
      </c>
      <c r="E77" s="12">
        <v>124.4</v>
      </c>
      <c r="F77" s="12">
        <v>122.1</v>
      </c>
      <c r="G77" s="12">
        <v>125.8</v>
      </c>
      <c r="H77" s="12">
        <v>111.5</v>
      </c>
      <c r="I77" s="12">
        <v>129.4</v>
      </c>
      <c r="J77" s="12">
        <v>128.19999999999999</v>
      </c>
      <c r="K77" s="12">
        <v>118.8</v>
      </c>
      <c r="L77" s="12">
        <v>100</v>
      </c>
      <c r="M77" s="12">
        <v>118.6</v>
      </c>
      <c r="N77" s="12">
        <v>118.8</v>
      </c>
      <c r="O77" s="12">
        <v>126.8</v>
      </c>
      <c r="P77" s="12">
        <v>122.8</v>
      </c>
      <c r="Q77" s="12">
        <v>124.2</v>
      </c>
      <c r="R77" s="12">
        <v>125.4</v>
      </c>
      <c r="S77" s="12">
        <v>122.7</v>
      </c>
      <c r="T77" s="12">
        <v>125</v>
      </c>
      <c r="U77" s="13"/>
      <c r="V77" s="12">
        <v>120</v>
      </c>
      <c r="W77" s="12">
        <v>119.6</v>
      </c>
      <c r="X77" s="12">
        <v>117.7</v>
      </c>
      <c r="Y77" s="12">
        <v>110.9</v>
      </c>
      <c r="Z77" s="12">
        <v>114.8</v>
      </c>
      <c r="AA77" s="12">
        <v>118.7</v>
      </c>
      <c r="AB77" s="12">
        <v>110.8</v>
      </c>
      <c r="AC77" s="12">
        <v>115</v>
      </c>
      <c r="AD77" s="12">
        <v>120.6</v>
      </c>
    </row>
    <row r="78" spans="1:30" ht="15" customHeight="1" x14ac:dyDescent="0.2">
      <c r="A78" s="3" t="s">
        <v>87</v>
      </c>
      <c r="B78" s="12">
        <v>2015</v>
      </c>
      <c r="C78" s="3" t="s">
        <v>90</v>
      </c>
      <c r="D78" s="12">
        <v>124.3</v>
      </c>
      <c r="E78" s="12">
        <v>126.5</v>
      </c>
      <c r="F78" s="12">
        <v>119.5</v>
      </c>
      <c r="G78" s="12">
        <v>125.6</v>
      </c>
      <c r="H78" s="12">
        <v>104.9</v>
      </c>
      <c r="I78" s="12">
        <v>121.6</v>
      </c>
      <c r="J78" s="12">
        <v>131.80000000000001</v>
      </c>
      <c r="K78" s="12">
        <v>125.1</v>
      </c>
      <c r="L78" s="12">
        <v>95</v>
      </c>
      <c r="M78" s="12">
        <v>127.7</v>
      </c>
      <c r="N78" s="12">
        <v>116.8</v>
      </c>
      <c r="O78" s="12">
        <v>128.6</v>
      </c>
      <c r="P78" s="12">
        <v>123.7</v>
      </c>
      <c r="Q78" s="12">
        <v>128.1</v>
      </c>
      <c r="R78" s="12">
        <v>121.3</v>
      </c>
      <c r="S78" s="12">
        <v>116.5</v>
      </c>
      <c r="T78" s="12">
        <v>120.6</v>
      </c>
      <c r="U78" s="12">
        <v>118.1</v>
      </c>
      <c r="V78" s="12">
        <v>114</v>
      </c>
      <c r="W78" s="12">
        <v>117.7</v>
      </c>
      <c r="X78" s="12">
        <v>114.1</v>
      </c>
      <c r="Y78" s="12">
        <v>106.8</v>
      </c>
      <c r="Z78" s="12">
        <v>114.9</v>
      </c>
      <c r="AA78" s="12">
        <v>120.4</v>
      </c>
      <c r="AB78" s="12">
        <v>111.7</v>
      </c>
      <c r="AC78" s="12">
        <v>113.2</v>
      </c>
      <c r="AD78" s="12">
        <v>118.7</v>
      </c>
    </row>
    <row r="79" spans="1:30" ht="15" customHeight="1" x14ac:dyDescent="0.2">
      <c r="A79" s="3" t="s">
        <v>89</v>
      </c>
      <c r="B79" s="12">
        <v>2015</v>
      </c>
      <c r="C79" s="3" t="s">
        <v>90</v>
      </c>
      <c r="D79" s="12">
        <v>123.7</v>
      </c>
      <c r="E79" s="12">
        <v>125.1</v>
      </c>
      <c r="F79" s="12">
        <v>121.1</v>
      </c>
      <c r="G79" s="12">
        <v>125.7</v>
      </c>
      <c r="H79" s="12">
        <v>109.1</v>
      </c>
      <c r="I79" s="12">
        <v>125.8</v>
      </c>
      <c r="J79" s="12">
        <v>129.4</v>
      </c>
      <c r="K79" s="12">
        <v>120.9</v>
      </c>
      <c r="L79" s="12">
        <v>98.3</v>
      </c>
      <c r="M79" s="12">
        <v>121.6</v>
      </c>
      <c r="N79" s="12">
        <v>118</v>
      </c>
      <c r="O79" s="12">
        <v>127.6</v>
      </c>
      <c r="P79" s="12">
        <v>123.1</v>
      </c>
      <c r="Q79" s="12">
        <v>125.2</v>
      </c>
      <c r="R79" s="12">
        <v>123.8</v>
      </c>
      <c r="S79" s="12">
        <v>120.1</v>
      </c>
      <c r="T79" s="12">
        <v>123.3</v>
      </c>
      <c r="U79" s="12">
        <v>118.1</v>
      </c>
      <c r="V79" s="12">
        <v>117.7</v>
      </c>
      <c r="W79" s="12">
        <v>118.7</v>
      </c>
      <c r="X79" s="12">
        <v>116.3</v>
      </c>
      <c r="Y79" s="12">
        <v>108.7</v>
      </c>
      <c r="Z79" s="12">
        <v>114.9</v>
      </c>
      <c r="AA79" s="12">
        <v>119.7</v>
      </c>
      <c r="AB79" s="12">
        <v>111.2</v>
      </c>
      <c r="AC79" s="12">
        <v>114.1</v>
      </c>
      <c r="AD79" s="12">
        <v>119.7</v>
      </c>
    </row>
    <row r="80" spans="1:30" ht="15" customHeight="1" x14ac:dyDescent="0.25">
      <c r="A80" s="3" t="s">
        <v>84</v>
      </c>
      <c r="B80" s="12">
        <v>2015</v>
      </c>
      <c r="C80" s="3" t="s">
        <v>92</v>
      </c>
      <c r="D80" s="12">
        <v>123.3</v>
      </c>
      <c r="E80" s="12">
        <v>124.7</v>
      </c>
      <c r="F80" s="12">
        <v>118.9</v>
      </c>
      <c r="G80" s="12">
        <v>126</v>
      </c>
      <c r="H80" s="12">
        <v>111.8</v>
      </c>
      <c r="I80" s="12">
        <v>130.9</v>
      </c>
      <c r="J80" s="12">
        <v>128</v>
      </c>
      <c r="K80" s="12">
        <v>119.9</v>
      </c>
      <c r="L80" s="12">
        <v>98.9</v>
      </c>
      <c r="M80" s="12">
        <v>119.4</v>
      </c>
      <c r="N80" s="12">
        <v>118.9</v>
      </c>
      <c r="O80" s="12">
        <v>127.7</v>
      </c>
      <c r="P80" s="12">
        <v>123.1</v>
      </c>
      <c r="Q80" s="12">
        <v>124.7</v>
      </c>
      <c r="R80" s="12">
        <v>126</v>
      </c>
      <c r="S80" s="12">
        <v>122.9</v>
      </c>
      <c r="T80" s="12">
        <v>125.5</v>
      </c>
      <c r="U80" s="13"/>
      <c r="V80" s="12">
        <v>120.6</v>
      </c>
      <c r="W80" s="12">
        <v>120.2</v>
      </c>
      <c r="X80" s="12">
        <v>118.2</v>
      </c>
      <c r="Y80" s="12">
        <v>111.6</v>
      </c>
      <c r="Z80" s="12">
        <v>115.5</v>
      </c>
      <c r="AA80" s="12">
        <v>119.4</v>
      </c>
      <c r="AB80" s="12">
        <v>110.8</v>
      </c>
      <c r="AC80" s="12">
        <v>115.5</v>
      </c>
      <c r="AD80" s="12">
        <v>121.1</v>
      </c>
    </row>
    <row r="81" spans="1:30" ht="15" customHeight="1" x14ac:dyDescent="0.2">
      <c r="A81" s="3" t="s">
        <v>87</v>
      </c>
      <c r="B81" s="12">
        <v>2015</v>
      </c>
      <c r="C81" s="3" t="s">
        <v>92</v>
      </c>
      <c r="D81" s="12">
        <v>124</v>
      </c>
      <c r="E81" s="12">
        <v>126.7</v>
      </c>
      <c r="F81" s="12">
        <v>113.5</v>
      </c>
      <c r="G81" s="12">
        <v>125.9</v>
      </c>
      <c r="H81" s="12">
        <v>104.8</v>
      </c>
      <c r="I81" s="12">
        <v>123.8</v>
      </c>
      <c r="J81" s="12">
        <v>131.4</v>
      </c>
      <c r="K81" s="12">
        <v>127.2</v>
      </c>
      <c r="L81" s="12">
        <v>93.2</v>
      </c>
      <c r="M81" s="12">
        <v>127.4</v>
      </c>
      <c r="N81" s="12">
        <v>117</v>
      </c>
      <c r="O81" s="12">
        <v>129.19999999999999</v>
      </c>
      <c r="P81" s="12">
        <v>123.9</v>
      </c>
      <c r="Q81" s="12">
        <v>128.80000000000001</v>
      </c>
      <c r="R81" s="12">
        <v>121.7</v>
      </c>
      <c r="S81" s="12">
        <v>116.9</v>
      </c>
      <c r="T81" s="12">
        <v>120.9</v>
      </c>
      <c r="U81" s="12">
        <v>118.6</v>
      </c>
      <c r="V81" s="12">
        <v>114.4</v>
      </c>
      <c r="W81" s="12">
        <v>118</v>
      </c>
      <c r="X81" s="12">
        <v>114.3</v>
      </c>
      <c r="Y81" s="12">
        <v>108.4</v>
      </c>
      <c r="Z81" s="12">
        <v>115.4</v>
      </c>
      <c r="AA81" s="12">
        <v>120.6</v>
      </c>
      <c r="AB81" s="12">
        <v>111.3</v>
      </c>
      <c r="AC81" s="12">
        <v>113.8</v>
      </c>
      <c r="AD81" s="12">
        <v>119.1</v>
      </c>
    </row>
    <row r="82" spans="1:30" ht="15" customHeight="1" x14ac:dyDescent="0.2">
      <c r="A82" s="3" t="s">
        <v>89</v>
      </c>
      <c r="B82" s="12">
        <v>2015</v>
      </c>
      <c r="C82" s="3" t="s">
        <v>92</v>
      </c>
      <c r="D82" s="12">
        <v>123.5</v>
      </c>
      <c r="E82" s="12">
        <v>125.4</v>
      </c>
      <c r="F82" s="12">
        <v>116.8</v>
      </c>
      <c r="G82" s="12">
        <v>126</v>
      </c>
      <c r="H82" s="12">
        <v>109.2</v>
      </c>
      <c r="I82" s="12">
        <v>127.6</v>
      </c>
      <c r="J82" s="12">
        <v>129.19999999999999</v>
      </c>
      <c r="K82" s="12">
        <v>122.4</v>
      </c>
      <c r="L82" s="12">
        <v>97</v>
      </c>
      <c r="M82" s="12">
        <v>122.1</v>
      </c>
      <c r="N82" s="12">
        <v>118.1</v>
      </c>
      <c r="O82" s="12">
        <v>128.4</v>
      </c>
      <c r="P82" s="12">
        <v>123.4</v>
      </c>
      <c r="Q82" s="12">
        <v>125.8</v>
      </c>
      <c r="R82" s="12">
        <v>124.3</v>
      </c>
      <c r="S82" s="12">
        <v>120.4</v>
      </c>
      <c r="T82" s="12">
        <v>123.7</v>
      </c>
      <c r="U82" s="12">
        <v>118.6</v>
      </c>
      <c r="V82" s="12">
        <v>118.3</v>
      </c>
      <c r="W82" s="12">
        <v>119.2</v>
      </c>
      <c r="X82" s="12">
        <v>116.7</v>
      </c>
      <c r="Y82" s="12">
        <v>109.9</v>
      </c>
      <c r="Z82" s="12">
        <v>115.4</v>
      </c>
      <c r="AA82" s="12">
        <v>120.1</v>
      </c>
      <c r="AB82" s="12">
        <v>111</v>
      </c>
      <c r="AC82" s="12">
        <v>114.7</v>
      </c>
      <c r="AD82" s="12">
        <v>120.2</v>
      </c>
    </row>
    <row r="83" spans="1:30" ht="15" customHeight="1" x14ac:dyDescent="0.25">
      <c r="A83" s="3" t="s">
        <v>84</v>
      </c>
      <c r="B83" s="12">
        <v>2015</v>
      </c>
      <c r="C83" s="3" t="s">
        <v>93</v>
      </c>
      <c r="D83" s="12">
        <v>123.3</v>
      </c>
      <c r="E83" s="12">
        <v>125.5</v>
      </c>
      <c r="F83" s="12">
        <v>117.2</v>
      </c>
      <c r="G83" s="12">
        <v>126.8</v>
      </c>
      <c r="H83" s="12">
        <v>111.9</v>
      </c>
      <c r="I83" s="12">
        <v>134.19999999999999</v>
      </c>
      <c r="J83" s="12">
        <v>127.5</v>
      </c>
      <c r="K83" s="12">
        <v>121.5</v>
      </c>
      <c r="L83" s="12">
        <v>97.8</v>
      </c>
      <c r="M83" s="12">
        <v>119.8</v>
      </c>
      <c r="N83" s="12">
        <v>119.4</v>
      </c>
      <c r="O83" s="12">
        <v>128.69999999999999</v>
      </c>
      <c r="P83" s="12">
        <v>123.6</v>
      </c>
      <c r="Q83" s="12">
        <v>125.7</v>
      </c>
      <c r="R83" s="12">
        <v>126.4</v>
      </c>
      <c r="S83" s="12">
        <v>123.3</v>
      </c>
      <c r="T83" s="12">
        <v>126</v>
      </c>
      <c r="U83" s="13"/>
      <c r="V83" s="12">
        <v>121.2</v>
      </c>
      <c r="W83" s="12">
        <v>120.9</v>
      </c>
      <c r="X83" s="12">
        <v>118.6</v>
      </c>
      <c r="Y83" s="12">
        <v>111.9</v>
      </c>
      <c r="Z83" s="12">
        <v>116.2</v>
      </c>
      <c r="AA83" s="12">
        <v>119.9</v>
      </c>
      <c r="AB83" s="12">
        <v>111.6</v>
      </c>
      <c r="AC83" s="12">
        <v>116</v>
      </c>
      <c r="AD83" s="12">
        <v>121.5</v>
      </c>
    </row>
    <row r="84" spans="1:30" ht="15" customHeight="1" x14ac:dyDescent="0.2">
      <c r="A84" s="3" t="s">
        <v>87</v>
      </c>
      <c r="B84" s="12">
        <v>2015</v>
      </c>
      <c r="C84" s="3" t="s">
        <v>93</v>
      </c>
      <c r="D84" s="12">
        <v>123.8</v>
      </c>
      <c r="E84" s="12">
        <v>128.19999999999999</v>
      </c>
      <c r="F84" s="12">
        <v>110</v>
      </c>
      <c r="G84" s="12">
        <v>126.3</v>
      </c>
      <c r="H84" s="12">
        <v>104.5</v>
      </c>
      <c r="I84" s="12">
        <v>130.6</v>
      </c>
      <c r="J84" s="12">
        <v>130.80000000000001</v>
      </c>
      <c r="K84" s="12">
        <v>131.30000000000001</v>
      </c>
      <c r="L84" s="12">
        <v>91.6</v>
      </c>
      <c r="M84" s="12">
        <v>127.7</v>
      </c>
      <c r="N84" s="12">
        <v>117.2</v>
      </c>
      <c r="O84" s="12">
        <v>129.5</v>
      </c>
      <c r="P84" s="12">
        <v>124.6</v>
      </c>
      <c r="Q84" s="12">
        <v>130.1</v>
      </c>
      <c r="R84" s="12">
        <v>122.1</v>
      </c>
      <c r="S84" s="12">
        <v>117.2</v>
      </c>
      <c r="T84" s="12">
        <v>121.3</v>
      </c>
      <c r="U84" s="12">
        <v>119.2</v>
      </c>
      <c r="V84" s="12">
        <v>114.7</v>
      </c>
      <c r="W84" s="12">
        <v>118.4</v>
      </c>
      <c r="X84" s="12">
        <v>114.6</v>
      </c>
      <c r="Y84" s="12">
        <v>108.4</v>
      </c>
      <c r="Z84" s="12">
        <v>115.6</v>
      </c>
      <c r="AA84" s="12">
        <v>121.7</v>
      </c>
      <c r="AB84" s="12">
        <v>111.8</v>
      </c>
      <c r="AC84" s="12">
        <v>114.2</v>
      </c>
      <c r="AD84" s="12">
        <v>119.7</v>
      </c>
    </row>
    <row r="85" spans="1:30" ht="15" customHeight="1" x14ac:dyDescent="0.2">
      <c r="A85" s="3" t="s">
        <v>89</v>
      </c>
      <c r="B85" s="12">
        <v>2015</v>
      </c>
      <c r="C85" s="3" t="s">
        <v>93</v>
      </c>
      <c r="D85" s="12">
        <v>123.5</v>
      </c>
      <c r="E85" s="12">
        <v>126.4</v>
      </c>
      <c r="F85" s="12">
        <v>114.4</v>
      </c>
      <c r="G85" s="12">
        <v>126.6</v>
      </c>
      <c r="H85" s="12">
        <v>109.2</v>
      </c>
      <c r="I85" s="12">
        <v>132.5</v>
      </c>
      <c r="J85" s="12">
        <v>128.6</v>
      </c>
      <c r="K85" s="12">
        <v>124.8</v>
      </c>
      <c r="L85" s="12">
        <v>95.7</v>
      </c>
      <c r="M85" s="12">
        <v>122.4</v>
      </c>
      <c r="N85" s="12">
        <v>118.5</v>
      </c>
      <c r="O85" s="12">
        <v>129.1</v>
      </c>
      <c r="P85" s="12">
        <v>124</v>
      </c>
      <c r="Q85" s="12">
        <v>126.9</v>
      </c>
      <c r="R85" s="12">
        <v>124.7</v>
      </c>
      <c r="S85" s="12">
        <v>120.8</v>
      </c>
      <c r="T85" s="12">
        <v>124.1</v>
      </c>
      <c r="U85" s="12">
        <v>119.2</v>
      </c>
      <c r="V85" s="12">
        <v>118.7</v>
      </c>
      <c r="W85" s="12">
        <v>119.7</v>
      </c>
      <c r="X85" s="12">
        <v>117.1</v>
      </c>
      <c r="Y85" s="12">
        <v>110.1</v>
      </c>
      <c r="Z85" s="12">
        <v>115.9</v>
      </c>
      <c r="AA85" s="12">
        <v>121</v>
      </c>
      <c r="AB85" s="12">
        <v>111.7</v>
      </c>
      <c r="AC85" s="12">
        <v>115.1</v>
      </c>
      <c r="AD85" s="12">
        <v>120.7</v>
      </c>
    </row>
    <row r="86" spans="1:30" ht="15" customHeight="1" x14ac:dyDescent="0.25">
      <c r="A86" s="3" t="s">
        <v>84</v>
      </c>
      <c r="B86" s="12">
        <v>2015</v>
      </c>
      <c r="C86" s="3" t="s">
        <v>95</v>
      </c>
      <c r="D86" s="12">
        <v>123.5</v>
      </c>
      <c r="E86" s="12">
        <v>127.1</v>
      </c>
      <c r="F86" s="12">
        <v>117.3</v>
      </c>
      <c r="G86" s="12">
        <v>127.7</v>
      </c>
      <c r="H86" s="12">
        <v>112.5</v>
      </c>
      <c r="I86" s="12">
        <v>134.1</v>
      </c>
      <c r="J86" s="12">
        <v>128.5</v>
      </c>
      <c r="K86" s="12">
        <v>124.3</v>
      </c>
      <c r="L86" s="12">
        <v>97.6</v>
      </c>
      <c r="M86" s="12">
        <v>120.7</v>
      </c>
      <c r="N86" s="12">
        <v>120.2</v>
      </c>
      <c r="O86" s="12">
        <v>129.80000000000001</v>
      </c>
      <c r="P86" s="12">
        <v>124.4</v>
      </c>
      <c r="Q86" s="12">
        <v>126.7</v>
      </c>
      <c r="R86" s="12">
        <v>127.3</v>
      </c>
      <c r="S86" s="12">
        <v>124.1</v>
      </c>
      <c r="T86" s="12">
        <v>126.8</v>
      </c>
      <c r="U86" s="13"/>
      <c r="V86" s="12">
        <v>121.9</v>
      </c>
      <c r="W86" s="12">
        <v>121.5</v>
      </c>
      <c r="X86" s="12">
        <v>119.4</v>
      </c>
      <c r="Y86" s="12">
        <v>113.3</v>
      </c>
      <c r="Z86" s="12">
        <v>116.7</v>
      </c>
      <c r="AA86" s="12">
        <v>120.5</v>
      </c>
      <c r="AB86" s="12">
        <v>112.3</v>
      </c>
      <c r="AC86" s="12">
        <v>116.9</v>
      </c>
      <c r="AD86" s="12">
        <v>122.4</v>
      </c>
    </row>
    <row r="87" spans="1:30" ht="15" customHeight="1" x14ac:dyDescent="0.2">
      <c r="A87" s="3" t="s">
        <v>87</v>
      </c>
      <c r="B87" s="12">
        <v>2015</v>
      </c>
      <c r="C87" s="3" t="s">
        <v>95</v>
      </c>
      <c r="D87" s="12">
        <v>123.8</v>
      </c>
      <c r="E87" s="12">
        <v>129.69999999999999</v>
      </c>
      <c r="F87" s="12">
        <v>111.3</v>
      </c>
      <c r="G87" s="12">
        <v>126.6</v>
      </c>
      <c r="H87" s="12">
        <v>105.2</v>
      </c>
      <c r="I87" s="12">
        <v>130.80000000000001</v>
      </c>
      <c r="J87" s="12">
        <v>135.6</v>
      </c>
      <c r="K87" s="12">
        <v>142.6</v>
      </c>
      <c r="L87" s="12">
        <v>90.8</v>
      </c>
      <c r="M87" s="12">
        <v>128.80000000000001</v>
      </c>
      <c r="N87" s="12">
        <v>117.7</v>
      </c>
      <c r="O87" s="12">
        <v>129.9</v>
      </c>
      <c r="P87" s="12">
        <v>126.1</v>
      </c>
      <c r="Q87" s="12">
        <v>131.30000000000001</v>
      </c>
      <c r="R87" s="12">
        <v>122.4</v>
      </c>
      <c r="S87" s="12">
        <v>117.4</v>
      </c>
      <c r="T87" s="12">
        <v>121.6</v>
      </c>
      <c r="U87" s="12">
        <v>119.6</v>
      </c>
      <c r="V87" s="12">
        <v>114.9</v>
      </c>
      <c r="W87" s="12">
        <v>118.7</v>
      </c>
      <c r="X87" s="12">
        <v>114.9</v>
      </c>
      <c r="Y87" s="12">
        <v>110.8</v>
      </c>
      <c r="Z87" s="12">
        <v>116</v>
      </c>
      <c r="AA87" s="12">
        <v>122</v>
      </c>
      <c r="AB87" s="12">
        <v>112.4</v>
      </c>
      <c r="AC87" s="12">
        <v>115.2</v>
      </c>
      <c r="AD87" s="12">
        <v>120.7</v>
      </c>
    </row>
    <row r="88" spans="1:30" ht="15" customHeight="1" x14ac:dyDescent="0.2">
      <c r="A88" s="3" t="s">
        <v>89</v>
      </c>
      <c r="B88" s="12">
        <v>2015</v>
      </c>
      <c r="C88" s="3" t="s">
        <v>95</v>
      </c>
      <c r="D88" s="12">
        <v>123.6</v>
      </c>
      <c r="E88" s="12">
        <v>128</v>
      </c>
      <c r="F88" s="12">
        <v>115</v>
      </c>
      <c r="G88" s="12">
        <v>127.3</v>
      </c>
      <c r="H88" s="12">
        <v>109.8</v>
      </c>
      <c r="I88" s="12">
        <v>132.6</v>
      </c>
      <c r="J88" s="12">
        <v>130.9</v>
      </c>
      <c r="K88" s="12">
        <v>130.5</v>
      </c>
      <c r="L88" s="12">
        <v>95.3</v>
      </c>
      <c r="M88" s="12">
        <v>123.4</v>
      </c>
      <c r="N88" s="12">
        <v>119.2</v>
      </c>
      <c r="O88" s="12">
        <v>129.80000000000001</v>
      </c>
      <c r="P88" s="12">
        <v>125</v>
      </c>
      <c r="Q88" s="12">
        <v>127.9</v>
      </c>
      <c r="R88" s="12">
        <v>125.4</v>
      </c>
      <c r="S88" s="12">
        <v>121.3</v>
      </c>
      <c r="T88" s="12">
        <v>124.7</v>
      </c>
      <c r="U88" s="12">
        <v>119.6</v>
      </c>
      <c r="V88" s="12">
        <v>119.2</v>
      </c>
      <c r="W88" s="12">
        <v>120.2</v>
      </c>
      <c r="X88" s="12">
        <v>117.7</v>
      </c>
      <c r="Y88" s="12">
        <v>112</v>
      </c>
      <c r="Z88" s="12">
        <v>116.3</v>
      </c>
      <c r="AA88" s="12">
        <v>121.4</v>
      </c>
      <c r="AB88" s="12">
        <v>112.3</v>
      </c>
      <c r="AC88" s="12">
        <v>116.1</v>
      </c>
      <c r="AD88" s="12">
        <v>121.6</v>
      </c>
    </row>
    <row r="89" spans="1:30" ht="15" customHeight="1" x14ac:dyDescent="0.25">
      <c r="A89" s="3" t="s">
        <v>84</v>
      </c>
      <c r="B89" s="12">
        <v>2015</v>
      </c>
      <c r="C89" s="3" t="s">
        <v>96</v>
      </c>
      <c r="D89" s="12">
        <v>124.1</v>
      </c>
      <c r="E89" s="12">
        <v>130.4</v>
      </c>
      <c r="F89" s="12">
        <v>122.1</v>
      </c>
      <c r="G89" s="12">
        <v>128.69999999999999</v>
      </c>
      <c r="H89" s="12">
        <v>114.1</v>
      </c>
      <c r="I89" s="12">
        <v>133.19999999999999</v>
      </c>
      <c r="J89" s="12">
        <v>135.19999999999999</v>
      </c>
      <c r="K89" s="12">
        <v>131.9</v>
      </c>
      <c r="L89" s="12">
        <v>96.3</v>
      </c>
      <c r="M89" s="12">
        <v>123</v>
      </c>
      <c r="N89" s="12">
        <v>121.1</v>
      </c>
      <c r="O89" s="12">
        <v>131.19999999999999</v>
      </c>
      <c r="P89" s="12">
        <v>126.6</v>
      </c>
      <c r="Q89" s="12">
        <v>128.19999999999999</v>
      </c>
      <c r="R89" s="12">
        <v>128.4</v>
      </c>
      <c r="S89" s="12">
        <v>125.1</v>
      </c>
      <c r="T89" s="12">
        <v>128</v>
      </c>
      <c r="U89" s="13"/>
      <c r="V89" s="12">
        <v>122.6</v>
      </c>
      <c r="W89" s="12">
        <v>122.8</v>
      </c>
      <c r="X89" s="12">
        <v>120.4</v>
      </c>
      <c r="Y89" s="12">
        <v>114.2</v>
      </c>
      <c r="Z89" s="12">
        <v>117.9</v>
      </c>
      <c r="AA89" s="12">
        <v>122</v>
      </c>
      <c r="AB89" s="12">
        <v>113</v>
      </c>
      <c r="AC89" s="12">
        <v>117.9</v>
      </c>
      <c r="AD89" s="12">
        <v>124.1</v>
      </c>
    </row>
    <row r="90" spans="1:30" ht="15" customHeight="1" x14ac:dyDescent="0.2">
      <c r="A90" s="3" t="s">
        <v>87</v>
      </c>
      <c r="B90" s="12">
        <v>2015</v>
      </c>
      <c r="C90" s="3" t="s">
        <v>96</v>
      </c>
      <c r="D90" s="12">
        <v>123.6</v>
      </c>
      <c r="E90" s="12">
        <v>134.4</v>
      </c>
      <c r="F90" s="12">
        <v>120.9</v>
      </c>
      <c r="G90" s="12">
        <v>127.3</v>
      </c>
      <c r="H90" s="12">
        <v>106</v>
      </c>
      <c r="I90" s="12">
        <v>132.30000000000001</v>
      </c>
      <c r="J90" s="12">
        <v>146.69999999999999</v>
      </c>
      <c r="K90" s="12">
        <v>148.1</v>
      </c>
      <c r="L90" s="12">
        <v>89.8</v>
      </c>
      <c r="M90" s="12">
        <v>130.5</v>
      </c>
      <c r="N90" s="12">
        <v>118</v>
      </c>
      <c r="O90" s="12">
        <v>130.5</v>
      </c>
      <c r="P90" s="12">
        <v>128.5</v>
      </c>
      <c r="Q90" s="12">
        <v>132.1</v>
      </c>
      <c r="R90" s="12">
        <v>123.2</v>
      </c>
      <c r="S90" s="12">
        <v>117.6</v>
      </c>
      <c r="T90" s="12">
        <v>122.3</v>
      </c>
      <c r="U90" s="12">
        <v>119</v>
      </c>
      <c r="V90" s="12">
        <v>115.1</v>
      </c>
      <c r="W90" s="12">
        <v>119.2</v>
      </c>
      <c r="X90" s="12">
        <v>115.4</v>
      </c>
      <c r="Y90" s="12">
        <v>111.7</v>
      </c>
      <c r="Z90" s="12">
        <v>116.2</v>
      </c>
      <c r="AA90" s="12">
        <v>123.8</v>
      </c>
      <c r="AB90" s="12">
        <v>112.5</v>
      </c>
      <c r="AC90" s="12">
        <v>116</v>
      </c>
      <c r="AD90" s="12">
        <v>121.7</v>
      </c>
    </row>
    <row r="91" spans="1:30" ht="15" customHeight="1" x14ac:dyDescent="0.2">
      <c r="A91" s="3" t="s">
        <v>89</v>
      </c>
      <c r="B91" s="12">
        <v>2015</v>
      </c>
      <c r="C91" s="3" t="s">
        <v>96</v>
      </c>
      <c r="D91" s="12">
        <v>123.9</v>
      </c>
      <c r="E91" s="12">
        <v>131.80000000000001</v>
      </c>
      <c r="F91" s="12">
        <v>121.6</v>
      </c>
      <c r="G91" s="12">
        <v>128.19999999999999</v>
      </c>
      <c r="H91" s="12">
        <v>111.1</v>
      </c>
      <c r="I91" s="12">
        <v>132.80000000000001</v>
      </c>
      <c r="J91" s="12">
        <v>139.1</v>
      </c>
      <c r="K91" s="12">
        <v>137.4</v>
      </c>
      <c r="L91" s="12">
        <v>94.1</v>
      </c>
      <c r="M91" s="12">
        <v>125.5</v>
      </c>
      <c r="N91" s="12">
        <v>119.8</v>
      </c>
      <c r="O91" s="12">
        <v>130.9</v>
      </c>
      <c r="P91" s="12">
        <v>127.3</v>
      </c>
      <c r="Q91" s="12">
        <v>129.19999999999999</v>
      </c>
      <c r="R91" s="12">
        <v>126.4</v>
      </c>
      <c r="S91" s="12">
        <v>122</v>
      </c>
      <c r="T91" s="12">
        <v>125.7</v>
      </c>
      <c r="U91" s="12">
        <v>119</v>
      </c>
      <c r="V91" s="12">
        <v>119.8</v>
      </c>
      <c r="W91" s="12">
        <v>121.1</v>
      </c>
      <c r="X91" s="12">
        <v>118.5</v>
      </c>
      <c r="Y91" s="12">
        <v>112.9</v>
      </c>
      <c r="Z91" s="12">
        <v>116.9</v>
      </c>
      <c r="AA91" s="12">
        <v>123.1</v>
      </c>
      <c r="AB91" s="12">
        <v>112.8</v>
      </c>
      <c r="AC91" s="12">
        <v>117</v>
      </c>
      <c r="AD91" s="12">
        <v>123</v>
      </c>
    </row>
    <row r="92" spans="1:30" ht="15" customHeight="1" x14ac:dyDescent="0.25">
      <c r="A92" s="3" t="s">
        <v>84</v>
      </c>
      <c r="B92" s="12">
        <v>2015</v>
      </c>
      <c r="C92" s="3" t="s">
        <v>98</v>
      </c>
      <c r="D92" s="12">
        <v>124</v>
      </c>
      <c r="E92" s="12">
        <v>131.5</v>
      </c>
      <c r="F92" s="12">
        <v>122</v>
      </c>
      <c r="G92" s="12">
        <v>128.69999999999999</v>
      </c>
      <c r="H92" s="12">
        <v>113.5</v>
      </c>
      <c r="I92" s="12">
        <v>133.30000000000001</v>
      </c>
      <c r="J92" s="12">
        <v>140.80000000000001</v>
      </c>
      <c r="K92" s="12">
        <v>133.80000000000001</v>
      </c>
      <c r="L92" s="12">
        <v>94.1</v>
      </c>
      <c r="M92" s="12">
        <v>123.4</v>
      </c>
      <c r="N92" s="12">
        <v>121</v>
      </c>
      <c r="O92" s="12">
        <v>131.69999999999999</v>
      </c>
      <c r="P92" s="12">
        <v>127.5</v>
      </c>
      <c r="Q92" s="12">
        <v>129.4</v>
      </c>
      <c r="R92" s="12">
        <v>128.80000000000001</v>
      </c>
      <c r="S92" s="12">
        <v>125.5</v>
      </c>
      <c r="T92" s="12">
        <v>128.30000000000001</v>
      </c>
      <c r="U92" s="13"/>
      <c r="V92" s="12">
        <v>123</v>
      </c>
      <c r="W92" s="12">
        <v>123</v>
      </c>
      <c r="X92" s="12">
        <v>120.8</v>
      </c>
      <c r="Y92" s="12">
        <v>114.1</v>
      </c>
      <c r="Z92" s="12">
        <v>118</v>
      </c>
      <c r="AA92" s="12">
        <v>122.9</v>
      </c>
      <c r="AB92" s="12">
        <v>112.7</v>
      </c>
      <c r="AC92" s="12">
        <v>118.1</v>
      </c>
      <c r="AD92" s="12">
        <v>124.7</v>
      </c>
    </row>
    <row r="93" spans="1:30" ht="15" customHeight="1" x14ac:dyDescent="0.2">
      <c r="A93" s="3" t="s">
        <v>87</v>
      </c>
      <c r="B93" s="12">
        <v>2015</v>
      </c>
      <c r="C93" s="3" t="s">
        <v>98</v>
      </c>
      <c r="D93" s="12">
        <v>123.2</v>
      </c>
      <c r="E93" s="12">
        <v>134.30000000000001</v>
      </c>
      <c r="F93" s="12">
        <v>119.5</v>
      </c>
      <c r="G93" s="12">
        <v>127.7</v>
      </c>
      <c r="H93" s="12">
        <v>106.3</v>
      </c>
      <c r="I93" s="12">
        <v>132.80000000000001</v>
      </c>
      <c r="J93" s="12">
        <v>153.5</v>
      </c>
      <c r="K93" s="12">
        <v>149.5</v>
      </c>
      <c r="L93" s="12">
        <v>85.7</v>
      </c>
      <c r="M93" s="12">
        <v>131.5</v>
      </c>
      <c r="N93" s="12">
        <v>118.3</v>
      </c>
      <c r="O93" s="12">
        <v>131.1</v>
      </c>
      <c r="P93" s="12">
        <v>129.5</v>
      </c>
      <c r="Q93" s="12">
        <v>133.1</v>
      </c>
      <c r="R93" s="12">
        <v>123.5</v>
      </c>
      <c r="S93" s="12">
        <v>117.9</v>
      </c>
      <c r="T93" s="12">
        <v>122.7</v>
      </c>
      <c r="U93" s="12">
        <v>119.9</v>
      </c>
      <c r="V93" s="12">
        <v>115.3</v>
      </c>
      <c r="W93" s="12">
        <v>119.5</v>
      </c>
      <c r="X93" s="12">
        <v>116</v>
      </c>
      <c r="Y93" s="12">
        <v>111.5</v>
      </c>
      <c r="Z93" s="12">
        <v>116.6</v>
      </c>
      <c r="AA93" s="12">
        <v>125.4</v>
      </c>
      <c r="AB93" s="12">
        <v>111.7</v>
      </c>
      <c r="AC93" s="12">
        <v>116.3</v>
      </c>
      <c r="AD93" s="12">
        <v>122.4</v>
      </c>
    </row>
    <row r="94" spans="1:30" ht="15" customHeight="1" x14ac:dyDescent="0.2">
      <c r="A94" s="3" t="s">
        <v>89</v>
      </c>
      <c r="B94" s="12">
        <v>2015</v>
      </c>
      <c r="C94" s="3" t="s">
        <v>98</v>
      </c>
      <c r="D94" s="12">
        <v>123.7</v>
      </c>
      <c r="E94" s="12">
        <v>132.5</v>
      </c>
      <c r="F94" s="12">
        <v>121</v>
      </c>
      <c r="G94" s="12">
        <v>128.30000000000001</v>
      </c>
      <c r="H94" s="12">
        <v>110.9</v>
      </c>
      <c r="I94" s="12">
        <v>133.1</v>
      </c>
      <c r="J94" s="12">
        <v>145.1</v>
      </c>
      <c r="K94" s="12">
        <v>139.1</v>
      </c>
      <c r="L94" s="12">
        <v>91.3</v>
      </c>
      <c r="M94" s="12">
        <v>126.1</v>
      </c>
      <c r="N94" s="12">
        <v>119.9</v>
      </c>
      <c r="O94" s="12">
        <v>131.4</v>
      </c>
      <c r="P94" s="12">
        <v>128.19999999999999</v>
      </c>
      <c r="Q94" s="12">
        <v>130.4</v>
      </c>
      <c r="R94" s="12">
        <v>126.7</v>
      </c>
      <c r="S94" s="12">
        <v>122.3</v>
      </c>
      <c r="T94" s="12">
        <v>126.1</v>
      </c>
      <c r="U94" s="12">
        <v>119.9</v>
      </c>
      <c r="V94" s="12">
        <v>120.1</v>
      </c>
      <c r="W94" s="12">
        <v>121.3</v>
      </c>
      <c r="X94" s="12">
        <v>119</v>
      </c>
      <c r="Y94" s="12">
        <v>112.7</v>
      </c>
      <c r="Z94" s="12">
        <v>117.2</v>
      </c>
      <c r="AA94" s="12">
        <v>124.4</v>
      </c>
      <c r="AB94" s="12">
        <v>112.3</v>
      </c>
      <c r="AC94" s="12">
        <v>117.2</v>
      </c>
      <c r="AD94" s="12">
        <v>123.6</v>
      </c>
    </row>
    <row r="95" spans="1:30" ht="15" customHeight="1" x14ac:dyDescent="0.25">
      <c r="A95" s="3" t="s">
        <v>84</v>
      </c>
      <c r="B95" s="12">
        <v>2015</v>
      </c>
      <c r="C95" s="3" t="s">
        <v>100</v>
      </c>
      <c r="D95" s="12">
        <v>124.7</v>
      </c>
      <c r="E95" s="12">
        <v>131.30000000000001</v>
      </c>
      <c r="F95" s="12">
        <v>121.3</v>
      </c>
      <c r="G95" s="12">
        <v>128.80000000000001</v>
      </c>
      <c r="H95" s="12">
        <v>114</v>
      </c>
      <c r="I95" s="12">
        <v>134.19999999999999</v>
      </c>
      <c r="J95" s="12">
        <v>153.6</v>
      </c>
      <c r="K95" s="12">
        <v>137.9</v>
      </c>
      <c r="L95" s="12">
        <v>93.1</v>
      </c>
      <c r="M95" s="12">
        <v>123.9</v>
      </c>
      <c r="N95" s="12">
        <v>121.5</v>
      </c>
      <c r="O95" s="12">
        <v>132.5</v>
      </c>
      <c r="P95" s="12">
        <v>129.80000000000001</v>
      </c>
      <c r="Q95" s="12">
        <v>130.1</v>
      </c>
      <c r="R95" s="12">
        <v>129.5</v>
      </c>
      <c r="S95" s="12">
        <v>126.3</v>
      </c>
      <c r="T95" s="12">
        <v>129</v>
      </c>
      <c r="U95" s="13"/>
      <c r="V95" s="12">
        <v>123.8</v>
      </c>
      <c r="W95" s="12">
        <v>123.7</v>
      </c>
      <c r="X95" s="12">
        <v>121.1</v>
      </c>
      <c r="Y95" s="12">
        <v>113.6</v>
      </c>
      <c r="Z95" s="12">
        <v>118.5</v>
      </c>
      <c r="AA95" s="12">
        <v>123.6</v>
      </c>
      <c r="AB95" s="12">
        <v>112.5</v>
      </c>
      <c r="AC95" s="12">
        <v>118.2</v>
      </c>
      <c r="AD95" s="12">
        <v>126.1</v>
      </c>
    </row>
    <row r="96" spans="1:30" ht="15" customHeight="1" x14ac:dyDescent="0.2">
      <c r="A96" s="3" t="s">
        <v>87</v>
      </c>
      <c r="B96" s="12">
        <v>2015</v>
      </c>
      <c r="C96" s="3" t="s">
        <v>100</v>
      </c>
      <c r="D96" s="12">
        <v>123.1</v>
      </c>
      <c r="E96" s="12">
        <v>131.69999999999999</v>
      </c>
      <c r="F96" s="12">
        <v>118.1</v>
      </c>
      <c r="G96" s="12">
        <v>128</v>
      </c>
      <c r="H96" s="12">
        <v>106.8</v>
      </c>
      <c r="I96" s="12">
        <v>130.1</v>
      </c>
      <c r="J96" s="12">
        <v>165.5</v>
      </c>
      <c r="K96" s="12">
        <v>156</v>
      </c>
      <c r="L96" s="12">
        <v>85.3</v>
      </c>
      <c r="M96" s="12">
        <v>132.69999999999999</v>
      </c>
      <c r="N96" s="12">
        <v>118.8</v>
      </c>
      <c r="O96" s="12">
        <v>131.69999999999999</v>
      </c>
      <c r="P96" s="12">
        <v>131.1</v>
      </c>
      <c r="Q96" s="12">
        <v>134.19999999999999</v>
      </c>
      <c r="R96" s="12">
        <v>123.7</v>
      </c>
      <c r="S96" s="12">
        <v>118.2</v>
      </c>
      <c r="T96" s="12">
        <v>122.9</v>
      </c>
      <c r="U96" s="12">
        <v>120.9</v>
      </c>
      <c r="V96" s="12">
        <v>115.3</v>
      </c>
      <c r="W96" s="12">
        <v>120</v>
      </c>
      <c r="X96" s="12">
        <v>116.6</v>
      </c>
      <c r="Y96" s="12">
        <v>109.9</v>
      </c>
      <c r="Z96" s="12">
        <v>117.2</v>
      </c>
      <c r="AA96" s="12">
        <v>126.2</v>
      </c>
      <c r="AB96" s="12">
        <v>112</v>
      </c>
      <c r="AC96" s="12">
        <v>116.2</v>
      </c>
      <c r="AD96" s="12">
        <v>123.2</v>
      </c>
    </row>
    <row r="97" spans="1:30" ht="15" customHeight="1" x14ac:dyDescent="0.2">
      <c r="A97" s="3" t="s">
        <v>89</v>
      </c>
      <c r="B97" s="12">
        <v>2015</v>
      </c>
      <c r="C97" s="3" t="s">
        <v>100</v>
      </c>
      <c r="D97" s="12">
        <v>124.2</v>
      </c>
      <c r="E97" s="12">
        <v>131.4</v>
      </c>
      <c r="F97" s="12">
        <v>120.1</v>
      </c>
      <c r="G97" s="12">
        <v>128.5</v>
      </c>
      <c r="H97" s="12">
        <v>111.4</v>
      </c>
      <c r="I97" s="12">
        <v>132.30000000000001</v>
      </c>
      <c r="J97" s="12">
        <v>157.6</v>
      </c>
      <c r="K97" s="12">
        <v>144</v>
      </c>
      <c r="L97" s="12">
        <v>90.5</v>
      </c>
      <c r="M97" s="12">
        <v>126.8</v>
      </c>
      <c r="N97" s="12">
        <v>120.4</v>
      </c>
      <c r="O97" s="12">
        <v>132.1</v>
      </c>
      <c r="P97" s="12">
        <v>130.30000000000001</v>
      </c>
      <c r="Q97" s="12">
        <v>131.19999999999999</v>
      </c>
      <c r="R97" s="12">
        <v>127.2</v>
      </c>
      <c r="S97" s="12">
        <v>122.9</v>
      </c>
      <c r="T97" s="12">
        <v>126.6</v>
      </c>
      <c r="U97" s="12">
        <v>120.9</v>
      </c>
      <c r="V97" s="12">
        <v>120.6</v>
      </c>
      <c r="W97" s="12">
        <v>122</v>
      </c>
      <c r="X97" s="12">
        <v>119.4</v>
      </c>
      <c r="Y97" s="12">
        <v>111.7</v>
      </c>
      <c r="Z97" s="12">
        <v>117.8</v>
      </c>
      <c r="AA97" s="12">
        <v>125.1</v>
      </c>
      <c r="AB97" s="12">
        <v>112.3</v>
      </c>
      <c r="AC97" s="12">
        <v>117.2</v>
      </c>
      <c r="AD97" s="12">
        <v>124.8</v>
      </c>
    </row>
    <row r="98" spans="1:30" ht="15" customHeight="1" x14ac:dyDescent="0.25">
      <c r="A98" s="3" t="s">
        <v>84</v>
      </c>
      <c r="B98" s="12">
        <v>2015</v>
      </c>
      <c r="C98" s="3" t="s">
        <v>102</v>
      </c>
      <c r="D98" s="12">
        <v>125.1</v>
      </c>
      <c r="E98" s="12">
        <v>131.1</v>
      </c>
      <c r="F98" s="12">
        <v>120.7</v>
      </c>
      <c r="G98" s="12">
        <v>129.19999999999999</v>
      </c>
      <c r="H98" s="12">
        <v>114.7</v>
      </c>
      <c r="I98" s="12">
        <v>132.30000000000001</v>
      </c>
      <c r="J98" s="12">
        <v>158.9</v>
      </c>
      <c r="K98" s="12">
        <v>142.1</v>
      </c>
      <c r="L98" s="12">
        <v>92.5</v>
      </c>
      <c r="M98" s="12">
        <v>125.4</v>
      </c>
      <c r="N98" s="12">
        <v>121.9</v>
      </c>
      <c r="O98" s="12">
        <v>132.69999999999999</v>
      </c>
      <c r="P98" s="12">
        <v>131</v>
      </c>
      <c r="Q98" s="12">
        <v>131</v>
      </c>
      <c r="R98" s="12">
        <v>130.4</v>
      </c>
      <c r="S98" s="12">
        <v>126.8</v>
      </c>
      <c r="T98" s="12">
        <v>129.9</v>
      </c>
      <c r="U98" s="13"/>
      <c r="V98" s="12">
        <v>123.7</v>
      </c>
      <c r="W98" s="12">
        <v>124.5</v>
      </c>
      <c r="X98" s="12">
        <v>121.4</v>
      </c>
      <c r="Y98" s="12">
        <v>113.8</v>
      </c>
      <c r="Z98" s="12">
        <v>119.6</v>
      </c>
      <c r="AA98" s="12">
        <v>124.5</v>
      </c>
      <c r="AB98" s="12">
        <v>113.7</v>
      </c>
      <c r="AC98" s="12">
        <v>118.8</v>
      </c>
      <c r="AD98" s="12">
        <v>127</v>
      </c>
    </row>
    <row r="99" spans="1:30" ht="15" customHeight="1" x14ac:dyDescent="0.2">
      <c r="A99" s="3" t="s">
        <v>87</v>
      </c>
      <c r="B99" s="12">
        <v>2015</v>
      </c>
      <c r="C99" s="3" t="s">
        <v>102</v>
      </c>
      <c r="D99" s="12">
        <v>123.4</v>
      </c>
      <c r="E99" s="12">
        <v>129</v>
      </c>
      <c r="F99" s="12">
        <v>115.6</v>
      </c>
      <c r="G99" s="12">
        <v>128.30000000000001</v>
      </c>
      <c r="H99" s="12">
        <v>107</v>
      </c>
      <c r="I99" s="12">
        <v>124</v>
      </c>
      <c r="J99" s="12">
        <v>168.5</v>
      </c>
      <c r="K99" s="12">
        <v>165.4</v>
      </c>
      <c r="L99" s="12">
        <v>86.3</v>
      </c>
      <c r="M99" s="12">
        <v>134.4</v>
      </c>
      <c r="N99" s="12">
        <v>119.1</v>
      </c>
      <c r="O99" s="12">
        <v>132.30000000000001</v>
      </c>
      <c r="P99" s="12">
        <v>131.5</v>
      </c>
      <c r="Q99" s="12">
        <v>134.69999999999999</v>
      </c>
      <c r="R99" s="12">
        <v>124</v>
      </c>
      <c r="S99" s="12">
        <v>118.6</v>
      </c>
      <c r="T99" s="12">
        <v>123.2</v>
      </c>
      <c r="U99" s="12">
        <v>121.6</v>
      </c>
      <c r="V99" s="12">
        <v>115.1</v>
      </c>
      <c r="W99" s="12">
        <v>120.4</v>
      </c>
      <c r="X99" s="12">
        <v>117.1</v>
      </c>
      <c r="Y99" s="12">
        <v>109.1</v>
      </c>
      <c r="Z99" s="12">
        <v>117.3</v>
      </c>
      <c r="AA99" s="12">
        <v>126.5</v>
      </c>
      <c r="AB99" s="12">
        <v>112.9</v>
      </c>
      <c r="AC99" s="12">
        <v>116.2</v>
      </c>
      <c r="AD99" s="12">
        <v>123.5</v>
      </c>
    </row>
    <row r="100" spans="1:30" ht="15" customHeight="1" x14ac:dyDescent="0.2">
      <c r="A100" s="3" t="s">
        <v>89</v>
      </c>
      <c r="B100" s="12">
        <v>2015</v>
      </c>
      <c r="C100" s="3" t="s">
        <v>102</v>
      </c>
      <c r="D100" s="12">
        <v>124.6</v>
      </c>
      <c r="E100" s="12">
        <v>130.4</v>
      </c>
      <c r="F100" s="12">
        <v>118.7</v>
      </c>
      <c r="G100" s="12">
        <v>128.9</v>
      </c>
      <c r="H100" s="12">
        <v>111.9</v>
      </c>
      <c r="I100" s="12">
        <v>128.4</v>
      </c>
      <c r="J100" s="12">
        <v>162.19999999999999</v>
      </c>
      <c r="K100" s="12">
        <v>150</v>
      </c>
      <c r="L100" s="12">
        <v>90.4</v>
      </c>
      <c r="M100" s="12">
        <v>128.4</v>
      </c>
      <c r="N100" s="12">
        <v>120.7</v>
      </c>
      <c r="O100" s="12">
        <v>132.5</v>
      </c>
      <c r="P100" s="12">
        <v>131.19999999999999</v>
      </c>
      <c r="Q100" s="12">
        <v>132</v>
      </c>
      <c r="R100" s="12">
        <v>127.9</v>
      </c>
      <c r="S100" s="12">
        <v>123.4</v>
      </c>
      <c r="T100" s="12">
        <v>127.2</v>
      </c>
      <c r="U100" s="12">
        <v>121.6</v>
      </c>
      <c r="V100" s="12">
        <v>120.4</v>
      </c>
      <c r="W100" s="12">
        <v>122.6</v>
      </c>
      <c r="X100" s="12">
        <v>119.8</v>
      </c>
      <c r="Y100" s="12">
        <v>111.3</v>
      </c>
      <c r="Z100" s="12">
        <v>118.3</v>
      </c>
      <c r="AA100" s="12">
        <v>125.7</v>
      </c>
      <c r="AB100" s="12">
        <v>113.4</v>
      </c>
      <c r="AC100" s="12">
        <v>117.5</v>
      </c>
      <c r="AD100" s="12">
        <v>125.4</v>
      </c>
    </row>
    <row r="101" spans="1:30" ht="15" customHeight="1" x14ac:dyDescent="0.25">
      <c r="A101" s="3" t="s">
        <v>84</v>
      </c>
      <c r="B101" s="12">
        <v>2015</v>
      </c>
      <c r="C101" s="3" t="s">
        <v>104</v>
      </c>
      <c r="D101" s="12">
        <v>125.6</v>
      </c>
      <c r="E101" s="12">
        <v>130.4</v>
      </c>
      <c r="F101" s="12">
        <v>120.8</v>
      </c>
      <c r="G101" s="12">
        <v>129.4</v>
      </c>
      <c r="H101" s="12">
        <v>115.8</v>
      </c>
      <c r="I101" s="12">
        <v>133.19999999999999</v>
      </c>
      <c r="J101" s="12">
        <v>157.69999999999999</v>
      </c>
      <c r="K101" s="12">
        <v>154.19999999999999</v>
      </c>
      <c r="L101" s="12">
        <v>93.7</v>
      </c>
      <c r="M101" s="12">
        <v>126.6</v>
      </c>
      <c r="N101" s="12">
        <v>122.3</v>
      </c>
      <c r="O101" s="12">
        <v>133.1</v>
      </c>
      <c r="P101" s="12">
        <v>131.80000000000001</v>
      </c>
      <c r="Q101" s="12">
        <v>131.5</v>
      </c>
      <c r="R101" s="12">
        <v>131.1</v>
      </c>
      <c r="S101" s="12">
        <v>127.3</v>
      </c>
      <c r="T101" s="12">
        <v>130.6</v>
      </c>
      <c r="U101" s="13"/>
      <c r="V101" s="12">
        <v>124.4</v>
      </c>
      <c r="W101" s="12">
        <v>125.1</v>
      </c>
      <c r="X101" s="12">
        <v>122</v>
      </c>
      <c r="Y101" s="12">
        <v>113.8</v>
      </c>
      <c r="Z101" s="12">
        <v>120.1</v>
      </c>
      <c r="AA101" s="12">
        <v>125.1</v>
      </c>
      <c r="AB101" s="12">
        <v>114.2</v>
      </c>
      <c r="AC101" s="12">
        <v>119.2</v>
      </c>
      <c r="AD101" s="12">
        <v>127.7</v>
      </c>
    </row>
    <row r="102" spans="1:30" ht="15" customHeight="1" x14ac:dyDescent="0.2">
      <c r="A102" s="3" t="s">
        <v>87</v>
      </c>
      <c r="B102" s="12">
        <v>2015</v>
      </c>
      <c r="C102" s="3" t="s">
        <v>104</v>
      </c>
      <c r="D102" s="12">
        <v>123.6</v>
      </c>
      <c r="E102" s="12">
        <v>128.6</v>
      </c>
      <c r="F102" s="12">
        <v>115.9</v>
      </c>
      <c r="G102" s="12">
        <v>128.5</v>
      </c>
      <c r="H102" s="12">
        <v>109</v>
      </c>
      <c r="I102" s="12">
        <v>124.1</v>
      </c>
      <c r="J102" s="12">
        <v>165.8</v>
      </c>
      <c r="K102" s="12">
        <v>187.2</v>
      </c>
      <c r="L102" s="12">
        <v>89.4</v>
      </c>
      <c r="M102" s="12">
        <v>135.80000000000001</v>
      </c>
      <c r="N102" s="12">
        <v>119.4</v>
      </c>
      <c r="O102" s="12">
        <v>132.9</v>
      </c>
      <c r="P102" s="12">
        <v>132.6</v>
      </c>
      <c r="Q102" s="12">
        <v>135.30000000000001</v>
      </c>
      <c r="R102" s="12">
        <v>124.4</v>
      </c>
      <c r="S102" s="12">
        <v>118.8</v>
      </c>
      <c r="T102" s="12">
        <v>123.6</v>
      </c>
      <c r="U102" s="12">
        <v>122.4</v>
      </c>
      <c r="V102" s="12">
        <v>114.9</v>
      </c>
      <c r="W102" s="12">
        <v>120.7</v>
      </c>
      <c r="X102" s="12">
        <v>117.7</v>
      </c>
      <c r="Y102" s="12">
        <v>109.3</v>
      </c>
      <c r="Z102" s="12">
        <v>117.7</v>
      </c>
      <c r="AA102" s="12">
        <v>126.5</v>
      </c>
      <c r="AB102" s="12">
        <v>113.5</v>
      </c>
      <c r="AC102" s="12">
        <v>116.5</v>
      </c>
      <c r="AD102" s="12">
        <v>124.2</v>
      </c>
    </row>
    <row r="103" spans="1:30" ht="15" customHeight="1" x14ac:dyDescent="0.2">
      <c r="A103" s="3" t="s">
        <v>89</v>
      </c>
      <c r="B103" s="12">
        <v>2015</v>
      </c>
      <c r="C103" s="3" t="s">
        <v>104</v>
      </c>
      <c r="D103" s="12">
        <v>125</v>
      </c>
      <c r="E103" s="12">
        <v>129.80000000000001</v>
      </c>
      <c r="F103" s="12">
        <v>118.9</v>
      </c>
      <c r="G103" s="12">
        <v>129.1</v>
      </c>
      <c r="H103" s="12">
        <v>113.3</v>
      </c>
      <c r="I103" s="12">
        <v>129</v>
      </c>
      <c r="J103" s="12">
        <v>160.4</v>
      </c>
      <c r="K103" s="12">
        <v>165.3</v>
      </c>
      <c r="L103" s="12">
        <v>92.3</v>
      </c>
      <c r="M103" s="12">
        <v>129.69999999999999</v>
      </c>
      <c r="N103" s="12">
        <v>121.1</v>
      </c>
      <c r="O103" s="12">
        <v>133</v>
      </c>
      <c r="P103" s="12">
        <v>132.1</v>
      </c>
      <c r="Q103" s="12">
        <v>132.5</v>
      </c>
      <c r="R103" s="12">
        <v>128.5</v>
      </c>
      <c r="S103" s="12">
        <v>123.8</v>
      </c>
      <c r="T103" s="12">
        <v>127.8</v>
      </c>
      <c r="U103" s="12">
        <v>122.4</v>
      </c>
      <c r="V103" s="12">
        <v>120.8</v>
      </c>
      <c r="W103" s="12">
        <v>123</v>
      </c>
      <c r="X103" s="12">
        <v>120.4</v>
      </c>
      <c r="Y103" s="12">
        <v>111.4</v>
      </c>
      <c r="Z103" s="12">
        <v>118.7</v>
      </c>
      <c r="AA103" s="12">
        <v>125.9</v>
      </c>
      <c r="AB103" s="12">
        <v>113.9</v>
      </c>
      <c r="AC103" s="12">
        <v>117.9</v>
      </c>
      <c r="AD103" s="12">
        <v>126.1</v>
      </c>
    </row>
    <row r="104" spans="1:30" ht="15" customHeight="1" x14ac:dyDescent="0.25">
      <c r="A104" s="3" t="s">
        <v>84</v>
      </c>
      <c r="B104" s="12">
        <v>2015</v>
      </c>
      <c r="C104" s="3" t="s">
        <v>107</v>
      </c>
      <c r="D104" s="12">
        <v>126.1</v>
      </c>
      <c r="E104" s="12">
        <v>130.6</v>
      </c>
      <c r="F104" s="12">
        <v>121.7</v>
      </c>
      <c r="G104" s="12">
        <v>129.5</v>
      </c>
      <c r="H104" s="12">
        <v>117.8</v>
      </c>
      <c r="I104" s="12">
        <v>132.1</v>
      </c>
      <c r="J104" s="12">
        <v>155.19999999999999</v>
      </c>
      <c r="K104" s="12">
        <v>160.80000000000001</v>
      </c>
      <c r="L104" s="12">
        <v>94.5</v>
      </c>
      <c r="M104" s="12">
        <v>128.30000000000001</v>
      </c>
      <c r="N104" s="12">
        <v>123.1</v>
      </c>
      <c r="O104" s="12">
        <v>134.19999999999999</v>
      </c>
      <c r="P104" s="12">
        <v>132.4</v>
      </c>
      <c r="Q104" s="12">
        <v>132.19999999999999</v>
      </c>
      <c r="R104" s="12">
        <v>132.1</v>
      </c>
      <c r="S104" s="12">
        <v>128.19999999999999</v>
      </c>
      <c r="T104" s="12">
        <v>131.5</v>
      </c>
      <c r="U104" s="13"/>
      <c r="V104" s="12">
        <v>125.6</v>
      </c>
      <c r="W104" s="12">
        <v>125.6</v>
      </c>
      <c r="X104" s="12">
        <v>122.6</v>
      </c>
      <c r="Y104" s="12">
        <v>114</v>
      </c>
      <c r="Z104" s="12">
        <v>120.9</v>
      </c>
      <c r="AA104" s="12">
        <v>125.8</v>
      </c>
      <c r="AB104" s="12">
        <v>114.2</v>
      </c>
      <c r="AC104" s="12">
        <v>119.6</v>
      </c>
      <c r="AD104" s="12">
        <v>128.30000000000001</v>
      </c>
    </row>
    <row r="105" spans="1:30" ht="15" customHeight="1" x14ac:dyDescent="0.2">
      <c r="A105" s="3" t="s">
        <v>87</v>
      </c>
      <c r="B105" s="12">
        <v>2015</v>
      </c>
      <c r="C105" s="3" t="s">
        <v>107</v>
      </c>
      <c r="D105" s="12">
        <v>124</v>
      </c>
      <c r="E105" s="12">
        <v>129.80000000000001</v>
      </c>
      <c r="F105" s="12">
        <v>121.5</v>
      </c>
      <c r="G105" s="12">
        <v>128.6</v>
      </c>
      <c r="H105" s="12">
        <v>110</v>
      </c>
      <c r="I105" s="12">
        <v>123.7</v>
      </c>
      <c r="J105" s="12">
        <v>164.6</v>
      </c>
      <c r="K105" s="12">
        <v>191.6</v>
      </c>
      <c r="L105" s="12">
        <v>90.8</v>
      </c>
      <c r="M105" s="12">
        <v>137.1</v>
      </c>
      <c r="N105" s="12">
        <v>119.8</v>
      </c>
      <c r="O105" s="12">
        <v>133.69999999999999</v>
      </c>
      <c r="P105" s="12">
        <v>133.30000000000001</v>
      </c>
      <c r="Q105" s="12">
        <v>137.6</v>
      </c>
      <c r="R105" s="12">
        <v>125</v>
      </c>
      <c r="S105" s="12">
        <v>119.3</v>
      </c>
      <c r="T105" s="12">
        <v>124.2</v>
      </c>
      <c r="U105" s="12">
        <v>122.9</v>
      </c>
      <c r="V105" s="12">
        <v>115.1</v>
      </c>
      <c r="W105" s="12">
        <v>121</v>
      </c>
      <c r="X105" s="12">
        <v>118.1</v>
      </c>
      <c r="Y105" s="12">
        <v>109.3</v>
      </c>
      <c r="Z105" s="12">
        <v>117.9</v>
      </c>
      <c r="AA105" s="12">
        <v>126.6</v>
      </c>
      <c r="AB105" s="12">
        <v>113.3</v>
      </c>
      <c r="AC105" s="12">
        <v>116.6</v>
      </c>
      <c r="AD105" s="12">
        <v>124.6</v>
      </c>
    </row>
    <row r="106" spans="1:30" ht="15" customHeight="1" x14ac:dyDescent="0.2">
      <c r="A106" s="3" t="s">
        <v>89</v>
      </c>
      <c r="B106" s="12">
        <v>2015</v>
      </c>
      <c r="C106" s="3" t="s">
        <v>107</v>
      </c>
      <c r="D106" s="12">
        <v>125.4</v>
      </c>
      <c r="E106" s="12">
        <v>130.30000000000001</v>
      </c>
      <c r="F106" s="12">
        <v>121.6</v>
      </c>
      <c r="G106" s="12">
        <v>129.19999999999999</v>
      </c>
      <c r="H106" s="12">
        <v>114.9</v>
      </c>
      <c r="I106" s="12">
        <v>128.19999999999999</v>
      </c>
      <c r="J106" s="12">
        <v>158.4</v>
      </c>
      <c r="K106" s="12">
        <v>171.2</v>
      </c>
      <c r="L106" s="12">
        <v>93.3</v>
      </c>
      <c r="M106" s="12">
        <v>131.19999999999999</v>
      </c>
      <c r="N106" s="12">
        <v>121.7</v>
      </c>
      <c r="O106" s="12">
        <v>134</v>
      </c>
      <c r="P106" s="12">
        <v>132.69999999999999</v>
      </c>
      <c r="Q106" s="12">
        <v>133.6</v>
      </c>
      <c r="R106" s="12">
        <v>129.30000000000001</v>
      </c>
      <c r="S106" s="12">
        <v>124.5</v>
      </c>
      <c r="T106" s="12">
        <v>128.6</v>
      </c>
      <c r="U106" s="12">
        <v>122.9</v>
      </c>
      <c r="V106" s="12">
        <v>121.6</v>
      </c>
      <c r="W106" s="12">
        <v>123.4</v>
      </c>
      <c r="X106" s="12">
        <v>120.9</v>
      </c>
      <c r="Y106" s="12">
        <v>111.5</v>
      </c>
      <c r="Z106" s="12">
        <v>119.2</v>
      </c>
      <c r="AA106" s="12">
        <v>126.3</v>
      </c>
      <c r="AB106" s="12">
        <v>113.8</v>
      </c>
      <c r="AC106" s="12">
        <v>118.1</v>
      </c>
      <c r="AD106" s="12">
        <v>126.6</v>
      </c>
    </row>
    <row r="107" spans="1:30" ht="15" customHeight="1" x14ac:dyDescent="0.25">
      <c r="A107" s="3" t="s">
        <v>84</v>
      </c>
      <c r="B107" s="12">
        <v>2015</v>
      </c>
      <c r="C107" s="3" t="s">
        <v>109</v>
      </c>
      <c r="D107" s="12">
        <v>126.3</v>
      </c>
      <c r="E107" s="12">
        <v>131.30000000000001</v>
      </c>
      <c r="F107" s="12">
        <v>123.3</v>
      </c>
      <c r="G107" s="12">
        <v>129.80000000000001</v>
      </c>
      <c r="H107" s="12">
        <v>118.3</v>
      </c>
      <c r="I107" s="12">
        <v>131.6</v>
      </c>
      <c r="J107" s="12">
        <v>145.5</v>
      </c>
      <c r="K107" s="12">
        <v>162.1</v>
      </c>
      <c r="L107" s="12">
        <v>95.4</v>
      </c>
      <c r="M107" s="12">
        <v>128.9</v>
      </c>
      <c r="N107" s="12">
        <v>123.3</v>
      </c>
      <c r="O107" s="12">
        <v>135.1</v>
      </c>
      <c r="P107" s="12">
        <v>131.4</v>
      </c>
      <c r="Q107" s="12">
        <v>133.1</v>
      </c>
      <c r="R107" s="12">
        <v>132.5</v>
      </c>
      <c r="S107" s="12">
        <v>128.5</v>
      </c>
      <c r="T107" s="12">
        <v>131.9</v>
      </c>
      <c r="U107" s="13"/>
      <c r="V107" s="12">
        <v>125.7</v>
      </c>
      <c r="W107" s="12">
        <v>126</v>
      </c>
      <c r="X107" s="12">
        <v>123.1</v>
      </c>
      <c r="Y107" s="12">
        <v>114</v>
      </c>
      <c r="Z107" s="12">
        <v>121.6</v>
      </c>
      <c r="AA107" s="12">
        <v>125.6</v>
      </c>
      <c r="AB107" s="12">
        <v>114.1</v>
      </c>
      <c r="AC107" s="12">
        <v>119.8</v>
      </c>
      <c r="AD107" s="12">
        <v>127.9</v>
      </c>
    </row>
    <row r="108" spans="1:30" ht="15" customHeight="1" x14ac:dyDescent="0.2">
      <c r="A108" s="3" t="s">
        <v>87</v>
      </c>
      <c r="B108" s="12">
        <v>2015</v>
      </c>
      <c r="C108" s="3" t="s">
        <v>109</v>
      </c>
      <c r="D108" s="12">
        <v>124.3</v>
      </c>
      <c r="E108" s="12">
        <v>131.69999999999999</v>
      </c>
      <c r="F108" s="12">
        <v>127.1</v>
      </c>
      <c r="G108" s="12">
        <v>128.6</v>
      </c>
      <c r="H108" s="12">
        <v>110</v>
      </c>
      <c r="I108" s="12">
        <v>120.8</v>
      </c>
      <c r="J108" s="12">
        <v>149</v>
      </c>
      <c r="K108" s="12">
        <v>190.1</v>
      </c>
      <c r="L108" s="12">
        <v>92.7</v>
      </c>
      <c r="M108" s="12">
        <v>138.6</v>
      </c>
      <c r="N108" s="12">
        <v>120.2</v>
      </c>
      <c r="O108" s="12">
        <v>134.19999999999999</v>
      </c>
      <c r="P108" s="12">
        <v>131.5</v>
      </c>
      <c r="Q108" s="12">
        <v>138.19999999999999</v>
      </c>
      <c r="R108" s="12">
        <v>125.4</v>
      </c>
      <c r="S108" s="12">
        <v>119.5</v>
      </c>
      <c r="T108" s="12">
        <v>124.5</v>
      </c>
      <c r="U108" s="12">
        <v>122.4</v>
      </c>
      <c r="V108" s="12">
        <v>116</v>
      </c>
      <c r="W108" s="12">
        <v>121</v>
      </c>
      <c r="X108" s="12">
        <v>118.6</v>
      </c>
      <c r="Y108" s="12">
        <v>109.3</v>
      </c>
      <c r="Z108" s="12">
        <v>118.1</v>
      </c>
      <c r="AA108" s="12">
        <v>126.6</v>
      </c>
      <c r="AB108" s="12">
        <v>113.2</v>
      </c>
      <c r="AC108" s="12">
        <v>116.7</v>
      </c>
      <c r="AD108" s="12">
        <v>124</v>
      </c>
    </row>
    <row r="109" spans="1:30" ht="15" customHeight="1" x14ac:dyDescent="0.2">
      <c r="A109" s="3" t="s">
        <v>89</v>
      </c>
      <c r="B109" s="12">
        <v>2015</v>
      </c>
      <c r="C109" s="3" t="s">
        <v>109</v>
      </c>
      <c r="D109" s="12">
        <v>125.7</v>
      </c>
      <c r="E109" s="12">
        <v>131.4</v>
      </c>
      <c r="F109" s="12">
        <v>124.8</v>
      </c>
      <c r="G109" s="12">
        <v>129.4</v>
      </c>
      <c r="H109" s="12">
        <v>115.3</v>
      </c>
      <c r="I109" s="12">
        <v>126.6</v>
      </c>
      <c r="J109" s="12">
        <v>146.69999999999999</v>
      </c>
      <c r="K109" s="12">
        <v>171.5</v>
      </c>
      <c r="L109" s="12">
        <v>94.5</v>
      </c>
      <c r="M109" s="12">
        <v>132.1</v>
      </c>
      <c r="N109" s="12">
        <v>122</v>
      </c>
      <c r="O109" s="12">
        <v>134.69999999999999</v>
      </c>
      <c r="P109" s="12">
        <v>131.4</v>
      </c>
      <c r="Q109" s="12">
        <v>134.5</v>
      </c>
      <c r="R109" s="12">
        <v>129.69999999999999</v>
      </c>
      <c r="S109" s="12">
        <v>124.8</v>
      </c>
      <c r="T109" s="12">
        <v>129</v>
      </c>
      <c r="U109" s="12">
        <v>122.4</v>
      </c>
      <c r="V109" s="12">
        <v>122</v>
      </c>
      <c r="W109" s="12">
        <v>123.6</v>
      </c>
      <c r="X109" s="12">
        <v>121.4</v>
      </c>
      <c r="Y109" s="12">
        <v>111.5</v>
      </c>
      <c r="Z109" s="12">
        <v>119.6</v>
      </c>
      <c r="AA109" s="12">
        <v>126.2</v>
      </c>
      <c r="AB109" s="12">
        <v>113.7</v>
      </c>
      <c r="AC109" s="12">
        <v>118.3</v>
      </c>
      <c r="AD109" s="12">
        <v>126.1</v>
      </c>
    </row>
    <row r="110" spans="1:30" ht="15" customHeight="1" x14ac:dyDescent="0.25">
      <c r="A110" s="3" t="s">
        <v>84</v>
      </c>
      <c r="B110" s="12">
        <v>2016</v>
      </c>
      <c r="C110" s="3" t="s">
        <v>85</v>
      </c>
      <c r="D110" s="12">
        <v>126.8</v>
      </c>
      <c r="E110" s="12">
        <v>133.19999999999999</v>
      </c>
      <c r="F110" s="12">
        <v>126.5</v>
      </c>
      <c r="G110" s="12">
        <v>130.30000000000001</v>
      </c>
      <c r="H110" s="12">
        <v>118.9</v>
      </c>
      <c r="I110" s="12">
        <v>131.6</v>
      </c>
      <c r="J110" s="12">
        <v>140.1</v>
      </c>
      <c r="K110" s="12">
        <v>163.80000000000001</v>
      </c>
      <c r="L110" s="12">
        <v>97.7</v>
      </c>
      <c r="M110" s="12">
        <v>129.6</v>
      </c>
      <c r="N110" s="12">
        <v>124.3</v>
      </c>
      <c r="O110" s="12">
        <v>135.9</v>
      </c>
      <c r="P110" s="12">
        <v>131.4</v>
      </c>
      <c r="Q110" s="12">
        <v>133.6</v>
      </c>
      <c r="R110" s="12">
        <v>133.19999999999999</v>
      </c>
      <c r="S110" s="12">
        <v>128.9</v>
      </c>
      <c r="T110" s="12">
        <v>132.6</v>
      </c>
      <c r="U110" s="13"/>
      <c r="V110" s="12">
        <v>126.2</v>
      </c>
      <c r="W110" s="12">
        <v>126.6</v>
      </c>
      <c r="X110" s="12">
        <v>123.7</v>
      </c>
      <c r="Y110" s="12">
        <v>113.6</v>
      </c>
      <c r="Z110" s="12">
        <v>121.4</v>
      </c>
      <c r="AA110" s="12">
        <v>126.2</v>
      </c>
      <c r="AB110" s="12">
        <v>114.9</v>
      </c>
      <c r="AC110" s="12">
        <v>120.1</v>
      </c>
      <c r="AD110" s="12">
        <v>128.1</v>
      </c>
    </row>
    <row r="111" spans="1:30" ht="15" customHeight="1" x14ac:dyDescent="0.2">
      <c r="A111" s="3" t="s">
        <v>87</v>
      </c>
      <c r="B111" s="12">
        <v>2016</v>
      </c>
      <c r="C111" s="3" t="s">
        <v>85</v>
      </c>
      <c r="D111" s="12">
        <v>124.7</v>
      </c>
      <c r="E111" s="12">
        <v>135.9</v>
      </c>
      <c r="F111" s="12">
        <v>132</v>
      </c>
      <c r="G111" s="12">
        <v>129.19999999999999</v>
      </c>
      <c r="H111" s="12">
        <v>109.7</v>
      </c>
      <c r="I111" s="12">
        <v>119</v>
      </c>
      <c r="J111" s="12">
        <v>144.1</v>
      </c>
      <c r="K111" s="12">
        <v>184.2</v>
      </c>
      <c r="L111" s="12">
        <v>96.7</v>
      </c>
      <c r="M111" s="12">
        <v>139.5</v>
      </c>
      <c r="N111" s="12">
        <v>120.5</v>
      </c>
      <c r="O111" s="12">
        <v>134.69999999999999</v>
      </c>
      <c r="P111" s="12">
        <v>131.19999999999999</v>
      </c>
      <c r="Q111" s="12">
        <v>139.5</v>
      </c>
      <c r="R111" s="12">
        <v>125.8</v>
      </c>
      <c r="S111" s="12">
        <v>119.8</v>
      </c>
      <c r="T111" s="12">
        <v>124.9</v>
      </c>
      <c r="U111" s="12">
        <v>123.4</v>
      </c>
      <c r="V111" s="12">
        <v>116.9</v>
      </c>
      <c r="W111" s="12">
        <v>121.6</v>
      </c>
      <c r="X111" s="12">
        <v>119.1</v>
      </c>
      <c r="Y111" s="12">
        <v>108.9</v>
      </c>
      <c r="Z111" s="12">
        <v>118.5</v>
      </c>
      <c r="AA111" s="12">
        <v>126.4</v>
      </c>
      <c r="AB111" s="12">
        <v>114</v>
      </c>
      <c r="AC111" s="12">
        <v>116.8</v>
      </c>
      <c r="AD111" s="12">
        <v>124.2</v>
      </c>
    </row>
    <row r="112" spans="1:30" ht="15" customHeight="1" x14ac:dyDescent="0.2">
      <c r="A112" s="3" t="s">
        <v>89</v>
      </c>
      <c r="B112" s="12">
        <v>2016</v>
      </c>
      <c r="C112" s="3" t="s">
        <v>85</v>
      </c>
      <c r="D112" s="12">
        <v>126.1</v>
      </c>
      <c r="E112" s="12">
        <v>134.1</v>
      </c>
      <c r="F112" s="12">
        <v>128.6</v>
      </c>
      <c r="G112" s="12">
        <v>129.9</v>
      </c>
      <c r="H112" s="12">
        <v>115.5</v>
      </c>
      <c r="I112" s="12">
        <v>125.7</v>
      </c>
      <c r="J112" s="12">
        <v>141.5</v>
      </c>
      <c r="K112" s="12">
        <v>170.7</v>
      </c>
      <c r="L112" s="12">
        <v>97.4</v>
      </c>
      <c r="M112" s="12">
        <v>132.9</v>
      </c>
      <c r="N112" s="12">
        <v>122.7</v>
      </c>
      <c r="O112" s="12">
        <v>135.30000000000001</v>
      </c>
      <c r="P112" s="12">
        <v>131.30000000000001</v>
      </c>
      <c r="Q112" s="12">
        <v>135.19999999999999</v>
      </c>
      <c r="R112" s="12">
        <v>130.30000000000001</v>
      </c>
      <c r="S112" s="12">
        <v>125.1</v>
      </c>
      <c r="T112" s="12">
        <v>129.5</v>
      </c>
      <c r="U112" s="12">
        <v>123.4</v>
      </c>
      <c r="V112" s="12">
        <v>122.7</v>
      </c>
      <c r="W112" s="12">
        <v>124.2</v>
      </c>
      <c r="X112" s="12">
        <v>122</v>
      </c>
      <c r="Y112" s="12">
        <v>111.1</v>
      </c>
      <c r="Z112" s="12">
        <v>119.8</v>
      </c>
      <c r="AA112" s="12">
        <v>126.3</v>
      </c>
      <c r="AB112" s="12">
        <v>114.5</v>
      </c>
      <c r="AC112" s="12">
        <v>118.5</v>
      </c>
      <c r="AD112" s="12">
        <v>126.3</v>
      </c>
    </row>
    <row r="113" spans="1:30" ht="15" customHeight="1" x14ac:dyDescent="0.25">
      <c r="A113" s="3" t="s">
        <v>84</v>
      </c>
      <c r="B113" s="12">
        <v>2016</v>
      </c>
      <c r="C113" s="3" t="s">
        <v>90</v>
      </c>
      <c r="D113" s="12">
        <v>127.1</v>
      </c>
      <c r="E113" s="12">
        <v>133.69999999999999</v>
      </c>
      <c r="F113" s="12">
        <v>127.7</v>
      </c>
      <c r="G113" s="12">
        <v>130.69999999999999</v>
      </c>
      <c r="H113" s="12">
        <v>118.5</v>
      </c>
      <c r="I113" s="12">
        <v>130.4</v>
      </c>
      <c r="J113" s="12">
        <v>130.9</v>
      </c>
      <c r="K113" s="12">
        <v>162.80000000000001</v>
      </c>
      <c r="L113" s="12">
        <v>98.7</v>
      </c>
      <c r="M113" s="12">
        <v>130.6</v>
      </c>
      <c r="N113" s="12">
        <v>124.8</v>
      </c>
      <c r="O113" s="12">
        <v>136.4</v>
      </c>
      <c r="P113" s="12">
        <v>130.30000000000001</v>
      </c>
      <c r="Q113" s="12">
        <v>134.4</v>
      </c>
      <c r="R113" s="12">
        <v>133.9</v>
      </c>
      <c r="S113" s="12">
        <v>129.80000000000001</v>
      </c>
      <c r="T113" s="12">
        <v>133.4</v>
      </c>
      <c r="U113" s="13"/>
      <c r="V113" s="12">
        <v>127.5</v>
      </c>
      <c r="W113" s="12">
        <v>127.1</v>
      </c>
      <c r="X113" s="12">
        <v>124.3</v>
      </c>
      <c r="Y113" s="12">
        <v>113.9</v>
      </c>
      <c r="Z113" s="12">
        <v>122.3</v>
      </c>
      <c r="AA113" s="12">
        <v>127.1</v>
      </c>
      <c r="AB113" s="12">
        <v>116.8</v>
      </c>
      <c r="AC113" s="12">
        <v>120.9</v>
      </c>
      <c r="AD113" s="12">
        <v>127.9</v>
      </c>
    </row>
    <row r="114" spans="1:30" ht="15" customHeight="1" x14ac:dyDescent="0.2">
      <c r="A114" s="3" t="s">
        <v>87</v>
      </c>
      <c r="B114" s="12">
        <v>2016</v>
      </c>
      <c r="C114" s="3" t="s">
        <v>90</v>
      </c>
      <c r="D114" s="12">
        <v>124.8</v>
      </c>
      <c r="E114" s="12">
        <v>135.1</v>
      </c>
      <c r="F114" s="12">
        <v>130.30000000000001</v>
      </c>
      <c r="G114" s="12">
        <v>129.6</v>
      </c>
      <c r="H114" s="12">
        <v>108.4</v>
      </c>
      <c r="I114" s="12">
        <v>118.6</v>
      </c>
      <c r="J114" s="12">
        <v>129.19999999999999</v>
      </c>
      <c r="K114" s="12">
        <v>176.4</v>
      </c>
      <c r="L114" s="12">
        <v>99.1</v>
      </c>
      <c r="M114" s="12">
        <v>139.69999999999999</v>
      </c>
      <c r="N114" s="12">
        <v>120.6</v>
      </c>
      <c r="O114" s="12">
        <v>135.19999999999999</v>
      </c>
      <c r="P114" s="12">
        <v>129.1</v>
      </c>
      <c r="Q114" s="12">
        <v>140</v>
      </c>
      <c r="R114" s="12">
        <v>126.2</v>
      </c>
      <c r="S114" s="12">
        <v>120.1</v>
      </c>
      <c r="T114" s="12">
        <v>125.3</v>
      </c>
      <c r="U114" s="12">
        <v>124.4</v>
      </c>
      <c r="V114" s="12">
        <v>116</v>
      </c>
      <c r="W114" s="12">
        <v>121.8</v>
      </c>
      <c r="X114" s="12">
        <v>119.5</v>
      </c>
      <c r="Y114" s="12">
        <v>109.1</v>
      </c>
      <c r="Z114" s="12">
        <v>118.8</v>
      </c>
      <c r="AA114" s="12">
        <v>126.3</v>
      </c>
      <c r="AB114" s="12">
        <v>116.2</v>
      </c>
      <c r="AC114" s="12">
        <v>117.2</v>
      </c>
      <c r="AD114" s="12">
        <v>123.8</v>
      </c>
    </row>
    <row r="115" spans="1:30" ht="15" customHeight="1" x14ac:dyDescent="0.2">
      <c r="A115" s="3" t="s">
        <v>89</v>
      </c>
      <c r="B115" s="12">
        <v>2016</v>
      </c>
      <c r="C115" s="3" t="s">
        <v>90</v>
      </c>
      <c r="D115" s="12">
        <v>126.4</v>
      </c>
      <c r="E115" s="12">
        <v>134.19999999999999</v>
      </c>
      <c r="F115" s="12">
        <v>128.69999999999999</v>
      </c>
      <c r="G115" s="12">
        <v>130.30000000000001</v>
      </c>
      <c r="H115" s="12">
        <v>114.8</v>
      </c>
      <c r="I115" s="12">
        <v>124.9</v>
      </c>
      <c r="J115" s="12">
        <v>130.30000000000001</v>
      </c>
      <c r="K115" s="12">
        <v>167.4</v>
      </c>
      <c r="L115" s="12">
        <v>98.8</v>
      </c>
      <c r="M115" s="12">
        <v>133.6</v>
      </c>
      <c r="N115" s="12">
        <v>123</v>
      </c>
      <c r="O115" s="12">
        <v>135.80000000000001</v>
      </c>
      <c r="P115" s="12">
        <v>129.9</v>
      </c>
      <c r="Q115" s="12">
        <v>135.9</v>
      </c>
      <c r="R115" s="12">
        <v>130.9</v>
      </c>
      <c r="S115" s="12">
        <v>125.8</v>
      </c>
      <c r="T115" s="12">
        <v>130.19999999999999</v>
      </c>
      <c r="U115" s="12">
        <v>124.4</v>
      </c>
      <c r="V115" s="12">
        <v>123.1</v>
      </c>
      <c r="W115" s="12">
        <v>124.6</v>
      </c>
      <c r="X115" s="12">
        <v>122.5</v>
      </c>
      <c r="Y115" s="12">
        <v>111.4</v>
      </c>
      <c r="Z115" s="12">
        <v>120.3</v>
      </c>
      <c r="AA115" s="12">
        <v>126.6</v>
      </c>
      <c r="AB115" s="12">
        <v>116.6</v>
      </c>
      <c r="AC115" s="12">
        <v>119.1</v>
      </c>
      <c r="AD115" s="12">
        <v>126</v>
      </c>
    </row>
    <row r="116" spans="1:30" ht="15" customHeight="1" x14ac:dyDescent="0.25">
      <c r="A116" s="3" t="s">
        <v>84</v>
      </c>
      <c r="B116" s="12">
        <v>2016</v>
      </c>
      <c r="C116" s="3" t="s">
        <v>92</v>
      </c>
      <c r="D116" s="12">
        <v>127.3</v>
      </c>
      <c r="E116" s="12">
        <v>134.4</v>
      </c>
      <c r="F116" s="12">
        <v>125.1</v>
      </c>
      <c r="G116" s="12">
        <v>130.5</v>
      </c>
      <c r="H116" s="12">
        <v>118.3</v>
      </c>
      <c r="I116" s="12">
        <v>131.69999999999999</v>
      </c>
      <c r="J116" s="12">
        <v>130.69999999999999</v>
      </c>
      <c r="K116" s="12">
        <v>161.19999999999999</v>
      </c>
      <c r="L116" s="12">
        <v>100.4</v>
      </c>
      <c r="M116" s="12">
        <v>130.80000000000001</v>
      </c>
      <c r="N116" s="12">
        <v>124.9</v>
      </c>
      <c r="O116" s="12">
        <v>137</v>
      </c>
      <c r="P116" s="12">
        <v>130.4</v>
      </c>
      <c r="Q116" s="12">
        <v>135</v>
      </c>
      <c r="R116" s="12">
        <v>134.4</v>
      </c>
      <c r="S116" s="12">
        <v>130.19999999999999</v>
      </c>
      <c r="T116" s="12">
        <v>133.80000000000001</v>
      </c>
      <c r="U116" s="13"/>
      <c r="V116" s="12">
        <v>127</v>
      </c>
      <c r="W116" s="12">
        <v>127.7</v>
      </c>
      <c r="X116" s="12">
        <v>124.8</v>
      </c>
      <c r="Y116" s="12">
        <v>113.6</v>
      </c>
      <c r="Z116" s="12">
        <v>122.5</v>
      </c>
      <c r="AA116" s="12">
        <v>127.5</v>
      </c>
      <c r="AB116" s="12">
        <v>117.4</v>
      </c>
      <c r="AC116" s="12">
        <v>121.1</v>
      </c>
      <c r="AD116" s="12">
        <v>128</v>
      </c>
    </row>
    <row r="117" spans="1:30" ht="15" customHeight="1" x14ac:dyDescent="0.2">
      <c r="A117" s="3" t="s">
        <v>87</v>
      </c>
      <c r="B117" s="12">
        <v>2016</v>
      </c>
      <c r="C117" s="3" t="s">
        <v>92</v>
      </c>
      <c r="D117" s="12">
        <v>124.8</v>
      </c>
      <c r="E117" s="12">
        <v>136.30000000000001</v>
      </c>
      <c r="F117" s="12">
        <v>123.7</v>
      </c>
      <c r="G117" s="12">
        <v>129.69999999999999</v>
      </c>
      <c r="H117" s="12">
        <v>107.9</v>
      </c>
      <c r="I117" s="12">
        <v>119.9</v>
      </c>
      <c r="J117" s="12">
        <v>128.1</v>
      </c>
      <c r="K117" s="12">
        <v>170.3</v>
      </c>
      <c r="L117" s="12">
        <v>101.8</v>
      </c>
      <c r="M117" s="12">
        <v>140.1</v>
      </c>
      <c r="N117" s="12">
        <v>120.7</v>
      </c>
      <c r="O117" s="12">
        <v>135.4</v>
      </c>
      <c r="P117" s="12">
        <v>128.9</v>
      </c>
      <c r="Q117" s="12">
        <v>140.6</v>
      </c>
      <c r="R117" s="12">
        <v>126.4</v>
      </c>
      <c r="S117" s="12">
        <v>120.3</v>
      </c>
      <c r="T117" s="12">
        <v>125.5</v>
      </c>
      <c r="U117" s="12">
        <v>124.9</v>
      </c>
      <c r="V117" s="12">
        <v>114.8</v>
      </c>
      <c r="W117" s="12">
        <v>122.3</v>
      </c>
      <c r="X117" s="12">
        <v>119.7</v>
      </c>
      <c r="Y117" s="12">
        <v>108.5</v>
      </c>
      <c r="Z117" s="12">
        <v>119.1</v>
      </c>
      <c r="AA117" s="12">
        <v>126.4</v>
      </c>
      <c r="AB117" s="12">
        <v>117.1</v>
      </c>
      <c r="AC117" s="12">
        <v>117.3</v>
      </c>
      <c r="AD117" s="12">
        <v>123.8</v>
      </c>
    </row>
    <row r="118" spans="1:30" ht="15" customHeight="1" x14ac:dyDescent="0.2">
      <c r="A118" s="3" t="s">
        <v>89</v>
      </c>
      <c r="B118" s="12">
        <v>2016</v>
      </c>
      <c r="C118" s="3" t="s">
        <v>92</v>
      </c>
      <c r="D118" s="12">
        <v>126.5</v>
      </c>
      <c r="E118" s="12">
        <v>135.1</v>
      </c>
      <c r="F118" s="12">
        <v>124.6</v>
      </c>
      <c r="G118" s="12">
        <v>130.19999999999999</v>
      </c>
      <c r="H118" s="12">
        <v>114.5</v>
      </c>
      <c r="I118" s="12">
        <v>126.2</v>
      </c>
      <c r="J118" s="12">
        <v>129.80000000000001</v>
      </c>
      <c r="K118" s="12">
        <v>164.3</v>
      </c>
      <c r="L118" s="12">
        <v>100.9</v>
      </c>
      <c r="M118" s="12">
        <v>133.9</v>
      </c>
      <c r="N118" s="12">
        <v>123.1</v>
      </c>
      <c r="O118" s="12">
        <v>136.30000000000001</v>
      </c>
      <c r="P118" s="12">
        <v>129.80000000000001</v>
      </c>
      <c r="Q118" s="12">
        <v>136.5</v>
      </c>
      <c r="R118" s="12">
        <v>131.30000000000001</v>
      </c>
      <c r="S118" s="12">
        <v>126.1</v>
      </c>
      <c r="T118" s="12">
        <v>130.5</v>
      </c>
      <c r="U118" s="12">
        <v>124.9</v>
      </c>
      <c r="V118" s="12">
        <v>122.4</v>
      </c>
      <c r="W118" s="12">
        <v>125.1</v>
      </c>
      <c r="X118" s="12">
        <v>122.9</v>
      </c>
      <c r="Y118" s="12">
        <v>110.9</v>
      </c>
      <c r="Z118" s="12">
        <v>120.6</v>
      </c>
      <c r="AA118" s="12">
        <v>126.9</v>
      </c>
      <c r="AB118" s="12">
        <v>117.3</v>
      </c>
      <c r="AC118" s="12">
        <v>119.3</v>
      </c>
      <c r="AD118" s="12">
        <v>126</v>
      </c>
    </row>
    <row r="119" spans="1:30" ht="15" customHeight="1" x14ac:dyDescent="0.25">
      <c r="A119" s="3" t="s">
        <v>84</v>
      </c>
      <c r="B119" s="12">
        <v>2016</v>
      </c>
      <c r="C119" s="3" t="s">
        <v>93</v>
      </c>
      <c r="D119" s="12">
        <v>127.4</v>
      </c>
      <c r="E119" s="12">
        <v>135.4</v>
      </c>
      <c r="F119" s="12">
        <v>123.4</v>
      </c>
      <c r="G119" s="12">
        <v>131.30000000000001</v>
      </c>
      <c r="H119" s="12">
        <v>118.2</v>
      </c>
      <c r="I119" s="12">
        <v>138.1</v>
      </c>
      <c r="J119" s="12">
        <v>134.1</v>
      </c>
      <c r="K119" s="12">
        <v>162.69999999999999</v>
      </c>
      <c r="L119" s="12">
        <v>105</v>
      </c>
      <c r="M119" s="12">
        <v>131.4</v>
      </c>
      <c r="N119" s="12">
        <v>125.4</v>
      </c>
      <c r="O119" s="12">
        <v>137.4</v>
      </c>
      <c r="P119" s="12">
        <v>131.80000000000001</v>
      </c>
      <c r="Q119" s="12">
        <v>135.5</v>
      </c>
      <c r="R119" s="12">
        <v>135</v>
      </c>
      <c r="S119" s="12">
        <v>130.6</v>
      </c>
      <c r="T119" s="12">
        <v>134.4</v>
      </c>
      <c r="U119" s="13"/>
      <c r="V119" s="12">
        <v>127</v>
      </c>
      <c r="W119" s="12">
        <v>128</v>
      </c>
      <c r="X119" s="12">
        <v>125.2</v>
      </c>
      <c r="Y119" s="12">
        <v>114.4</v>
      </c>
      <c r="Z119" s="12">
        <v>123.2</v>
      </c>
      <c r="AA119" s="12">
        <v>127.9</v>
      </c>
      <c r="AB119" s="12">
        <v>118.4</v>
      </c>
      <c r="AC119" s="12">
        <v>121.7</v>
      </c>
      <c r="AD119" s="12">
        <v>129</v>
      </c>
    </row>
    <row r="120" spans="1:30" ht="15" customHeight="1" x14ac:dyDescent="0.2">
      <c r="A120" s="3" t="s">
        <v>87</v>
      </c>
      <c r="B120" s="12">
        <v>2016</v>
      </c>
      <c r="C120" s="3" t="s">
        <v>93</v>
      </c>
      <c r="D120" s="12">
        <v>124.9</v>
      </c>
      <c r="E120" s="12">
        <v>139.30000000000001</v>
      </c>
      <c r="F120" s="12">
        <v>119.9</v>
      </c>
      <c r="G120" s="12">
        <v>130.19999999999999</v>
      </c>
      <c r="H120" s="12">
        <v>108.9</v>
      </c>
      <c r="I120" s="12">
        <v>131.1</v>
      </c>
      <c r="J120" s="12">
        <v>136.80000000000001</v>
      </c>
      <c r="K120" s="12">
        <v>176.9</v>
      </c>
      <c r="L120" s="12">
        <v>109.1</v>
      </c>
      <c r="M120" s="12">
        <v>140.4</v>
      </c>
      <c r="N120" s="12">
        <v>121.1</v>
      </c>
      <c r="O120" s="12">
        <v>135.9</v>
      </c>
      <c r="P120" s="12">
        <v>131.80000000000001</v>
      </c>
      <c r="Q120" s="12">
        <v>141.5</v>
      </c>
      <c r="R120" s="12">
        <v>126.8</v>
      </c>
      <c r="S120" s="12">
        <v>120.5</v>
      </c>
      <c r="T120" s="12">
        <v>125.8</v>
      </c>
      <c r="U120" s="12">
        <v>125.6</v>
      </c>
      <c r="V120" s="12">
        <v>114.6</v>
      </c>
      <c r="W120" s="12">
        <v>122.8</v>
      </c>
      <c r="X120" s="12">
        <v>120</v>
      </c>
      <c r="Y120" s="12">
        <v>110</v>
      </c>
      <c r="Z120" s="12">
        <v>119.5</v>
      </c>
      <c r="AA120" s="12">
        <v>127.6</v>
      </c>
      <c r="AB120" s="12">
        <v>117.6</v>
      </c>
      <c r="AC120" s="12">
        <v>118.2</v>
      </c>
      <c r="AD120" s="12">
        <v>125.3</v>
      </c>
    </row>
    <row r="121" spans="1:30" ht="15" customHeight="1" x14ac:dyDescent="0.2">
      <c r="A121" s="3" t="s">
        <v>89</v>
      </c>
      <c r="B121" s="12">
        <v>2016</v>
      </c>
      <c r="C121" s="3" t="s">
        <v>93</v>
      </c>
      <c r="D121" s="12">
        <v>126.6</v>
      </c>
      <c r="E121" s="12">
        <v>136.80000000000001</v>
      </c>
      <c r="F121" s="12">
        <v>122</v>
      </c>
      <c r="G121" s="12">
        <v>130.9</v>
      </c>
      <c r="H121" s="12">
        <v>114.8</v>
      </c>
      <c r="I121" s="12">
        <v>134.80000000000001</v>
      </c>
      <c r="J121" s="12">
        <v>135</v>
      </c>
      <c r="K121" s="12">
        <v>167.5</v>
      </c>
      <c r="L121" s="12">
        <v>106.4</v>
      </c>
      <c r="M121" s="12">
        <v>134.4</v>
      </c>
      <c r="N121" s="12">
        <v>123.6</v>
      </c>
      <c r="O121" s="12">
        <v>136.69999999999999</v>
      </c>
      <c r="P121" s="12">
        <v>131.80000000000001</v>
      </c>
      <c r="Q121" s="12">
        <v>137.1</v>
      </c>
      <c r="R121" s="12">
        <v>131.80000000000001</v>
      </c>
      <c r="S121" s="12">
        <v>126.4</v>
      </c>
      <c r="T121" s="12">
        <v>131</v>
      </c>
      <c r="U121" s="12">
        <v>125.6</v>
      </c>
      <c r="V121" s="12">
        <v>122.3</v>
      </c>
      <c r="W121" s="12">
        <v>125.5</v>
      </c>
      <c r="X121" s="12">
        <v>123.2</v>
      </c>
      <c r="Y121" s="12">
        <v>112.1</v>
      </c>
      <c r="Z121" s="12">
        <v>121.1</v>
      </c>
      <c r="AA121" s="12">
        <v>127.7</v>
      </c>
      <c r="AB121" s="12">
        <v>118.1</v>
      </c>
      <c r="AC121" s="12">
        <v>120</v>
      </c>
      <c r="AD121" s="12">
        <v>127.3</v>
      </c>
    </row>
    <row r="122" spans="1:30" ht="15" customHeight="1" x14ac:dyDescent="0.25">
      <c r="A122" s="3" t="s">
        <v>84</v>
      </c>
      <c r="B122" s="12">
        <v>2016</v>
      </c>
      <c r="C122" s="3" t="s">
        <v>95</v>
      </c>
      <c r="D122" s="12">
        <v>127.6</v>
      </c>
      <c r="E122" s="12">
        <v>137.5</v>
      </c>
      <c r="F122" s="12">
        <v>124.4</v>
      </c>
      <c r="G122" s="12">
        <v>132.4</v>
      </c>
      <c r="H122" s="12">
        <v>118.2</v>
      </c>
      <c r="I122" s="12">
        <v>138.1</v>
      </c>
      <c r="J122" s="12">
        <v>141.80000000000001</v>
      </c>
      <c r="K122" s="12">
        <v>166</v>
      </c>
      <c r="L122" s="12">
        <v>107.5</v>
      </c>
      <c r="M122" s="12">
        <v>132.19999999999999</v>
      </c>
      <c r="N122" s="12">
        <v>126.1</v>
      </c>
      <c r="O122" s="12">
        <v>138.30000000000001</v>
      </c>
      <c r="P122" s="12">
        <v>133.6</v>
      </c>
      <c r="Q122" s="12">
        <v>136</v>
      </c>
      <c r="R122" s="12">
        <v>135.4</v>
      </c>
      <c r="S122" s="12">
        <v>131.1</v>
      </c>
      <c r="T122" s="12">
        <v>134.80000000000001</v>
      </c>
      <c r="U122" s="13"/>
      <c r="V122" s="12">
        <v>127.4</v>
      </c>
      <c r="W122" s="12">
        <v>128.5</v>
      </c>
      <c r="X122" s="12">
        <v>125.8</v>
      </c>
      <c r="Y122" s="12">
        <v>115.1</v>
      </c>
      <c r="Z122" s="12">
        <v>123.6</v>
      </c>
      <c r="AA122" s="12">
        <v>129.1</v>
      </c>
      <c r="AB122" s="12">
        <v>119.7</v>
      </c>
      <c r="AC122" s="12">
        <v>122.5</v>
      </c>
      <c r="AD122" s="12">
        <v>130.30000000000001</v>
      </c>
    </row>
    <row r="123" spans="1:30" ht="15" customHeight="1" x14ac:dyDescent="0.2">
      <c r="A123" s="3" t="s">
        <v>87</v>
      </c>
      <c r="B123" s="12">
        <v>2016</v>
      </c>
      <c r="C123" s="3" t="s">
        <v>95</v>
      </c>
      <c r="D123" s="12">
        <v>125</v>
      </c>
      <c r="E123" s="12">
        <v>142.1</v>
      </c>
      <c r="F123" s="12">
        <v>127</v>
      </c>
      <c r="G123" s="12">
        <v>130.4</v>
      </c>
      <c r="H123" s="12">
        <v>109.6</v>
      </c>
      <c r="I123" s="12">
        <v>133.5</v>
      </c>
      <c r="J123" s="12">
        <v>151.4</v>
      </c>
      <c r="K123" s="12">
        <v>182.8</v>
      </c>
      <c r="L123" s="12">
        <v>111.1</v>
      </c>
      <c r="M123" s="12">
        <v>141.5</v>
      </c>
      <c r="N123" s="12">
        <v>121.5</v>
      </c>
      <c r="O123" s="12">
        <v>136.30000000000001</v>
      </c>
      <c r="P123" s="12">
        <v>134.6</v>
      </c>
      <c r="Q123" s="12">
        <v>142.19999999999999</v>
      </c>
      <c r="R123" s="12">
        <v>127.2</v>
      </c>
      <c r="S123" s="12">
        <v>120.7</v>
      </c>
      <c r="T123" s="12">
        <v>126.2</v>
      </c>
      <c r="U123" s="12">
        <v>126</v>
      </c>
      <c r="V123" s="12">
        <v>115</v>
      </c>
      <c r="W123" s="12">
        <v>123.2</v>
      </c>
      <c r="X123" s="12">
        <v>120.3</v>
      </c>
      <c r="Y123" s="12">
        <v>110.7</v>
      </c>
      <c r="Z123" s="12">
        <v>119.8</v>
      </c>
      <c r="AA123" s="12">
        <v>128</v>
      </c>
      <c r="AB123" s="12">
        <v>118.5</v>
      </c>
      <c r="AC123" s="12">
        <v>118.7</v>
      </c>
      <c r="AD123" s="12">
        <v>126.6</v>
      </c>
    </row>
    <row r="124" spans="1:30" ht="15" customHeight="1" x14ac:dyDescent="0.2">
      <c r="A124" s="3" t="s">
        <v>89</v>
      </c>
      <c r="B124" s="12">
        <v>2016</v>
      </c>
      <c r="C124" s="3" t="s">
        <v>95</v>
      </c>
      <c r="D124" s="12">
        <v>126.8</v>
      </c>
      <c r="E124" s="12">
        <v>139.1</v>
      </c>
      <c r="F124" s="12">
        <v>125.4</v>
      </c>
      <c r="G124" s="12">
        <v>131.69999999999999</v>
      </c>
      <c r="H124" s="12">
        <v>115</v>
      </c>
      <c r="I124" s="12">
        <v>136</v>
      </c>
      <c r="J124" s="12">
        <v>145.1</v>
      </c>
      <c r="K124" s="12">
        <v>171.7</v>
      </c>
      <c r="L124" s="12">
        <v>108.7</v>
      </c>
      <c r="M124" s="12">
        <v>135.30000000000001</v>
      </c>
      <c r="N124" s="12">
        <v>124.2</v>
      </c>
      <c r="O124" s="12">
        <v>137.4</v>
      </c>
      <c r="P124" s="12">
        <v>134</v>
      </c>
      <c r="Q124" s="12">
        <v>137.69999999999999</v>
      </c>
      <c r="R124" s="12">
        <v>132.19999999999999</v>
      </c>
      <c r="S124" s="12">
        <v>126.8</v>
      </c>
      <c r="T124" s="12">
        <v>131.4</v>
      </c>
      <c r="U124" s="12">
        <v>126</v>
      </c>
      <c r="V124" s="12">
        <v>122.7</v>
      </c>
      <c r="W124" s="12">
        <v>126</v>
      </c>
      <c r="X124" s="12">
        <v>123.7</v>
      </c>
      <c r="Y124" s="12">
        <v>112.8</v>
      </c>
      <c r="Z124" s="12">
        <v>121.5</v>
      </c>
      <c r="AA124" s="12">
        <v>128.5</v>
      </c>
      <c r="AB124" s="12">
        <v>119.2</v>
      </c>
      <c r="AC124" s="12">
        <v>120.7</v>
      </c>
      <c r="AD124" s="12">
        <v>128.6</v>
      </c>
    </row>
    <row r="125" spans="1:30" ht="15" customHeight="1" x14ac:dyDescent="0.25">
      <c r="A125" s="3" t="s">
        <v>84</v>
      </c>
      <c r="B125" s="12">
        <v>2016</v>
      </c>
      <c r="C125" s="3" t="s">
        <v>96</v>
      </c>
      <c r="D125" s="12">
        <v>128.6</v>
      </c>
      <c r="E125" s="12">
        <v>138.6</v>
      </c>
      <c r="F125" s="12">
        <v>126.6</v>
      </c>
      <c r="G125" s="12">
        <v>133.6</v>
      </c>
      <c r="H125" s="12">
        <v>118.6</v>
      </c>
      <c r="I125" s="12">
        <v>137.4</v>
      </c>
      <c r="J125" s="12">
        <v>152.5</v>
      </c>
      <c r="K125" s="12">
        <v>169.2</v>
      </c>
      <c r="L125" s="12">
        <v>108.8</v>
      </c>
      <c r="M125" s="12">
        <v>133.1</v>
      </c>
      <c r="N125" s="12">
        <v>126.4</v>
      </c>
      <c r="O125" s="12">
        <v>139.19999999999999</v>
      </c>
      <c r="P125" s="12">
        <v>136</v>
      </c>
      <c r="Q125" s="12">
        <v>137.19999999999999</v>
      </c>
      <c r="R125" s="12">
        <v>136.30000000000001</v>
      </c>
      <c r="S125" s="12">
        <v>131.6</v>
      </c>
      <c r="T125" s="12">
        <v>135.6</v>
      </c>
      <c r="U125" s="13"/>
      <c r="V125" s="12">
        <v>128</v>
      </c>
      <c r="W125" s="12">
        <v>129.30000000000001</v>
      </c>
      <c r="X125" s="12">
        <v>126.2</v>
      </c>
      <c r="Y125" s="12">
        <v>116.3</v>
      </c>
      <c r="Z125" s="12">
        <v>124.1</v>
      </c>
      <c r="AA125" s="12">
        <v>130.19999999999999</v>
      </c>
      <c r="AB125" s="12">
        <v>119.9</v>
      </c>
      <c r="AC125" s="12">
        <v>123.3</v>
      </c>
      <c r="AD125" s="12">
        <v>131.9</v>
      </c>
    </row>
    <row r="126" spans="1:30" ht="15" customHeight="1" x14ac:dyDescent="0.2">
      <c r="A126" s="3" t="s">
        <v>87</v>
      </c>
      <c r="B126" s="12">
        <v>2016</v>
      </c>
      <c r="C126" s="3" t="s">
        <v>96</v>
      </c>
      <c r="D126" s="12">
        <v>125.9</v>
      </c>
      <c r="E126" s="12">
        <v>143.9</v>
      </c>
      <c r="F126" s="12">
        <v>130.9</v>
      </c>
      <c r="G126" s="12">
        <v>131</v>
      </c>
      <c r="H126" s="12">
        <v>110.2</v>
      </c>
      <c r="I126" s="12">
        <v>135.5</v>
      </c>
      <c r="J126" s="12">
        <v>173.7</v>
      </c>
      <c r="K126" s="12">
        <v>184.4</v>
      </c>
      <c r="L126" s="12">
        <v>112</v>
      </c>
      <c r="M126" s="12">
        <v>142.80000000000001</v>
      </c>
      <c r="N126" s="12">
        <v>121.6</v>
      </c>
      <c r="O126" s="12">
        <v>136.9</v>
      </c>
      <c r="P126" s="12">
        <v>138.19999999999999</v>
      </c>
      <c r="Q126" s="12">
        <v>142.69999999999999</v>
      </c>
      <c r="R126" s="12">
        <v>127.6</v>
      </c>
      <c r="S126" s="12">
        <v>121.1</v>
      </c>
      <c r="T126" s="12">
        <v>126.6</v>
      </c>
      <c r="U126" s="12">
        <v>125.5</v>
      </c>
      <c r="V126" s="12">
        <v>115.5</v>
      </c>
      <c r="W126" s="12">
        <v>123.2</v>
      </c>
      <c r="X126" s="12">
        <v>120.6</v>
      </c>
      <c r="Y126" s="12">
        <v>112.3</v>
      </c>
      <c r="Z126" s="12">
        <v>119.9</v>
      </c>
      <c r="AA126" s="12">
        <v>129.30000000000001</v>
      </c>
      <c r="AB126" s="12">
        <v>118.8</v>
      </c>
      <c r="AC126" s="12">
        <v>119.6</v>
      </c>
      <c r="AD126" s="12">
        <v>128.1</v>
      </c>
    </row>
    <row r="127" spans="1:30" ht="15" customHeight="1" x14ac:dyDescent="0.2">
      <c r="A127" s="3" t="s">
        <v>89</v>
      </c>
      <c r="B127" s="12">
        <v>2016</v>
      </c>
      <c r="C127" s="3" t="s">
        <v>96</v>
      </c>
      <c r="D127" s="12">
        <v>127.7</v>
      </c>
      <c r="E127" s="12">
        <v>140.5</v>
      </c>
      <c r="F127" s="12">
        <v>128.30000000000001</v>
      </c>
      <c r="G127" s="12">
        <v>132.6</v>
      </c>
      <c r="H127" s="12">
        <v>115.5</v>
      </c>
      <c r="I127" s="12">
        <v>136.5</v>
      </c>
      <c r="J127" s="12">
        <v>159.69999999999999</v>
      </c>
      <c r="K127" s="12">
        <v>174.3</v>
      </c>
      <c r="L127" s="12">
        <v>109.9</v>
      </c>
      <c r="M127" s="12">
        <v>136.30000000000001</v>
      </c>
      <c r="N127" s="12">
        <v>124.4</v>
      </c>
      <c r="O127" s="12">
        <v>138.1</v>
      </c>
      <c r="P127" s="12">
        <v>136.80000000000001</v>
      </c>
      <c r="Q127" s="12">
        <v>138.69999999999999</v>
      </c>
      <c r="R127" s="12">
        <v>132.9</v>
      </c>
      <c r="S127" s="12">
        <v>127.2</v>
      </c>
      <c r="T127" s="12">
        <v>132</v>
      </c>
      <c r="U127" s="12">
        <v>125.5</v>
      </c>
      <c r="V127" s="12">
        <v>123.3</v>
      </c>
      <c r="W127" s="12">
        <v>126.4</v>
      </c>
      <c r="X127" s="12">
        <v>124.1</v>
      </c>
      <c r="Y127" s="12">
        <v>114.2</v>
      </c>
      <c r="Z127" s="12">
        <v>121.7</v>
      </c>
      <c r="AA127" s="12">
        <v>129.69999999999999</v>
      </c>
      <c r="AB127" s="12">
        <v>119.4</v>
      </c>
      <c r="AC127" s="12">
        <v>121.5</v>
      </c>
      <c r="AD127" s="12">
        <v>130.1</v>
      </c>
    </row>
    <row r="128" spans="1:30" ht="15" customHeight="1" x14ac:dyDescent="0.25">
      <c r="A128" s="3" t="s">
        <v>84</v>
      </c>
      <c r="B128" s="12">
        <v>2016</v>
      </c>
      <c r="C128" s="3" t="s">
        <v>98</v>
      </c>
      <c r="D128" s="12">
        <v>129.30000000000001</v>
      </c>
      <c r="E128" s="12">
        <v>139.5</v>
      </c>
      <c r="F128" s="12">
        <v>129.6</v>
      </c>
      <c r="G128" s="12">
        <v>134.5</v>
      </c>
      <c r="H128" s="12">
        <v>119.5</v>
      </c>
      <c r="I128" s="12">
        <v>138.5</v>
      </c>
      <c r="J128" s="12">
        <v>158.19999999999999</v>
      </c>
      <c r="K128" s="12">
        <v>171.8</v>
      </c>
      <c r="L128" s="12">
        <v>110.3</v>
      </c>
      <c r="M128" s="12">
        <v>134.30000000000001</v>
      </c>
      <c r="N128" s="12">
        <v>127.3</v>
      </c>
      <c r="O128" s="12">
        <v>139.9</v>
      </c>
      <c r="P128" s="12">
        <v>137.6</v>
      </c>
      <c r="Q128" s="12">
        <v>138</v>
      </c>
      <c r="R128" s="12">
        <v>137.19999999999999</v>
      </c>
      <c r="S128" s="12">
        <v>132.19999999999999</v>
      </c>
      <c r="T128" s="12">
        <v>136.5</v>
      </c>
      <c r="U128" s="13"/>
      <c r="V128" s="12">
        <v>128.19999999999999</v>
      </c>
      <c r="W128" s="12">
        <v>130</v>
      </c>
      <c r="X128" s="12">
        <v>126.7</v>
      </c>
      <c r="Y128" s="12">
        <v>116.4</v>
      </c>
      <c r="Z128" s="12">
        <v>125.2</v>
      </c>
      <c r="AA128" s="12">
        <v>130.80000000000001</v>
      </c>
      <c r="AB128" s="12">
        <v>120.9</v>
      </c>
      <c r="AC128" s="12">
        <v>123.8</v>
      </c>
      <c r="AD128" s="12">
        <v>133</v>
      </c>
    </row>
    <row r="129" spans="1:30" ht="15" customHeight="1" x14ac:dyDescent="0.2">
      <c r="A129" s="3" t="s">
        <v>87</v>
      </c>
      <c r="B129" s="12">
        <v>2016</v>
      </c>
      <c r="C129" s="3" t="s">
        <v>98</v>
      </c>
      <c r="D129" s="12">
        <v>126.8</v>
      </c>
      <c r="E129" s="12">
        <v>144.19999999999999</v>
      </c>
      <c r="F129" s="12">
        <v>136.6</v>
      </c>
      <c r="G129" s="12">
        <v>131.80000000000001</v>
      </c>
      <c r="H129" s="12">
        <v>111</v>
      </c>
      <c r="I129" s="12">
        <v>137</v>
      </c>
      <c r="J129" s="12">
        <v>179.5</v>
      </c>
      <c r="K129" s="12">
        <v>188.4</v>
      </c>
      <c r="L129" s="12">
        <v>113.3</v>
      </c>
      <c r="M129" s="12">
        <v>143.9</v>
      </c>
      <c r="N129" s="12">
        <v>121.7</v>
      </c>
      <c r="O129" s="12">
        <v>137.5</v>
      </c>
      <c r="P129" s="12">
        <v>139.80000000000001</v>
      </c>
      <c r="Q129" s="12">
        <v>142.9</v>
      </c>
      <c r="R129" s="12">
        <v>127.9</v>
      </c>
      <c r="S129" s="12">
        <v>121.1</v>
      </c>
      <c r="T129" s="12">
        <v>126.9</v>
      </c>
      <c r="U129" s="12">
        <v>126.4</v>
      </c>
      <c r="V129" s="12">
        <v>115.5</v>
      </c>
      <c r="W129" s="12">
        <v>123.5</v>
      </c>
      <c r="X129" s="12">
        <v>120.9</v>
      </c>
      <c r="Y129" s="12">
        <v>111.7</v>
      </c>
      <c r="Z129" s="12">
        <v>120.3</v>
      </c>
      <c r="AA129" s="12">
        <v>130.80000000000001</v>
      </c>
      <c r="AB129" s="12">
        <v>120</v>
      </c>
      <c r="AC129" s="12">
        <v>119.9</v>
      </c>
      <c r="AD129" s="12">
        <v>129</v>
      </c>
    </row>
    <row r="130" spans="1:30" ht="15" customHeight="1" x14ac:dyDescent="0.2">
      <c r="A130" s="3" t="s">
        <v>89</v>
      </c>
      <c r="B130" s="12">
        <v>2016</v>
      </c>
      <c r="C130" s="3" t="s">
        <v>98</v>
      </c>
      <c r="D130" s="12">
        <v>128.5</v>
      </c>
      <c r="E130" s="12">
        <v>141.19999999999999</v>
      </c>
      <c r="F130" s="12">
        <v>132.30000000000001</v>
      </c>
      <c r="G130" s="12">
        <v>133.5</v>
      </c>
      <c r="H130" s="12">
        <v>116.4</v>
      </c>
      <c r="I130" s="12">
        <v>137.80000000000001</v>
      </c>
      <c r="J130" s="12">
        <v>165.4</v>
      </c>
      <c r="K130" s="12">
        <v>177.4</v>
      </c>
      <c r="L130" s="12">
        <v>111.3</v>
      </c>
      <c r="M130" s="12">
        <v>137.5</v>
      </c>
      <c r="N130" s="12">
        <v>125</v>
      </c>
      <c r="O130" s="12">
        <v>138.80000000000001</v>
      </c>
      <c r="P130" s="12">
        <v>138.4</v>
      </c>
      <c r="Q130" s="12">
        <v>139.30000000000001</v>
      </c>
      <c r="R130" s="12">
        <v>133.5</v>
      </c>
      <c r="S130" s="12">
        <v>127.6</v>
      </c>
      <c r="T130" s="12">
        <v>132.69999999999999</v>
      </c>
      <c r="U130" s="12">
        <v>126.4</v>
      </c>
      <c r="V130" s="12">
        <v>123.4</v>
      </c>
      <c r="W130" s="12">
        <v>126.9</v>
      </c>
      <c r="X130" s="12">
        <v>124.5</v>
      </c>
      <c r="Y130" s="12">
        <v>113.9</v>
      </c>
      <c r="Z130" s="12">
        <v>122.4</v>
      </c>
      <c r="AA130" s="12">
        <v>130.80000000000001</v>
      </c>
      <c r="AB130" s="12">
        <v>120.5</v>
      </c>
      <c r="AC130" s="12">
        <v>121.9</v>
      </c>
      <c r="AD130" s="12">
        <v>131.1</v>
      </c>
    </row>
    <row r="131" spans="1:30" ht="15" customHeight="1" x14ac:dyDescent="0.25">
      <c r="A131" s="3" t="s">
        <v>84</v>
      </c>
      <c r="B131" s="12">
        <v>2016</v>
      </c>
      <c r="C131" s="3" t="s">
        <v>100</v>
      </c>
      <c r="D131" s="12">
        <v>130.1</v>
      </c>
      <c r="E131" s="12">
        <v>138.80000000000001</v>
      </c>
      <c r="F131" s="12">
        <v>130.30000000000001</v>
      </c>
      <c r="G131" s="12">
        <v>135.30000000000001</v>
      </c>
      <c r="H131" s="12">
        <v>119.9</v>
      </c>
      <c r="I131" s="12">
        <v>140.19999999999999</v>
      </c>
      <c r="J131" s="12">
        <v>156.9</v>
      </c>
      <c r="K131" s="12">
        <v>172.2</v>
      </c>
      <c r="L131" s="12">
        <v>112.1</v>
      </c>
      <c r="M131" s="12">
        <v>134.9</v>
      </c>
      <c r="N131" s="12">
        <v>128.1</v>
      </c>
      <c r="O131" s="12">
        <v>140.69999999999999</v>
      </c>
      <c r="P131" s="12">
        <v>138</v>
      </c>
      <c r="Q131" s="12">
        <v>138.9</v>
      </c>
      <c r="R131" s="12">
        <v>137.80000000000001</v>
      </c>
      <c r="S131" s="12">
        <v>133</v>
      </c>
      <c r="T131" s="12">
        <v>137.1</v>
      </c>
      <c r="U131" s="13"/>
      <c r="V131" s="12">
        <v>129.1</v>
      </c>
      <c r="W131" s="12">
        <v>130.6</v>
      </c>
      <c r="X131" s="12">
        <v>127</v>
      </c>
      <c r="Y131" s="12">
        <v>116</v>
      </c>
      <c r="Z131" s="12">
        <v>125.5</v>
      </c>
      <c r="AA131" s="12">
        <v>131.9</v>
      </c>
      <c r="AB131" s="12">
        <v>122</v>
      </c>
      <c r="AC131" s="12">
        <v>124.2</v>
      </c>
      <c r="AD131" s="12">
        <v>133.5</v>
      </c>
    </row>
    <row r="132" spans="1:30" ht="15" customHeight="1" x14ac:dyDescent="0.2">
      <c r="A132" s="3" t="s">
        <v>87</v>
      </c>
      <c r="B132" s="12">
        <v>2016</v>
      </c>
      <c r="C132" s="3" t="s">
        <v>100</v>
      </c>
      <c r="D132" s="12">
        <v>127.6</v>
      </c>
      <c r="E132" s="12">
        <v>140.30000000000001</v>
      </c>
      <c r="F132" s="12">
        <v>133.69999999999999</v>
      </c>
      <c r="G132" s="12">
        <v>132.19999999999999</v>
      </c>
      <c r="H132" s="12">
        <v>111.8</v>
      </c>
      <c r="I132" s="12">
        <v>135.80000000000001</v>
      </c>
      <c r="J132" s="12">
        <v>163.5</v>
      </c>
      <c r="K132" s="12">
        <v>182.3</v>
      </c>
      <c r="L132" s="12">
        <v>114.6</v>
      </c>
      <c r="M132" s="12">
        <v>144.6</v>
      </c>
      <c r="N132" s="12">
        <v>121.9</v>
      </c>
      <c r="O132" s="12">
        <v>138.1</v>
      </c>
      <c r="P132" s="12">
        <v>137.6</v>
      </c>
      <c r="Q132" s="12">
        <v>143.6</v>
      </c>
      <c r="R132" s="12">
        <v>128.30000000000001</v>
      </c>
      <c r="S132" s="12">
        <v>121.4</v>
      </c>
      <c r="T132" s="12">
        <v>127.3</v>
      </c>
      <c r="U132" s="12">
        <v>127.3</v>
      </c>
      <c r="V132" s="12">
        <v>114.7</v>
      </c>
      <c r="W132" s="12">
        <v>123.9</v>
      </c>
      <c r="X132" s="12">
        <v>121.2</v>
      </c>
      <c r="Y132" s="12">
        <v>110.4</v>
      </c>
      <c r="Z132" s="12">
        <v>120.6</v>
      </c>
      <c r="AA132" s="12">
        <v>131.5</v>
      </c>
      <c r="AB132" s="12">
        <v>120.9</v>
      </c>
      <c r="AC132" s="12">
        <v>119.9</v>
      </c>
      <c r="AD132" s="12">
        <v>128.4</v>
      </c>
    </row>
    <row r="133" spans="1:30" ht="15" customHeight="1" x14ac:dyDescent="0.2">
      <c r="A133" s="3" t="s">
        <v>89</v>
      </c>
      <c r="B133" s="12">
        <v>2016</v>
      </c>
      <c r="C133" s="3" t="s">
        <v>100</v>
      </c>
      <c r="D133" s="12">
        <v>129.30000000000001</v>
      </c>
      <c r="E133" s="12">
        <v>139.30000000000001</v>
      </c>
      <c r="F133" s="12">
        <v>131.6</v>
      </c>
      <c r="G133" s="12">
        <v>134.1</v>
      </c>
      <c r="H133" s="12">
        <v>116.9</v>
      </c>
      <c r="I133" s="12">
        <v>138.1</v>
      </c>
      <c r="J133" s="12">
        <v>159.1</v>
      </c>
      <c r="K133" s="12">
        <v>175.6</v>
      </c>
      <c r="L133" s="12">
        <v>112.9</v>
      </c>
      <c r="M133" s="12">
        <v>138.1</v>
      </c>
      <c r="N133" s="12">
        <v>125.5</v>
      </c>
      <c r="O133" s="12">
        <v>139.5</v>
      </c>
      <c r="P133" s="12">
        <v>137.9</v>
      </c>
      <c r="Q133" s="12">
        <v>140.19999999999999</v>
      </c>
      <c r="R133" s="12">
        <v>134.1</v>
      </c>
      <c r="S133" s="12">
        <v>128.19999999999999</v>
      </c>
      <c r="T133" s="12">
        <v>133.19999999999999</v>
      </c>
      <c r="U133" s="12">
        <v>127.3</v>
      </c>
      <c r="V133" s="12">
        <v>123.6</v>
      </c>
      <c r="W133" s="12">
        <v>127.4</v>
      </c>
      <c r="X133" s="12">
        <v>124.8</v>
      </c>
      <c r="Y133" s="12">
        <v>113.1</v>
      </c>
      <c r="Z133" s="12">
        <v>122.7</v>
      </c>
      <c r="AA133" s="12">
        <v>131.69999999999999</v>
      </c>
      <c r="AB133" s="12">
        <v>121.5</v>
      </c>
      <c r="AC133" s="12">
        <v>122.1</v>
      </c>
      <c r="AD133" s="12">
        <v>131.1</v>
      </c>
    </row>
    <row r="134" spans="1:30" ht="15" customHeight="1" x14ac:dyDescent="0.25">
      <c r="A134" s="3" t="s">
        <v>84</v>
      </c>
      <c r="B134" s="12">
        <v>2016</v>
      </c>
      <c r="C134" s="3" t="s">
        <v>102</v>
      </c>
      <c r="D134" s="12">
        <v>130.80000000000001</v>
      </c>
      <c r="E134" s="12">
        <v>138.19999999999999</v>
      </c>
      <c r="F134" s="12">
        <v>130.5</v>
      </c>
      <c r="G134" s="12">
        <v>135.5</v>
      </c>
      <c r="H134" s="12">
        <v>120.2</v>
      </c>
      <c r="I134" s="12">
        <v>139.19999999999999</v>
      </c>
      <c r="J134" s="12">
        <v>149.5</v>
      </c>
      <c r="K134" s="12">
        <v>170.4</v>
      </c>
      <c r="L134" s="12">
        <v>113.1</v>
      </c>
      <c r="M134" s="12">
        <v>135.80000000000001</v>
      </c>
      <c r="N134" s="12">
        <v>128.80000000000001</v>
      </c>
      <c r="O134" s="12">
        <v>141.5</v>
      </c>
      <c r="P134" s="12">
        <v>137.19999999999999</v>
      </c>
      <c r="Q134" s="12">
        <v>139.9</v>
      </c>
      <c r="R134" s="12">
        <v>138.5</v>
      </c>
      <c r="S134" s="12">
        <v>133.5</v>
      </c>
      <c r="T134" s="12">
        <v>137.80000000000001</v>
      </c>
      <c r="U134" s="13"/>
      <c r="V134" s="12">
        <v>129.69999999999999</v>
      </c>
      <c r="W134" s="12">
        <v>131.1</v>
      </c>
      <c r="X134" s="12">
        <v>127.8</v>
      </c>
      <c r="Y134" s="12">
        <v>117</v>
      </c>
      <c r="Z134" s="12">
        <v>125.7</v>
      </c>
      <c r="AA134" s="12">
        <v>132.19999999999999</v>
      </c>
      <c r="AB134" s="12">
        <v>122.8</v>
      </c>
      <c r="AC134" s="12">
        <v>124.9</v>
      </c>
      <c r="AD134" s="12">
        <v>133.4</v>
      </c>
    </row>
    <row r="135" spans="1:30" ht="15" customHeight="1" x14ac:dyDescent="0.2">
      <c r="A135" s="3" t="s">
        <v>87</v>
      </c>
      <c r="B135" s="12">
        <v>2016</v>
      </c>
      <c r="C135" s="3" t="s">
        <v>102</v>
      </c>
      <c r="D135" s="12">
        <v>128.1</v>
      </c>
      <c r="E135" s="12">
        <v>137.69999999999999</v>
      </c>
      <c r="F135" s="12">
        <v>130.6</v>
      </c>
      <c r="G135" s="12">
        <v>132.6</v>
      </c>
      <c r="H135" s="12">
        <v>111.9</v>
      </c>
      <c r="I135" s="12">
        <v>132.5</v>
      </c>
      <c r="J135" s="12">
        <v>152.9</v>
      </c>
      <c r="K135" s="12">
        <v>173.6</v>
      </c>
      <c r="L135" s="12">
        <v>115.1</v>
      </c>
      <c r="M135" s="12">
        <v>144.80000000000001</v>
      </c>
      <c r="N135" s="12">
        <v>122.1</v>
      </c>
      <c r="O135" s="12">
        <v>138.80000000000001</v>
      </c>
      <c r="P135" s="12">
        <v>135.69999999999999</v>
      </c>
      <c r="Q135" s="12">
        <v>143.9</v>
      </c>
      <c r="R135" s="12">
        <v>128.69999999999999</v>
      </c>
      <c r="S135" s="12">
        <v>121.6</v>
      </c>
      <c r="T135" s="12">
        <v>127.7</v>
      </c>
      <c r="U135" s="12">
        <v>127.9</v>
      </c>
      <c r="V135" s="12">
        <v>114.8</v>
      </c>
      <c r="W135" s="12">
        <v>124.3</v>
      </c>
      <c r="X135" s="12">
        <v>121.4</v>
      </c>
      <c r="Y135" s="12">
        <v>111.8</v>
      </c>
      <c r="Z135" s="12">
        <v>120.8</v>
      </c>
      <c r="AA135" s="12">
        <v>131.6</v>
      </c>
      <c r="AB135" s="12">
        <v>121.2</v>
      </c>
      <c r="AC135" s="12">
        <v>120.5</v>
      </c>
      <c r="AD135" s="12">
        <v>128</v>
      </c>
    </row>
    <row r="136" spans="1:30" ht="15" customHeight="1" x14ac:dyDescent="0.2">
      <c r="A136" s="3" t="s">
        <v>89</v>
      </c>
      <c r="B136" s="12">
        <v>2016</v>
      </c>
      <c r="C136" s="3" t="s">
        <v>102</v>
      </c>
      <c r="D136" s="12">
        <v>129.9</v>
      </c>
      <c r="E136" s="12">
        <v>138</v>
      </c>
      <c r="F136" s="12">
        <v>130.5</v>
      </c>
      <c r="G136" s="12">
        <v>134.4</v>
      </c>
      <c r="H136" s="12">
        <v>117.2</v>
      </c>
      <c r="I136" s="12">
        <v>136.1</v>
      </c>
      <c r="J136" s="12">
        <v>150.69999999999999</v>
      </c>
      <c r="K136" s="12">
        <v>171.5</v>
      </c>
      <c r="L136" s="12">
        <v>113.8</v>
      </c>
      <c r="M136" s="12">
        <v>138.80000000000001</v>
      </c>
      <c r="N136" s="12">
        <v>126</v>
      </c>
      <c r="O136" s="12">
        <v>140.19999999999999</v>
      </c>
      <c r="P136" s="12">
        <v>136.6</v>
      </c>
      <c r="Q136" s="12">
        <v>141</v>
      </c>
      <c r="R136" s="12">
        <v>134.6</v>
      </c>
      <c r="S136" s="12">
        <v>128.6</v>
      </c>
      <c r="T136" s="12">
        <v>133.80000000000001</v>
      </c>
      <c r="U136" s="12">
        <v>127.9</v>
      </c>
      <c r="V136" s="12">
        <v>124.1</v>
      </c>
      <c r="W136" s="12">
        <v>127.9</v>
      </c>
      <c r="X136" s="12">
        <v>125.4</v>
      </c>
      <c r="Y136" s="12">
        <v>114.3</v>
      </c>
      <c r="Z136" s="12">
        <v>122.9</v>
      </c>
      <c r="AA136" s="12">
        <v>131.80000000000001</v>
      </c>
      <c r="AB136" s="12">
        <v>122.1</v>
      </c>
      <c r="AC136" s="12">
        <v>122.8</v>
      </c>
      <c r="AD136" s="12">
        <v>130.9</v>
      </c>
    </row>
    <row r="137" spans="1:30" ht="15" customHeight="1" x14ac:dyDescent="0.25">
      <c r="A137" s="3" t="s">
        <v>84</v>
      </c>
      <c r="B137" s="12">
        <v>2016</v>
      </c>
      <c r="C137" s="3" t="s">
        <v>104</v>
      </c>
      <c r="D137" s="12">
        <v>131.30000000000001</v>
      </c>
      <c r="E137" s="12">
        <v>137.6</v>
      </c>
      <c r="F137" s="12">
        <v>130.1</v>
      </c>
      <c r="G137" s="12">
        <v>136</v>
      </c>
      <c r="H137" s="12">
        <v>120.8</v>
      </c>
      <c r="I137" s="12">
        <v>138.4</v>
      </c>
      <c r="J137" s="12">
        <v>149.19999999999999</v>
      </c>
      <c r="K137" s="12">
        <v>170.2</v>
      </c>
      <c r="L137" s="12">
        <v>113.4</v>
      </c>
      <c r="M137" s="12">
        <v>136.30000000000001</v>
      </c>
      <c r="N137" s="12">
        <v>128.69999999999999</v>
      </c>
      <c r="O137" s="12">
        <v>142.4</v>
      </c>
      <c r="P137" s="12">
        <v>137.4</v>
      </c>
      <c r="Q137" s="12">
        <v>140.9</v>
      </c>
      <c r="R137" s="12">
        <v>139.6</v>
      </c>
      <c r="S137" s="12">
        <v>134.30000000000001</v>
      </c>
      <c r="T137" s="12">
        <v>138.80000000000001</v>
      </c>
      <c r="U137" s="13"/>
      <c r="V137" s="12">
        <v>129.80000000000001</v>
      </c>
      <c r="W137" s="12">
        <v>131.80000000000001</v>
      </c>
      <c r="X137" s="12">
        <v>128.69999999999999</v>
      </c>
      <c r="Y137" s="12">
        <v>117.8</v>
      </c>
      <c r="Z137" s="12">
        <v>126.5</v>
      </c>
      <c r="AA137" s="12">
        <v>133</v>
      </c>
      <c r="AB137" s="12">
        <v>123</v>
      </c>
      <c r="AC137" s="12">
        <v>125.7</v>
      </c>
      <c r="AD137" s="12">
        <v>133.80000000000001</v>
      </c>
    </row>
    <row r="138" spans="1:30" ht="15" customHeight="1" x14ac:dyDescent="0.2">
      <c r="A138" s="3" t="s">
        <v>87</v>
      </c>
      <c r="B138" s="12">
        <v>2016</v>
      </c>
      <c r="C138" s="3" t="s">
        <v>104</v>
      </c>
      <c r="D138" s="12">
        <v>128.69999999999999</v>
      </c>
      <c r="E138" s="12">
        <v>138.4</v>
      </c>
      <c r="F138" s="12">
        <v>130.30000000000001</v>
      </c>
      <c r="G138" s="12">
        <v>132.69999999999999</v>
      </c>
      <c r="H138" s="12">
        <v>112.5</v>
      </c>
      <c r="I138" s="12">
        <v>130.4</v>
      </c>
      <c r="J138" s="12">
        <v>155.1</v>
      </c>
      <c r="K138" s="12">
        <v>175.7</v>
      </c>
      <c r="L138" s="12">
        <v>115.4</v>
      </c>
      <c r="M138" s="12">
        <v>145.30000000000001</v>
      </c>
      <c r="N138" s="12">
        <v>122.5</v>
      </c>
      <c r="O138" s="12">
        <v>139.6</v>
      </c>
      <c r="P138" s="12">
        <v>136.30000000000001</v>
      </c>
      <c r="Q138" s="12">
        <v>144.30000000000001</v>
      </c>
      <c r="R138" s="12">
        <v>129.1</v>
      </c>
      <c r="S138" s="12">
        <v>121.9</v>
      </c>
      <c r="T138" s="12">
        <v>128</v>
      </c>
      <c r="U138" s="12">
        <v>128.69999999999999</v>
      </c>
      <c r="V138" s="12">
        <v>115.2</v>
      </c>
      <c r="W138" s="12">
        <v>124.5</v>
      </c>
      <c r="X138" s="12">
        <v>121.8</v>
      </c>
      <c r="Y138" s="12">
        <v>112.8</v>
      </c>
      <c r="Z138" s="12">
        <v>121.2</v>
      </c>
      <c r="AA138" s="12">
        <v>131.9</v>
      </c>
      <c r="AB138" s="12">
        <v>120.8</v>
      </c>
      <c r="AC138" s="12">
        <v>120.9</v>
      </c>
      <c r="AD138" s="12">
        <v>128.6</v>
      </c>
    </row>
    <row r="139" spans="1:30" ht="15" customHeight="1" x14ac:dyDescent="0.2">
      <c r="A139" s="3" t="s">
        <v>89</v>
      </c>
      <c r="B139" s="12">
        <v>2016</v>
      </c>
      <c r="C139" s="3" t="s">
        <v>104</v>
      </c>
      <c r="D139" s="12">
        <v>130.5</v>
      </c>
      <c r="E139" s="12">
        <v>137.9</v>
      </c>
      <c r="F139" s="12">
        <v>130.19999999999999</v>
      </c>
      <c r="G139" s="12">
        <v>134.80000000000001</v>
      </c>
      <c r="H139" s="12">
        <v>117.8</v>
      </c>
      <c r="I139" s="12">
        <v>134.69999999999999</v>
      </c>
      <c r="J139" s="12">
        <v>151.19999999999999</v>
      </c>
      <c r="K139" s="12">
        <v>172.1</v>
      </c>
      <c r="L139" s="12">
        <v>114.1</v>
      </c>
      <c r="M139" s="12">
        <v>139.30000000000001</v>
      </c>
      <c r="N139" s="12">
        <v>126.1</v>
      </c>
      <c r="O139" s="12">
        <v>141.1</v>
      </c>
      <c r="P139" s="12">
        <v>137</v>
      </c>
      <c r="Q139" s="12">
        <v>141.80000000000001</v>
      </c>
      <c r="R139" s="12">
        <v>135.5</v>
      </c>
      <c r="S139" s="12">
        <v>129.1</v>
      </c>
      <c r="T139" s="12">
        <v>134.5</v>
      </c>
      <c r="U139" s="12">
        <v>128.69999999999999</v>
      </c>
      <c r="V139" s="12">
        <v>124.3</v>
      </c>
      <c r="W139" s="12">
        <v>128.4</v>
      </c>
      <c r="X139" s="12">
        <v>126.1</v>
      </c>
      <c r="Y139" s="12">
        <v>115.2</v>
      </c>
      <c r="Z139" s="12">
        <v>123.5</v>
      </c>
      <c r="AA139" s="12">
        <v>132.4</v>
      </c>
      <c r="AB139" s="12">
        <v>122.1</v>
      </c>
      <c r="AC139" s="12">
        <v>123.4</v>
      </c>
      <c r="AD139" s="12">
        <v>131.4</v>
      </c>
    </row>
    <row r="140" spans="1:30" ht="15" customHeight="1" x14ac:dyDescent="0.25">
      <c r="A140" s="3" t="s">
        <v>84</v>
      </c>
      <c r="B140" s="12">
        <v>2016</v>
      </c>
      <c r="C140" s="3" t="s">
        <v>107</v>
      </c>
      <c r="D140" s="12">
        <v>132</v>
      </c>
      <c r="E140" s="12">
        <v>137.4</v>
      </c>
      <c r="F140" s="12">
        <v>130.6</v>
      </c>
      <c r="G140" s="12">
        <v>136.19999999999999</v>
      </c>
      <c r="H140" s="12">
        <v>121.1</v>
      </c>
      <c r="I140" s="12">
        <v>136.9</v>
      </c>
      <c r="J140" s="12">
        <v>141.80000000000001</v>
      </c>
      <c r="K140" s="12">
        <v>170</v>
      </c>
      <c r="L140" s="12">
        <v>113.4</v>
      </c>
      <c r="M140" s="12">
        <v>136.80000000000001</v>
      </c>
      <c r="N140" s="12">
        <v>128.69999999999999</v>
      </c>
      <c r="O140" s="12">
        <v>143.1</v>
      </c>
      <c r="P140" s="12">
        <v>136.6</v>
      </c>
      <c r="Q140" s="12">
        <v>141.19999999999999</v>
      </c>
      <c r="R140" s="12">
        <v>139.9</v>
      </c>
      <c r="S140" s="12">
        <v>134.5</v>
      </c>
      <c r="T140" s="12">
        <v>139.19999999999999</v>
      </c>
      <c r="U140" s="13"/>
      <c r="V140" s="12">
        <v>130.30000000000001</v>
      </c>
      <c r="W140" s="12">
        <v>132.1</v>
      </c>
      <c r="X140" s="12">
        <v>129.1</v>
      </c>
      <c r="Y140" s="12">
        <v>118.2</v>
      </c>
      <c r="Z140" s="12">
        <v>126.9</v>
      </c>
      <c r="AA140" s="12">
        <v>133.69999999999999</v>
      </c>
      <c r="AB140" s="12">
        <v>123.5</v>
      </c>
      <c r="AC140" s="12">
        <v>126.1</v>
      </c>
      <c r="AD140" s="12">
        <v>133.6</v>
      </c>
    </row>
    <row r="141" spans="1:30" ht="15" customHeight="1" x14ac:dyDescent="0.2">
      <c r="A141" s="3" t="s">
        <v>87</v>
      </c>
      <c r="B141" s="12">
        <v>2016</v>
      </c>
      <c r="C141" s="3" t="s">
        <v>107</v>
      </c>
      <c r="D141" s="12">
        <v>130.19999999999999</v>
      </c>
      <c r="E141" s="12">
        <v>138.5</v>
      </c>
      <c r="F141" s="12">
        <v>134.1</v>
      </c>
      <c r="G141" s="12">
        <v>132.9</v>
      </c>
      <c r="H141" s="12">
        <v>112.6</v>
      </c>
      <c r="I141" s="12">
        <v>130.80000000000001</v>
      </c>
      <c r="J141" s="12">
        <v>142</v>
      </c>
      <c r="K141" s="12">
        <v>174.9</v>
      </c>
      <c r="L141" s="12">
        <v>115.6</v>
      </c>
      <c r="M141" s="12">
        <v>145.4</v>
      </c>
      <c r="N141" s="12">
        <v>122.7</v>
      </c>
      <c r="O141" s="12">
        <v>140.30000000000001</v>
      </c>
      <c r="P141" s="12">
        <v>135.19999999999999</v>
      </c>
      <c r="Q141" s="12">
        <v>144.30000000000001</v>
      </c>
      <c r="R141" s="12">
        <v>129.6</v>
      </c>
      <c r="S141" s="12">
        <v>122.1</v>
      </c>
      <c r="T141" s="12">
        <v>128.5</v>
      </c>
      <c r="U141" s="12">
        <v>129.1</v>
      </c>
      <c r="V141" s="12">
        <v>116.2</v>
      </c>
      <c r="W141" s="12">
        <v>124.7</v>
      </c>
      <c r="X141" s="12">
        <v>122.1</v>
      </c>
      <c r="Y141" s="12">
        <v>113.4</v>
      </c>
      <c r="Z141" s="12">
        <v>121.7</v>
      </c>
      <c r="AA141" s="12">
        <v>132.1</v>
      </c>
      <c r="AB141" s="12">
        <v>121.3</v>
      </c>
      <c r="AC141" s="12">
        <v>121.3</v>
      </c>
      <c r="AD141" s="12">
        <v>128.5</v>
      </c>
    </row>
    <row r="142" spans="1:30" ht="15" customHeight="1" x14ac:dyDescent="0.2">
      <c r="A142" s="3" t="s">
        <v>89</v>
      </c>
      <c r="B142" s="12">
        <v>2016</v>
      </c>
      <c r="C142" s="3" t="s">
        <v>107</v>
      </c>
      <c r="D142" s="12">
        <v>131.4</v>
      </c>
      <c r="E142" s="12">
        <v>137.80000000000001</v>
      </c>
      <c r="F142" s="12">
        <v>132</v>
      </c>
      <c r="G142" s="12">
        <v>135</v>
      </c>
      <c r="H142" s="12">
        <v>118</v>
      </c>
      <c r="I142" s="12">
        <v>134.1</v>
      </c>
      <c r="J142" s="12">
        <v>141.9</v>
      </c>
      <c r="K142" s="12">
        <v>171.7</v>
      </c>
      <c r="L142" s="12">
        <v>114.1</v>
      </c>
      <c r="M142" s="12">
        <v>139.69999999999999</v>
      </c>
      <c r="N142" s="12">
        <v>126.2</v>
      </c>
      <c r="O142" s="12">
        <v>141.80000000000001</v>
      </c>
      <c r="P142" s="12">
        <v>136.1</v>
      </c>
      <c r="Q142" s="12">
        <v>142</v>
      </c>
      <c r="R142" s="12">
        <v>135.80000000000001</v>
      </c>
      <c r="S142" s="12">
        <v>129.30000000000001</v>
      </c>
      <c r="T142" s="12">
        <v>135</v>
      </c>
      <c r="U142" s="12">
        <v>129.1</v>
      </c>
      <c r="V142" s="12">
        <v>125</v>
      </c>
      <c r="W142" s="12">
        <v>128.6</v>
      </c>
      <c r="X142" s="12">
        <v>126.4</v>
      </c>
      <c r="Y142" s="12">
        <v>115.7</v>
      </c>
      <c r="Z142" s="12">
        <v>124</v>
      </c>
      <c r="AA142" s="12">
        <v>132.80000000000001</v>
      </c>
      <c r="AB142" s="12">
        <v>122.6</v>
      </c>
      <c r="AC142" s="12">
        <v>123.8</v>
      </c>
      <c r="AD142" s="12">
        <v>131.19999999999999</v>
      </c>
    </row>
    <row r="143" spans="1:30" ht="15" customHeight="1" x14ac:dyDescent="0.25">
      <c r="A143" s="3" t="s">
        <v>84</v>
      </c>
      <c r="B143" s="12">
        <v>2016</v>
      </c>
      <c r="C143" s="3" t="s">
        <v>109</v>
      </c>
      <c r="D143" s="12">
        <v>132.6</v>
      </c>
      <c r="E143" s="12">
        <v>137.30000000000001</v>
      </c>
      <c r="F143" s="12">
        <v>131.6</v>
      </c>
      <c r="G143" s="12">
        <v>136.30000000000001</v>
      </c>
      <c r="H143" s="12">
        <v>121.6</v>
      </c>
      <c r="I143" s="12">
        <v>135.6</v>
      </c>
      <c r="J143" s="12">
        <v>127.5</v>
      </c>
      <c r="K143" s="12">
        <v>167.9</v>
      </c>
      <c r="L143" s="12">
        <v>113.8</v>
      </c>
      <c r="M143" s="12">
        <v>137.5</v>
      </c>
      <c r="N143" s="12">
        <v>129.1</v>
      </c>
      <c r="O143" s="12">
        <v>143.6</v>
      </c>
      <c r="P143" s="12">
        <v>134.69999999999999</v>
      </c>
      <c r="Q143" s="12">
        <v>142.4</v>
      </c>
      <c r="R143" s="12">
        <v>140.4</v>
      </c>
      <c r="S143" s="12">
        <v>135.19999999999999</v>
      </c>
      <c r="T143" s="12">
        <v>139.69999999999999</v>
      </c>
      <c r="U143" s="13"/>
      <c r="V143" s="12">
        <v>132</v>
      </c>
      <c r="W143" s="12">
        <v>132.9</v>
      </c>
      <c r="X143" s="12">
        <v>129.69999999999999</v>
      </c>
      <c r="Y143" s="12">
        <v>118.6</v>
      </c>
      <c r="Z143" s="12">
        <v>127.3</v>
      </c>
      <c r="AA143" s="12">
        <v>134.19999999999999</v>
      </c>
      <c r="AB143" s="12">
        <v>121.9</v>
      </c>
      <c r="AC143" s="12">
        <v>126.3</v>
      </c>
      <c r="AD143" s="12">
        <v>132.80000000000001</v>
      </c>
    </row>
    <row r="144" spans="1:30" ht="15" customHeight="1" x14ac:dyDescent="0.2">
      <c r="A144" s="3" t="s">
        <v>87</v>
      </c>
      <c r="B144" s="12">
        <v>2016</v>
      </c>
      <c r="C144" s="3" t="s">
        <v>109</v>
      </c>
      <c r="D144" s="12">
        <v>131.6</v>
      </c>
      <c r="E144" s="12">
        <v>138.19999999999999</v>
      </c>
      <c r="F144" s="12">
        <v>134.9</v>
      </c>
      <c r="G144" s="12">
        <v>133.1</v>
      </c>
      <c r="H144" s="12">
        <v>113.5</v>
      </c>
      <c r="I144" s="12">
        <v>129.30000000000001</v>
      </c>
      <c r="J144" s="12">
        <v>121.1</v>
      </c>
      <c r="K144" s="12">
        <v>170.3</v>
      </c>
      <c r="L144" s="12">
        <v>115.5</v>
      </c>
      <c r="M144" s="12">
        <v>145.5</v>
      </c>
      <c r="N144" s="12">
        <v>123.1</v>
      </c>
      <c r="O144" s="12">
        <v>140.9</v>
      </c>
      <c r="P144" s="12">
        <v>132.80000000000001</v>
      </c>
      <c r="Q144" s="12">
        <v>145</v>
      </c>
      <c r="R144" s="12">
        <v>130</v>
      </c>
      <c r="S144" s="12">
        <v>122.2</v>
      </c>
      <c r="T144" s="12">
        <v>128.80000000000001</v>
      </c>
      <c r="U144" s="12">
        <v>128.5</v>
      </c>
      <c r="V144" s="12">
        <v>117.8</v>
      </c>
      <c r="W144" s="12">
        <v>125</v>
      </c>
      <c r="X144" s="12">
        <v>122.3</v>
      </c>
      <c r="Y144" s="12">
        <v>113.7</v>
      </c>
      <c r="Z144" s="12">
        <v>121.8</v>
      </c>
      <c r="AA144" s="12">
        <v>132.30000000000001</v>
      </c>
      <c r="AB144" s="12">
        <v>119.9</v>
      </c>
      <c r="AC144" s="12">
        <v>121.4</v>
      </c>
      <c r="AD144" s="12">
        <v>127.6</v>
      </c>
    </row>
    <row r="145" spans="1:30" ht="15" customHeight="1" x14ac:dyDescent="0.2">
      <c r="A145" s="3" t="s">
        <v>89</v>
      </c>
      <c r="B145" s="12">
        <v>2016</v>
      </c>
      <c r="C145" s="3" t="s">
        <v>109</v>
      </c>
      <c r="D145" s="12">
        <v>132.30000000000001</v>
      </c>
      <c r="E145" s="12">
        <v>137.6</v>
      </c>
      <c r="F145" s="12">
        <v>132.9</v>
      </c>
      <c r="G145" s="12">
        <v>135.1</v>
      </c>
      <c r="H145" s="12">
        <v>118.6</v>
      </c>
      <c r="I145" s="12">
        <v>132.69999999999999</v>
      </c>
      <c r="J145" s="12">
        <v>125.3</v>
      </c>
      <c r="K145" s="12">
        <v>168.7</v>
      </c>
      <c r="L145" s="12">
        <v>114.4</v>
      </c>
      <c r="M145" s="12">
        <v>140.19999999999999</v>
      </c>
      <c r="N145" s="12">
        <v>126.6</v>
      </c>
      <c r="O145" s="12">
        <v>142.30000000000001</v>
      </c>
      <c r="P145" s="12">
        <v>134</v>
      </c>
      <c r="Q145" s="12">
        <v>143.1</v>
      </c>
      <c r="R145" s="12">
        <v>136.30000000000001</v>
      </c>
      <c r="S145" s="12">
        <v>129.80000000000001</v>
      </c>
      <c r="T145" s="12">
        <v>135.4</v>
      </c>
      <c r="U145" s="12">
        <v>128.5</v>
      </c>
      <c r="V145" s="12">
        <v>126.6</v>
      </c>
      <c r="W145" s="12">
        <v>129.19999999999999</v>
      </c>
      <c r="X145" s="12">
        <v>126.9</v>
      </c>
      <c r="Y145" s="12">
        <v>116</v>
      </c>
      <c r="Z145" s="12">
        <v>124.2</v>
      </c>
      <c r="AA145" s="12">
        <v>133.1</v>
      </c>
      <c r="AB145" s="12">
        <v>121.1</v>
      </c>
      <c r="AC145" s="12">
        <v>123.9</v>
      </c>
      <c r="AD145" s="12">
        <v>130.4</v>
      </c>
    </row>
    <row r="146" spans="1:30" ht="15" customHeight="1" x14ac:dyDescent="0.25">
      <c r="A146" s="3" t="s">
        <v>84</v>
      </c>
      <c r="B146" s="12">
        <v>2017</v>
      </c>
      <c r="C146" s="3" t="s">
        <v>85</v>
      </c>
      <c r="D146" s="12">
        <v>133.1</v>
      </c>
      <c r="E146" s="12">
        <v>137.80000000000001</v>
      </c>
      <c r="F146" s="12">
        <v>131.9</v>
      </c>
      <c r="G146" s="12">
        <v>136.69999999999999</v>
      </c>
      <c r="H146" s="12">
        <v>122</v>
      </c>
      <c r="I146" s="12">
        <v>136</v>
      </c>
      <c r="J146" s="12">
        <v>119.8</v>
      </c>
      <c r="K146" s="12">
        <v>161.69999999999999</v>
      </c>
      <c r="L146" s="12">
        <v>114.8</v>
      </c>
      <c r="M146" s="12">
        <v>136.9</v>
      </c>
      <c r="N146" s="12">
        <v>129</v>
      </c>
      <c r="O146" s="12">
        <v>143.9</v>
      </c>
      <c r="P146" s="12">
        <v>133.69999999999999</v>
      </c>
      <c r="Q146" s="12">
        <v>143.1</v>
      </c>
      <c r="R146" s="12">
        <v>140.69999999999999</v>
      </c>
      <c r="S146" s="12">
        <v>135.80000000000001</v>
      </c>
      <c r="T146" s="12">
        <v>140</v>
      </c>
      <c r="U146" s="13"/>
      <c r="V146" s="12">
        <v>132.1</v>
      </c>
      <c r="W146" s="12">
        <v>133.19999999999999</v>
      </c>
      <c r="X146" s="12">
        <v>129.9</v>
      </c>
      <c r="Y146" s="12">
        <v>119.1</v>
      </c>
      <c r="Z146" s="12">
        <v>127</v>
      </c>
      <c r="AA146" s="12">
        <v>134.6</v>
      </c>
      <c r="AB146" s="12">
        <v>122.3</v>
      </c>
      <c r="AC146" s="12">
        <v>126.6</v>
      </c>
      <c r="AD146" s="12">
        <v>132.4</v>
      </c>
    </row>
    <row r="147" spans="1:30" ht="15" customHeight="1" x14ac:dyDescent="0.2">
      <c r="A147" s="3" t="s">
        <v>87</v>
      </c>
      <c r="B147" s="12">
        <v>2017</v>
      </c>
      <c r="C147" s="3" t="s">
        <v>85</v>
      </c>
      <c r="D147" s="12">
        <v>132.19999999999999</v>
      </c>
      <c r="E147" s="12">
        <v>138.9</v>
      </c>
      <c r="F147" s="12">
        <v>132.6</v>
      </c>
      <c r="G147" s="12">
        <v>133.1</v>
      </c>
      <c r="H147" s="12">
        <v>114</v>
      </c>
      <c r="I147" s="12">
        <v>129.6</v>
      </c>
      <c r="J147" s="12">
        <v>118.7</v>
      </c>
      <c r="K147" s="12">
        <v>155.1</v>
      </c>
      <c r="L147" s="12">
        <v>117.3</v>
      </c>
      <c r="M147" s="12">
        <v>144.9</v>
      </c>
      <c r="N147" s="12">
        <v>123.2</v>
      </c>
      <c r="O147" s="12">
        <v>141.6</v>
      </c>
      <c r="P147" s="12">
        <v>132</v>
      </c>
      <c r="Q147" s="12">
        <v>145.6</v>
      </c>
      <c r="R147" s="12">
        <v>130.19999999999999</v>
      </c>
      <c r="S147" s="12">
        <v>122.3</v>
      </c>
      <c r="T147" s="12">
        <v>129</v>
      </c>
      <c r="U147" s="12">
        <v>129.6</v>
      </c>
      <c r="V147" s="12">
        <v>118</v>
      </c>
      <c r="W147" s="12">
        <v>125.1</v>
      </c>
      <c r="X147" s="12">
        <v>122.6</v>
      </c>
      <c r="Y147" s="12">
        <v>115.2</v>
      </c>
      <c r="Z147" s="12">
        <v>122</v>
      </c>
      <c r="AA147" s="12">
        <v>132.4</v>
      </c>
      <c r="AB147" s="12">
        <v>120.9</v>
      </c>
      <c r="AC147" s="12">
        <v>122.1</v>
      </c>
      <c r="AD147" s="12">
        <v>127.8</v>
      </c>
    </row>
    <row r="148" spans="1:30" ht="15" customHeight="1" x14ac:dyDescent="0.2">
      <c r="A148" s="3" t="s">
        <v>89</v>
      </c>
      <c r="B148" s="12">
        <v>2017</v>
      </c>
      <c r="C148" s="3" t="s">
        <v>85</v>
      </c>
      <c r="D148" s="12">
        <v>132.80000000000001</v>
      </c>
      <c r="E148" s="12">
        <v>138.19999999999999</v>
      </c>
      <c r="F148" s="12">
        <v>132.19999999999999</v>
      </c>
      <c r="G148" s="12">
        <v>135.4</v>
      </c>
      <c r="H148" s="12">
        <v>119.1</v>
      </c>
      <c r="I148" s="12">
        <v>133</v>
      </c>
      <c r="J148" s="12">
        <v>119.4</v>
      </c>
      <c r="K148" s="12">
        <v>159.5</v>
      </c>
      <c r="L148" s="12">
        <v>115.6</v>
      </c>
      <c r="M148" s="12">
        <v>139.6</v>
      </c>
      <c r="N148" s="12">
        <v>126.6</v>
      </c>
      <c r="O148" s="12">
        <v>142.80000000000001</v>
      </c>
      <c r="P148" s="12">
        <v>133.1</v>
      </c>
      <c r="Q148" s="12">
        <v>143.80000000000001</v>
      </c>
      <c r="R148" s="12">
        <v>136.6</v>
      </c>
      <c r="S148" s="12">
        <v>130.19999999999999</v>
      </c>
      <c r="T148" s="12">
        <v>135.6</v>
      </c>
      <c r="U148" s="12">
        <v>129.6</v>
      </c>
      <c r="V148" s="12">
        <v>126.8</v>
      </c>
      <c r="W148" s="12">
        <v>129.4</v>
      </c>
      <c r="X148" s="12">
        <v>127.1</v>
      </c>
      <c r="Y148" s="12">
        <v>117</v>
      </c>
      <c r="Z148" s="12">
        <v>124.2</v>
      </c>
      <c r="AA148" s="12">
        <v>133.30000000000001</v>
      </c>
      <c r="AB148" s="12">
        <v>121.7</v>
      </c>
      <c r="AC148" s="12">
        <v>124.4</v>
      </c>
      <c r="AD148" s="12">
        <v>130.30000000000001</v>
      </c>
    </row>
    <row r="149" spans="1:30" ht="15" customHeight="1" x14ac:dyDescent="0.25">
      <c r="A149" s="3" t="s">
        <v>84</v>
      </c>
      <c r="B149" s="12">
        <v>2017</v>
      </c>
      <c r="C149" s="3" t="s">
        <v>90</v>
      </c>
      <c r="D149" s="12">
        <v>133.30000000000001</v>
      </c>
      <c r="E149" s="12">
        <v>138.30000000000001</v>
      </c>
      <c r="F149" s="12">
        <v>129.30000000000001</v>
      </c>
      <c r="G149" s="12">
        <v>137.19999999999999</v>
      </c>
      <c r="H149" s="12">
        <v>122.1</v>
      </c>
      <c r="I149" s="12">
        <v>138.69999999999999</v>
      </c>
      <c r="J149" s="12">
        <v>119.1</v>
      </c>
      <c r="K149" s="12">
        <v>156.9</v>
      </c>
      <c r="L149" s="12">
        <v>116.2</v>
      </c>
      <c r="M149" s="12">
        <v>136</v>
      </c>
      <c r="N149" s="12">
        <v>129.4</v>
      </c>
      <c r="O149" s="12">
        <v>144.4</v>
      </c>
      <c r="P149" s="12">
        <v>133.6</v>
      </c>
      <c r="Q149" s="12">
        <v>143.69999999999999</v>
      </c>
      <c r="R149" s="12">
        <v>140.9</v>
      </c>
      <c r="S149" s="12">
        <v>135.80000000000001</v>
      </c>
      <c r="T149" s="12">
        <v>140.19999999999999</v>
      </c>
      <c r="U149" s="13"/>
      <c r="V149" s="12">
        <v>133.19999999999999</v>
      </c>
      <c r="W149" s="12">
        <v>133.6</v>
      </c>
      <c r="X149" s="12">
        <v>130.1</v>
      </c>
      <c r="Y149" s="12">
        <v>119.5</v>
      </c>
      <c r="Z149" s="12">
        <v>127.7</v>
      </c>
      <c r="AA149" s="12">
        <v>134.9</v>
      </c>
      <c r="AB149" s="12">
        <v>123.2</v>
      </c>
      <c r="AC149" s="12">
        <v>127</v>
      </c>
      <c r="AD149" s="12">
        <v>132.6</v>
      </c>
    </row>
    <row r="150" spans="1:30" ht="15" customHeight="1" x14ac:dyDescent="0.2">
      <c r="A150" s="3" t="s">
        <v>87</v>
      </c>
      <c r="B150" s="12">
        <v>2017</v>
      </c>
      <c r="C150" s="3" t="s">
        <v>90</v>
      </c>
      <c r="D150" s="12">
        <v>132.80000000000001</v>
      </c>
      <c r="E150" s="12">
        <v>139.80000000000001</v>
      </c>
      <c r="F150" s="12">
        <v>129.30000000000001</v>
      </c>
      <c r="G150" s="12">
        <v>133.5</v>
      </c>
      <c r="H150" s="12">
        <v>114.3</v>
      </c>
      <c r="I150" s="12">
        <v>131.4</v>
      </c>
      <c r="J150" s="12">
        <v>120.2</v>
      </c>
      <c r="K150" s="12">
        <v>143.1</v>
      </c>
      <c r="L150" s="12">
        <v>119.5</v>
      </c>
      <c r="M150" s="12">
        <v>144</v>
      </c>
      <c r="N150" s="12">
        <v>123.4</v>
      </c>
      <c r="O150" s="12">
        <v>141.9</v>
      </c>
      <c r="P150" s="12">
        <v>132.1</v>
      </c>
      <c r="Q150" s="12">
        <v>146.30000000000001</v>
      </c>
      <c r="R150" s="12">
        <v>130.5</v>
      </c>
      <c r="S150" s="12">
        <v>122.5</v>
      </c>
      <c r="T150" s="12">
        <v>129.30000000000001</v>
      </c>
      <c r="U150" s="12">
        <v>130.5</v>
      </c>
      <c r="V150" s="12">
        <v>119.2</v>
      </c>
      <c r="W150" s="12">
        <v>125.3</v>
      </c>
      <c r="X150" s="12">
        <v>122.9</v>
      </c>
      <c r="Y150" s="12">
        <v>115.5</v>
      </c>
      <c r="Z150" s="12">
        <v>122.2</v>
      </c>
      <c r="AA150" s="12">
        <v>132.4</v>
      </c>
      <c r="AB150" s="12">
        <v>121.7</v>
      </c>
      <c r="AC150" s="12">
        <v>122.4</v>
      </c>
      <c r="AD150" s="12">
        <v>128.19999999999999</v>
      </c>
    </row>
    <row r="151" spans="1:30" ht="15" customHeight="1" x14ac:dyDescent="0.2">
      <c r="A151" s="3" t="s">
        <v>89</v>
      </c>
      <c r="B151" s="12">
        <v>2017</v>
      </c>
      <c r="C151" s="3" t="s">
        <v>90</v>
      </c>
      <c r="D151" s="12">
        <v>133.1</v>
      </c>
      <c r="E151" s="12">
        <v>138.80000000000001</v>
      </c>
      <c r="F151" s="12">
        <v>129.30000000000001</v>
      </c>
      <c r="G151" s="12">
        <v>135.80000000000001</v>
      </c>
      <c r="H151" s="12">
        <v>119.2</v>
      </c>
      <c r="I151" s="12">
        <v>135.30000000000001</v>
      </c>
      <c r="J151" s="12">
        <v>119.5</v>
      </c>
      <c r="K151" s="12">
        <v>152.19999999999999</v>
      </c>
      <c r="L151" s="12">
        <v>117.3</v>
      </c>
      <c r="M151" s="12">
        <v>138.69999999999999</v>
      </c>
      <c r="N151" s="12">
        <v>126.9</v>
      </c>
      <c r="O151" s="12">
        <v>143.19999999999999</v>
      </c>
      <c r="P151" s="12">
        <v>133</v>
      </c>
      <c r="Q151" s="12">
        <v>144.4</v>
      </c>
      <c r="R151" s="12">
        <v>136.80000000000001</v>
      </c>
      <c r="S151" s="12">
        <v>130.30000000000001</v>
      </c>
      <c r="T151" s="12">
        <v>135.9</v>
      </c>
      <c r="U151" s="12">
        <v>130.5</v>
      </c>
      <c r="V151" s="12">
        <v>127.9</v>
      </c>
      <c r="W151" s="12">
        <v>129.69999999999999</v>
      </c>
      <c r="X151" s="12">
        <v>127.4</v>
      </c>
      <c r="Y151" s="12">
        <v>117.4</v>
      </c>
      <c r="Z151" s="12">
        <v>124.6</v>
      </c>
      <c r="AA151" s="12">
        <v>133.4</v>
      </c>
      <c r="AB151" s="12">
        <v>122.6</v>
      </c>
      <c r="AC151" s="12">
        <v>124.8</v>
      </c>
      <c r="AD151" s="12">
        <v>130.6</v>
      </c>
    </row>
    <row r="152" spans="1:30" ht="15" customHeight="1" x14ac:dyDescent="0.25">
      <c r="A152" s="3" t="s">
        <v>84</v>
      </c>
      <c r="B152" s="12">
        <v>2017</v>
      </c>
      <c r="C152" s="3" t="s">
        <v>92</v>
      </c>
      <c r="D152" s="12">
        <v>133.6</v>
      </c>
      <c r="E152" s="12">
        <v>138.80000000000001</v>
      </c>
      <c r="F152" s="12">
        <v>128.80000000000001</v>
      </c>
      <c r="G152" s="12">
        <v>137.19999999999999</v>
      </c>
      <c r="H152" s="12">
        <v>121.6</v>
      </c>
      <c r="I152" s="12">
        <v>139.69999999999999</v>
      </c>
      <c r="J152" s="12">
        <v>119.7</v>
      </c>
      <c r="K152" s="12">
        <v>148</v>
      </c>
      <c r="L152" s="12">
        <v>116.9</v>
      </c>
      <c r="M152" s="12">
        <v>135.6</v>
      </c>
      <c r="N152" s="12">
        <v>129.80000000000001</v>
      </c>
      <c r="O152" s="12">
        <v>145.4</v>
      </c>
      <c r="P152" s="12">
        <v>133.4</v>
      </c>
      <c r="Q152" s="12">
        <v>144.19999999999999</v>
      </c>
      <c r="R152" s="12">
        <v>141.6</v>
      </c>
      <c r="S152" s="12">
        <v>136.19999999999999</v>
      </c>
      <c r="T152" s="12">
        <v>140.80000000000001</v>
      </c>
      <c r="U152" s="13"/>
      <c r="V152" s="12">
        <v>134.19999999999999</v>
      </c>
      <c r="W152" s="12">
        <v>134.1</v>
      </c>
      <c r="X152" s="12">
        <v>130.6</v>
      </c>
      <c r="Y152" s="12">
        <v>119.8</v>
      </c>
      <c r="Z152" s="12">
        <v>128.30000000000001</v>
      </c>
      <c r="AA152" s="12">
        <v>135.19999999999999</v>
      </c>
      <c r="AB152" s="12">
        <v>123.3</v>
      </c>
      <c r="AC152" s="12">
        <v>127.4</v>
      </c>
      <c r="AD152" s="12">
        <v>132.80000000000001</v>
      </c>
    </row>
    <row r="153" spans="1:30" ht="15" customHeight="1" x14ac:dyDescent="0.2">
      <c r="A153" s="3" t="s">
        <v>87</v>
      </c>
      <c r="B153" s="12">
        <v>2017</v>
      </c>
      <c r="C153" s="3" t="s">
        <v>92</v>
      </c>
      <c r="D153" s="12">
        <v>132.69999999999999</v>
      </c>
      <c r="E153" s="12">
        <v>139.4</v>
      </c>
      <c r="F153" s="12">
        <v>128.4</v>
      </c>
      <c r="G153" s="12">
        <v>134.9</v>
      </c>
      <c r="H153" s="12">
        <v>114</v>
      </c>
      <c r="I153" s="12">
        <v>136.80000000000001</v>
      </c>
      <c r="J153" s="12">
        <v>122.2</v>
      </c>
      <c r="K153" s="12">
        <v>135.80000000000001</v>
      </c>
      <c r="L153" s="12">
        <v>120.3</v>
      </c>
      <c r="M153" s="12">
        <v>142.6</v>
      </c>
      <c r="N153" s="12">
        <v>123.6</v>
      </c>
      <c r="O153" s="12">
        <v>142.4</v>
      </c>
      <c r="P153" s="12">
        <v>132.6</v>
      </c>
      <c r="Q153" s="12">
        <v>147.5</v>
      </c>
      <c r="R153" s="12">
        <v>130.80000000000001</v>
      </c>
      <c r="S153" s="12">
        <v>122.8</v>
      </c>
      <c r="T153" s="12">
        <v>129.6</v>
      </c>
      <c r="U153" s="12">
        <v>131.1</v>
      </c>
      <c r="V153" s="12">
        <v>120.8</v>
      </c>
      <c r="W153" s="12">
        <v>125.6</v>
      </c>
      <c r="X153" s="12">
        <v>123.1</v>
      </c>
      <c r="Y153" s="12">
        <v>115.6</v>
      </c>
      <c r="Z153" s="12">
        <v>122.4</v>
      </c>
      <c r="AA153" s="12">
        <v>132.80000000000001</v>
      </c>
      <c r="AB153" s="12">
        <v>121.7</v>
      </c>
      <c r="AC153" s="12">
        <v>122.6</v>
      </c>
      <c r="AD153" s="12">
        <v>128.69999999999999</v>
      </c>
    </row>
    <row r="154" spans="1:30" ht="15" customHeight="1" x14ac:dyDescent="0.2">
      <c r="A154" s="3" t="s">
        <v>89</v>
      </c>
      <c r="B154" s="12">
        <v>2017</v>
      </c>
      <c r="C154" s="3" t="s">
        <v>92</v>
      </c>
      <c r="D154" s="12">
        <v>133.30000000000001</v>
      </c>
      <c r="E154" s="12">
        <v>139</v>
      </c>
      <c r="F154" s="12">
        <v>128.6</v>
      </c>
      <c r="G154" s="12">
        <v>136.30000000000001</v>
      </c>
      <c r="H154" s="12">
        <v>118.8</v>
      </c>
      <c r="I154" s="12">
        <v>138.30000000000001</v>
      </c>
      <c r="J154" s="12">
        <v>120.5</v>
      </c>
      <c r="K154" s="12">
        <v>143.9</v>
      </c>
      <c r="L154" s="12">
        <v>118</v>
      </c>
      <c r="M154" s="12">
        <v>137.9</v>
      </c>
      <c r="N154" s="12">
        <v>127.2</v>
      </c>
      <c r="O154" s="12">
        <v>144</v>
      </c>
      <c r="P154" s="12">
        <v>133.1</v>
      </c>
      <c r="Q154" s="12">
        <v>145.1</v>
      </c>
      <c r="R154" s="12">
        <v>137.30000000000001</v>
      </c>
      <c r="S154" s="12">
        <v>130.6</v>
      </c>
      <c r="T154" s="12">
        <v>136.4</v>
      </c>
      <c r="U154" s="12">
        <v>131.1</v>
      </c>
      <c r="V154" s="12">
        <v>129.1</v>
      </c>
      <c r="W154" s="12">
        <v>130.1</v>
      </c>
      <c r="X154" s="12">
        <v>127.8</v>
      </c>
      <c r="Y154" s="12">
        <v>117.6</v>
      </c>
      <c r="Z154" s="12">
        <v>125</v>
      </c>
      <c r="AA154" s="12">
        <v>133.80000000000001</v>
      </c>
      <c r="AB154" s="12">
        <v>122.6</v>
      </c>
      <c r="AC154" s="12">
        <v>125.1</v>
      </c>
      <c r="AD154" s="12">
        <v>130.9</v>
      </c>
    </row>
    <row r="155" spans="1:30" ht="15" customHeight="1" x14ac:dyDescent="0.25">
      <c r="A155" s="3" t="s">
        <v>84</v>
      </c>
      <c r="B155" s="12">
        <v>2017</v>
      </c>
      <c r="C155" s="3" t="s">
        <v>93</v>
      </c>
      <c r="D155" s="12">
        <v>133.19999999999999</v>
      </c>
      <c r="E155" s="12">
        <v>138.69999999999999</v>
      </c>
      <c r="F155" s="12">
        <v>127.1</v>
      </c>
      <c r="G155" s="12">
        <v>137.69999999999999</v>
      </c>
      <c r="H155" s="12">
        <v>121.3</v>
      </c>
      <c r="I155" s="12">
        <v>141.80000000000001</v>
      </c>
      <c r="J155" s="12">
        <v>121.5</v>
      </c>
      <c r="K155" s="12">
        <v>144.5</v>
      </c>
      <c r="L155" s="12">
        <v>117.4</v>
      </c>
      <c r="M155" s="12">
        <v>134.1</v>
      </c>
      <c r="N155" s="12">
        <v>130</v>
      </c>
      <c r="O155" s="12">
        <v>145.5</v>
      </c>
      <c r="P155" s="12">
        <v>133.5</v>
      </c>
      <c r="Q155" s="12">
        <v>144.4</v>
      </c>
      <c r="R155" s="12">
        <v>142.4</v>
      </c>
      <c r="S155" s="12">
        <v>136.80000000000001</v>
      </c>
      <c r="T155" s="12">
        <v>141.6</v>
      </c>
      <c r="U155" s="13"/>
      <c r="V155" s="12">
        <v>135</v>
      </c>
      <c r="W155" s="12">
        <v>134.30000000000001</v>
      </c>
      <c r="X155" s="12">
        <v>131</v>
      </c>
      <c r="Y155" s="12">
        <v>119.2</v>
      </c>
      <c r="Z155" s="12">
        <v>128.30000000000001</v>
      </c>
      <c r="AA155" s="12">
        <v>135.69999999999999</v>
      </c>
      <c r="AB155" s="12">
        <v>123.7</v>
      </c>
      <c r="AC155" s="12">
        <v>127.5</v>
      </c>
      <c r="AD155" s="12">
        <v>132.9</v>
      </c>
    </row>
    <row r="156" spans="1:30" ht="15" customHeight="1" x14ac:dyDescent="0.2">
      <c r="A156" s="3" t="s">
        <v>87</v>
      </c>
      <c r="B156" s="12">
        <v>2017</v>
      </c>
      <c r="C156" s="3" t="s">
        <v>93</v>
      </c>
      <c r="D156" s="12">
        <v>132.69999999999999</v>
      </c>
      <c r="E156" s="12">
        <v>140.6</v>
      </c>
      <c r="F156" s="12">
        <v>124.5</v>
      </c>
      <c r="G156" s="12">
        <v>136.30000000000001</v>
      </c>
      <c r="H156" s="12">
        <v>113.5</v>
      </c>
      <c r="I156" s="12">
        <v>137.69999999999999</v>
      </c>
      <c r="J156" s="12">
        <v>127.1</v>
      </c>
      <c r="K156" s="12">
        <v>133.80000000000001</v>
      </c>
      <c r="L156" s="12">
        <v>120.8</v>
      </c>
      <c r="M156" s="12">
        <v>141.30000000000001</v>
      </c>
      <c r="N156" s="12">
        <v>123.8</v>
      </c>
      <c r="O156" s="12">
        <v>142.6</v>
      </c>
      <c r="P156" s="12">
        <v>133.4</v>
      </c>
      <c r="Q156" s="12">
        <v>148</v>
      </c>
      <c r="R156" s="12">
        <v>131.19999999999999</v>
      </c>
      <c r="S156" s="12">
        <v>123</v>
      </c>
      <c r="T156" s="12">
        <v>130</v>
      </c>
      <c r="U156" s="12">
        <v>131.69999999999999</v>
      </c>
      <c r="V156" s="12">
        <v>121.4</v>
      </c>
      <c r="W156" s="12">
        <v>126</v>
      </c>
      <c r="X156" s="12">
        <v>123.4</v>
      </c>
      <c r="Y156" s="12">
        <v>114.3</v>
      </c>
      <c r="Z156" s="12">
        <v>122.6</v>
      </c>
      <c r="AA156" s="12">
        <v>133.6</v>
      </c>
      <c r="AB156" s="12">
        <v>122.2</v>
      </c>
      <c r="AC156" s="12">
        <v>122.5</v>
      </c>
      <c r="AD156" s="12">
        <v>129.1</v>
      </c>
    </row>
    <row r="157" spans="1:30" ht="15" customHeight="1" x14ac:dyDescent="0.2">
      <c r="A157" s="3" t="s">
        <v>89</v>
      </c>
      <c r="B157" s="12">
        <v>2017</v>
      </c>
      <c r="C157" s="3" t="s">
        <v>93</v>
      </c>
      <c r="D157" s="12">
        <v>133</v>
      </c>
      <c r="E157" s="12">
        <v>139.4</v>
      </c>
      <c r="F157" s="12">
        <v>126.1</v>
      </c>
      <c r="G157" s="12">
        <v>137.19999999999999</v>
      </c>
      <c r="H157" s="12">
        <v>118.4</v>
      </c>
      <c r="I157" s="12">
        <v>139.9</v>
      </c>
      <c r="J157" s="12">
        <v>123.4</v>
      </c>
      <c r="K157" s="12">
        <v>140.9</v>
      </c>
      <c r="L157" s="12">
        <v>118.5</v>
      </c>
      <c r="M157" s="12">
        <v>136.5</v>
      </c>
      <c r="N157" s="12">
        <v>127.4</v>
      </c>
      <c r="O157" s="12">
        <v>144.19999999999999</v>
      </c>
      <c r="P157" s="12">
        <v>133.5</v>
      </c>
      <c r="Q157" s="12">
        <v>145.4</v>
      </c>
      <c r="R157" s="12">
        <v>138</v>
      </c>
      <c r="S157" s="12">
        <v>131.1</v>
      </c>
      <c r="T157" s="12">
        <v>137</v>
      </c>
      <c r="U157" s="12">
        <v>131.69999999999999</v>
      </c>
      <c r="V157" s="12">
        <v>129.80000000000001</v>
      </c>
      <c r="W157" s="12">
        <v>130.4</v>
      </c>
      <c r="X157" s="12">
        <v>128.1</v>
      </c>
      <c r="Y157" s="12">
        <v>116.6</v>
      </c>
      <c r="Z157" s="12">
        <v>125.1</v>
      </c>
      <c r="AA157" s="12">
        <v>134.5</v>
      </c>
      <c r="AB157" s="12">
        <v>123.1</v>
      </c>
      <c r="AC157" s="12">
        <v>125.1</v>
      </c>
      <c r="AD157" s="12">
        <v>131.1</v>
      </c>
    </row>
    <row r="158" spans="1:30" ht="15" customHeight="1" x14ac:dyDescent="0.25">
      <c r="A158" s="3" t="s">
        <v>84</v>
      </c>
      <c r="B158" s="12">
        <v>2017</v>
      </c>
      <c r="C158" s="3" t="s">
        <v>95</v>
      </c>
      <c r="D158" s="12">
        <v>133.1</v>
      </c>
      <c r="E158" s="12">
        <v>140.30000000000001</v>
      </c>
      <c r="F158" s="12">
        <v>126.8</v>
      </c>
      <c r="G158" s="12">
        <v>138.19999999999999</v>
      </c>
      <c r="H158" s="12">
        <v>120.8</v>
      </c>
      <c r="I158" s="12">
        <v>140.19999999999999</v>
      </c>
      <c r="J158" s="12">
        <v>123.8</v>
      </c>
      <c r="K158" s="12">
        <v>141.80000000000001</v>
      </c>
      <c r="L158" s="12">
        <v>118.6</v>
      </c>
      <c r="M158" s="12">
        <v>134</v>
      </c>
      <c r="N158" s="12">
        <v>130.30000000000001</v>
      </c>
      <c r="O158" s="12">
        <v>145.80000000000001</v>
      </c>
      <c r="P158" s="12">
        <v>133.80000000000001</v>
      </c>
      <c r="Q158" s="12">
        <v>145.5</v>
      </c>
      <c r="R158" s="12">
        <v>142.5</v>
      </c>
      <c r="S158" s="12">
        <v>137.30000000000001</v>
      </c>
      <c r="T158" s="12">
        <v>141.80000000000001</v>
      </c>
      <c r="U158" s="13"/>
      <c r="V158" s="12">
        <v>135</v>
      </c>
      <c r="W158" s="12">
        <v>134.9</v>
      </c>
      <c r="X158" s="12">
        <v>131.4</v>
      </c>
      <c r="Y158" s="12">
        <v>119.4</v>
      </c>
      <c r="Z158" s="12">
        <v>129.4</v>
      </c>
      <c r="AA158" s="12">
        <v>136.30000000000001</v>
      </c>
      <c r="AB158" s="12">
        <v>123.7</v>
      </c>
      <c r="AC158" s="12">
        <v>127.9</v>
      </c>
      <c r="AD158" s="12">
        <v>133.30000000000001</v>
      </c>
    </row>
    <row r="159" spans="1:30" ht="15" customHeight="1" x14ac:dyDescent="0.2">
      <c r="A159" s="3" t="s">
        <v>87</v>
      </c>
      <c r="B159" s="12">
        <v>2017</v>
      </c>
      <c r="C159" s="3" t="s">
        <v>95</v>
      </c>
      <c r="D159" s="12">
        <v>132.6</v>
      </c>
      <c r="E159" s="12">
        <v>144.1</v>
      </c>
      <c r="F159" s="12">
        <v>125.6</v>
      </c>
      <c r="G159" s="12">
        <v>136.80000000000001</v>
      </c>
      <c r="H159" s="12">
        <v>113.4</v>
      </c>
      <c r="I159" s="12">
        <v>135.19999999999999</v>
      </c>
      <c r="J159" s="12">
        <v>129.19999999999999</v>
      </c>
      <c r="K159" s="12">
        <v>131.5</v>
      </c>
      <c r="L159" s="12">
        <v>121</v>
      </c>
      <c r="M159" s="12">
        <v>139.9</v>
      </c>
      <c r="N159" s="12">
        <v>123.8</v>
      </c>
      <c r="O159" s="12">
        <v>142.9</v>
      </c>
      <c r="P159" s="12">
        <v>133.6</v>
      </c>
      <c r="Q159" s="12">
        <v>148.30000000000001</v>
      </c>
      <c r="R159" s="12">
        <v>131.5</v>
      </c>
      <c r="S159" s="12">
        <v>123.2</v>
      </c>
      <c r="T159" s="12">
        <v>130.19999999999999</v>
      </c>
      <c r="U159" s="12">
        <v>132.1</v>
      </c>
      <c r="V159" s="12">
        <v>120.1</v>
      </c>
      <c r="W159" s="12">
        <v>126.5</v>
      </c>
      <c r="X159" s="12">
        <v>123.6</v>
      </c>
      <c r="Y159" s="12">
        <v>114.3</v>
      </c>
      <c r="Z159" s="12">
        <v>122.8</v>
      </c>
      <c r="AA159" s="12">
        <v>133.80000000000001</v>
      </c>
      <c r="AB159" s="12">
        <v>122</v>
      </c>
      <c r="AC159" s="12">
        <v>122.6</v>
      </c>
      <c r="AD159" s="12">
        <v>129.30000000000001</v>
      </c>
    </row>
    <row r="160" spans="1:30" ht="15" customHeight="1" x14ac:dyDescent="0.2">
      <c r="A160" s="3" t="s">
        <v>89</v>
      </c>
      <c r="B160" s="12">
        <v>2017</v>
      </c>
      <c r="C160" s="3" t="s">
        <v>95</v>
      </c>
      <c r="D160" s="12">
        <v>132.9</v>
      </c>
      <c r="E160" s="12">
        <v>141.6</v>
      </c>
      <c r="F160" s="12">
        <v>126.3</v>
      </c>
      <c r="G160" s="12">
        <v>137.69999999999999</v>
      </c>
      <c r="H160" s="12">
        <v>118.1</v>
      </c>
      <c r="I160" s="12">
        <v>137.9</v>
      </c>
      <c r="J160" s="12">
        <v>125.6</v>
      </c>
      <c r="K160" s="12">
        <v>138.30000000000001</v>
      </c>
      <c r="L160" s="12">
        <v>119.4</v>
      </c>
      <c r="M160" s="12">
        <v>136</v>
      </c>
      <c r="N160" s="12">
        <v>127.6</v>
      </c>
      <c r="O160" s="12">
        <v>144.5</v>
      </c>
      <c r="P160" s="12">
        <v>133.69999999999999</v>
      </c>
      <c r="Q160" s="12">
        <v>146.19999999999999</v>
      </c>
      <c r="R160" s="12">
        <v>138.19999999999999</v>
      </c>
      <c r="S160" s="12">
        <v>131.4</v>
      </c>
      <c r="T160" s="12">
        <v>137.19999999999999</v>
      </c>
      <c r="U160" s="12">
        <v>132.1</v>
      </c>
      <c r="V160" s="12">
        <v>129.4</v>
      </c>
      <c r="W160" s="12">
        <v>130.9</v>
      </c>
      <c r="X160" s="12">
        <v>128.4</v>
      </c>
      <c r="Y160" s="12">
        <v>116.7</v>
      </c>
      <c r="Z160" s="12">
        <v>125.7</v>
      </c>
      <c r="AA160" s="12">
        <v>134.80000000000001</v>
      </c>
      <c r="AB160" s="12">
        <v>123</v>
      </c>
      <c r="AC160" s="12">
        <v>125.3</v>
      </c>
      <c r="AD160" s="12">
        <v>131.4</v>
      </c>
    </row>
    <row r="161" spans="1:30" ht="15" customHeight="1" x14ac:dyDescent="0.25">
      <c r="A161" s="3" t="s">
        <v>84</v>
      </c>
      <c r="B161" s="12">
        <v>2017</v>
      </c>
      <c r="C161" s="3" t="s">
        <v>96</v>
      </c>
      <c r="D161" s="12">
        <v>133.5</v>
      </c>
      <c r="E161" s="12">
        <v>143.69999999999999</v>
      </c>
      <c r="F161" s="12">
        <v>128</v>
      </c>
      <c r="G161" s="12">
        <v>138.6</v>
      </c>
      <c r="H161" s="12">
        <v>120.9</v>
      </c>
      <c r="I161" s="12">
        <v>140.9</v>
      </c>
      <c r="J161" s="12">
        <v>128.80000000000001</v>
      </c>
      <c r="K161" s="12">
        <v>140.19999999999999</v>
      </c>
      <c r="L161" s="12">
        <v>118.9</v>
      </c>
      <c r="M161" s="12">
        <v>133.5</v>
      </c>
      <c r="N161" s="12">
        <v>130.4</v>
      </c>
      <c r="O161" s="12">
        <v>146.5</v>
      </c>
      <c r="P161" s="12">
        <v>134.9</v>
      </c>
      <c r="Q161" s="12">
        <v>145.80000000000001</v>
      </c>
      <c r="R161" s="12">
        <v>143.1</v>
      </c>
      <c r="S161" s="12">
        <v>137.69999999999999</v>
      </c>
      <c r="T161" s="12">
        <v>142.30000000000001</v>
      </c>
      <c r="U161" s="13"/>
      <c r="V161" s="12">
        <v>134.80000000000001</v>
      </c>
      <c r="W161" s="12">
        <v>135.19999999999999</v>
      </c>
      <c r="X161" s="12">
        <v>131.30000000000001</v>
      </c>
      <c r="Y161" s="12">
        <v>119.4</v>
      </c>
      <c r="Z161" s="12">
        <v>129.80000000000001</v>
      </c>
      <c r="AA161" s="12">
        <v>136.9</v>
      </c>
      <c r="AB161" s="12">
        <v>124.1</v>
      </c>
      <c r="AC161" s="12">
        <v>128.1</v>
      </c>
      <c r="AD161" s="12">
        <v>133.9</v>
      </c>
    </row>
    <row r="162" spans="1:30" ht="15" customHeight="1" x14ac:dyDescent="0.2">
      <c r="A162" s="3" t="s">
        <v>87</v>
      </c>
      <c r="B162" s="12">
        <v>2017</v>
      </c>
      <c r="C162" s="3" t="s">
        <v>96</v>
      </c>
      <c r="D162" s="12">
        <v>132.9</v>
      </c>
      <c r="E162" s="12">
        <v>148.69999999999999</v>
      </c>
      <c r="F162" s="12">
        <v>128.30000000000001</v>
      </c>
      <c r="G162" s="12">
        <v>137.30000000000001</v>
      </c>
      <c r="H162" s="12">
        <v>113.5</v>
      </c>
      <c r="I162" s="12">
        <v>137.19999999999999</v>
      </c>
      <c r="J162" s="12">
        <v>142.19999999999999</v>
      </c>
      <c r="K162" s="12">
        <v>128.19999999999999</v>
      </c>
      <c r="L162" s="12">
        <v>120.9</v>
      </c>
      <c r="M162" s="12">
        <v>138.80000000000001</v>
      </c>
      <c r="N162" s="12">
        <v>124.2</v>
      </c>
      <c r="O162" s="12">
        <v>143.1</v>
      </c>
      <c r="P162" s="12">
        <v>135.69999999999999</v>
      </c>
      <c r="Q162" s="12">
        <v>148.6</v>
      </c>
      <c r="R162" s="12">
        <v>131.5</v>
      </c>
      <c r="S162" s="12">
        <v>123.2</v>
      </c>
      <c r="T162" s="12">
        <v>130.19999999999999</v>
      </c>
      <c r="U162" s="12">
        <v>131.4</v>
      </c>
      <c r="V162" s="12">
        <v>119</v>
      </c>
      <c r="W162" s="12">
        <v>126.8</v>
      </c>
      <c r="X162" s="12">
        <v>123.8</v>
      </c>
      <c r="Y162" s="12">
        <v>113.9</v>
      </c>
      <c r="Z162" s="12">
        <v>122.9</v>
      </c>
      <c r="AA162" s="12">
        <v>134.30000000000001</v>
      </c>
      <c r="AB162" s="12">
        <v>122.5</v>
      </c>
      <c r="AC162" s="12">
        <v>122.7</v>
      </c>
      <c r="AD162" s="12">
        <v>129.9</v>
      </c>
    </row>
    <row r="163" spans="1:30" ht="15" customHeight="1" x14ac:dyDescent="0.2">
      <c r="A163" s="3" t="s">
        <v>89</v>
      </c>
      <c r="B163" s="12">
        <v>2017</v>
      </c>
      <c r="C163" s="3" t="s">
        <v>96</v>
      </c>
      <c r="D163" s="12">
        <v>133.30000000000001</v>
      </c>
      <c r="E163" s="12">
        <v>145.5</v>
      </c>
      <c r="F163" s="12">
        <v>128.1</v>
      </c>
      <c r="G163" s="12">
        <v>138.1</v>
      </c>
      <c r="H163" s="12">
        <v>118.2</v>
      </c>
      <c r="I163" s="12">
        <v>139.19999999999999</v>
      </c>
      <c r="J163" s="12">
        <v>133.30000000000001</v>
      </c>
      <c r="K163" s="12">
        <v>136.19999999999999</v>
      </c>
      <c r="L163" s="12">
        <v>119.6</v>
      </c>
      <c r="M163" s="12">
        <v>135.30000000000001</v>
      </c>
      <c r="N163" s="12">
        <v>127.8</v>
      </c>
      <c r="O163" s="12">
        <v>144.9</v>
      </c>
      <c r="P163" s="12">
        <v>135.19999999999999</v>
      </c>
      <c r="Q163" s="12">
        <v>146.5</v>
      </c>
      <c r="R163" s="12">
        <v>138.5</v>
      </c>
      <c r="S163" s="12">
        <v>131.69999999999999</v>
      </c>
      <c r="T163" s="12">
        <v>137.5</v>
      </c>
      <c r="U163" s="12">
        <v>131.4</v>
      </c>
      <c r="V163" s="12">
        <v>128.80000000000001</v>
      </c>
      <c r="W163" s="12">
        <v>131.19999999999999</v>
      </c>
      <c r="X163" s="12">
        <v>128.5</v>
      </c>
      <c r="Y163" s="12">
        <v>116.5</v>
      </c>
      <c r="Z163" s="12">
        <v>125.9</v>
      </c>
      <c r="AA163" s="12">
        <v>135.4</v>
      </c>
      <c r="AB163" s="12">
        <v>123.4</v>
      </c>
      <c r="AC163" s="12">
        <v>125.5</v>
      </c>
      <c r="AD163" s="12">
        <v>132</v>
      </c>
    </row>
    <row r="164" spans="1:30" ht="15" customHeight="1" x14ac:dyDescent="0.25">
      <c r="A164" s="3" t="s">
        <v>84</v>
      </c>
      <c r="B164" s="12">
        <v>2017</v>
      </c>
      <c r="C164" s="3" t="s">
        <v>98</v>
      </c>
      <c r="D164" s="12">
        <v>134</v>
      </c>
      <c r="E164" s="12">
        <v>144.19999999999999</v>
      </c>
      <c r="F164" s="12">
        <v>129.80000000000001</v>
      </c>
      <c r="G164" s="12">
        <v>139</v>
      </c>
      <c r="H164" s="12">
        <v>120.9</v>
      </c>
      <c r="I164" s="12">
        <v>143.9</v>
      </c>
      <c r="J164" s="12">
        <v>151.5</v>
      </c>
      <c r="K164" s="12">
        <v>138.1</v>
      </c>
      <c r="L164" s="12">
        <v>120</v>
      </c>
      <c r="M164" s="12">
        <v>133.9</v>
      </c>
      <c r="N164" s="12">
        <v>131.4</v>
      </c>
      <c r="O164" s="12">
        <v>147.69999999999999</v>
      </c>
      <c r="P164" s="12">
        <v>138.5</v>
      </c>
      <c r="Q164" s="12">
        <v>147.4</v>
      </c>
      <c r="R164" s="12">
        <v>144.30000000000001</v>
      </c>
      <c r="S164" s="12">
        <v>138.1</v>
      </c>
      <c r="T164" s="12">
        <v>143.5</v>
      </c>
      <c r="U164" s="13"/>
      <c r="V164" s="12">
        <v>135.30000000000001</v>
      </c>
      <c r="W164" s="12">
        <v>136.1</v>
      </c>
      <c r="X164" s="12">
        <v>132.1</v>
      </c>
      <c r="Y164" s="12">
        <v>119.1</v>
      </c>
      <c r="Z164" s="12">
        <v>130.6</v>
      </c>
      <c r="AA164" s="12">
        <v>138.6</v>
      </c>
      <c r="AB164" s="12">
        <v>124.4</v>
      </c>
      <c r="AC164" s="12">
        <v>128.6</v>
      </c>
      <c r="AD164" s="12">
        <v>136.19999999999999</v>
      </c>
    </row>
    <row r="165" spans="1:30" ht="15" customHeight="1" x14ac:dyDescent="0.2">
      <c r="A165" s="3" t="s">
        <v>87</v>
      </c>
      <c r="B165" s="12">
        <v>2017</v>
      </c>
      <c r="C165" s="3" t="s">
        <v>98</v>
      </c>
      <c r="D165" s="12">
        <v>132.80000000000001</v>
      </c>
      <c r="E165" s="12">
        <v>148.4</v>
      </c>
      <c r="F165" s="12">
        <v>129.4</v>
      </c>
      <c r="G165" s="12">
        <v>137.69999999999999</v>
      </c>
      <c r="H165" s="12">
        <v>113.4</v>
      </c>
      <c r="I165" s="12">
        <v>139.4</v>
      </c>
      <c r="J165" s="12">
        <v>175.1</v>
      </c>
      <c r="K165" s="12">
        <v>124.7</v>
      </c>
      <c r="L165" s="12">
        <v>121.5</v>
      </c>
      <c r="M165" s="12">
        <v>137.80000000000001</v>
      </c>
      <c r="N165" s="12">
        <v>124.4</v>
      </c>
      <c r="O165" s="12">
        <v>143.69999999999999</v>
      </c>
      <c r="P165" s="12">
        <v>139.80000000000001</v>
      </c>
      <c r="Q165" s="12">
        <v>150.5</v>
      </c>
      <c r="R165" s="12">
        <v>131.6</v>
      </c>
      <c r="S165" s="12">
        <v>123.7</v>
      </c>
      <c r="T165" s="12">
        <v>130.4</v>
      </c>
      <c r="U165" s="12">
        <v>132.6</v>
      </c>
      <c r="V165" s="12">
        <v>119.7</v>
      </c>
      <c r="W165" s="12">
        <v>127.2</v>
      </c>
      <c r="X165" s="12">
        <v>125</v>
      </c>
      <c r="Y165" s="12">
        <v>113.2</v>
      </c>
      <c r="Z165" s="12">
        <v>123.5</v>
      </c>
      <c r="AA165" s="12">
        <v>135.5</v>
      </c>
      <c r="AB165" s="12">
        <v>122.4</v>
      </c>
      <c r="AC165" s="12">
        <v>123</v>
      </c>
      <c r="AD165" s="12">
        <v>131.80000000000001</v>
      </c>
    </row>
    <row r="166" spans="1:30" ht="15" customHeight="1" x14ac:dyDescent="0.2">
      <c r="A166" s="3" t="s">
        <v>89</v>
      </c>
      <c r="B166" s="12">
        <v>2017</v>
      </c>
      <c r="C166" s="3" t="s">
        <v>98</v>
      </c>
      <c r="D166" s="12">
        <v>133.6</v>
      </c>
      <c r="E166" s="12">
        <v>145.69999999999999</v>
      </c>
      <c r="F166" s="12">
        <v>129.6</v>
      </c>
      <c r="G166" s="12">
        <v>138.5</v>
      </c>
      <c r="H166" s="12">
        <v>118.1</v>
      </c>
      <c r="I166" s="12">
        <v>141.80000000000001</v>
      </c>
      <c r="J166" s="12">
        <v>159.5</v>
      </c>
      <c r="K166" s="12">
        <v>133.6</v>
      </c>
      <c r="L166" s="12">
        <v>120.5</v>
      </c>
      <c r="M166" s="12">
        <v>135.19999999999999</v>
      </c>
      <c r="N166" s="12">
        <v>128.5</v>
      </c>
      <c r="O166" s="12">
        <v>145.80000000000001</v>
      </c>
      <c r="P166" s="12">
        <v>139</v>
      </c>
      <c r="Q166" s="12">
        <v>148.19999999999999</v>
      </c>
      <c r="R166" s="12">
        <v>139.30000000000001</v>
      </c>
      <c r="S166" s="12">
        <v>132.1</v>
      </c>
      <c r="T166" s="12">
        <v>138.30000000000001</v>
      </c>
      <c r="U166" s="12">
        <v>132.6</v>
      </c>
      <c r="V166" s="12">
        <v>129.4</v>
      </c>
      <c r="W166" s="12">
        <v>131.9</v>
      </c>
      <c r="X166" s="12">
        <v>129.4</v>
      </c>
      <c r="Y166" s="12">
        <v>116</v>
      </c>
      <c r="Z166" s="12">
        <v>126.6</v>
      </c>
      <c r="AA166" s="12">
        <v>136.80000000000001</v>
      </c>
      <c r="AB166" s="12">
        <v>123.6</v>
      </c>
      <c r="AC166" s="12">
        <v>125.9</v>
      </c>
      <c r="AD166" s="12">
        <v>134.19999999999999</v>
      </c>
    </row>
    <row r="167" spans="1:30" ht="15" customHeight="1" x14ac:dyDescent="0.25">
      <c r="A167" s="3" t="s">
        <v>84</v>
      </c>
      <c r="B167" s="12">
        <v>2017</v>
      </c>
      <c r="C167" s="3" t="s">
        <v>100</v>
      </c>
      <c r="D167" s="12">
        <v>134.80000000000001</v>
      </c>
      <c r="E167" s="12">
        <v>143.1</v>
      </c>
      <c r="F167" s="12">
        <v>130</v>
      </c>
      <c r="G167" s="12">
        <v>139.4</v>
      </c>
      <c r="H167" s="12">
        <v>120.5</v>
      </c>
      <c r="I167" s="12">
        <v>148</v>
      </c>
      <c r="J167" s="12">
        <v>162.9</v>
      </c>
      <c r="K167" s="12">
        <v>137.4</v>
      </c>
      <c r="L167" s="12">
        <v>120.8</v>
      </c>
      <c r="M167" s="12">
        <v>134.69999999999999</v>
      </c>
      <c r="N167" s="12">
        <v>131.6</v>
      </c>
      <c r="O167" s="12">
        <v>148.69999999999999</v>
      </c>
      <c r="P167" s="12">
        <v>140.6</v>
      </c>
      <c r="Q167" s="12">
        <v>149</v>
      </c>
      <c r="R167" s="12">
        <v>145.30000000000001</v>
      </c>
      <c r="S167" s="12">
        <v>139.19999999999999</v>
      </c>
      <c r="T167" s="12">
        <v>144.5</v>
      </c>
      <c r="U167" s="13"/>
      <c r="V167" s="12">
        <v>136.4</v>
      </c>
      <c r="W167" s="12">
        <v>137.30000000000001</v>
      </c>
      <c r="X167" s="12">
        <v>133</v>
      </c>
      <c r="Y167" s="12">
        <v>120.3</v>
      </c>
      <c r="Z167" s="12">
        <v>131.5</v>
      </c>
      <c r="AA167" s="12">
        <v>140.19999999999999</v>
      </c>
      <c r="AB167" s="12">
        <v>125.4</v>
      </c>
      <c r="AC167" s="12">
        <v>129.69999999999999</v>
      </c>
      <c r="AD167" s="12">
        <v>137.80000000000001</v>
      </c>
    </row>
    <row r="168" spans="1:30" ht="15" customHeight="1" x14ac:dyDescent="0.2">
      <c r="A168" s="3" t="s">
        <v>87</v>
      </c>
      <c r="B168" s="12">
        <v>2017</v>
      </c>
      <c r="C168" s="3" t="s">
        <v>100</v>
      </c>
      <c r="D168" s="12">
        <v>133.19999999999999</v>
      </c>
      <c r="E168" s="12">
        <v>143.9</v>
      </c>
      <c r="F168" s="12">
        <v>128.30000000000001</v>
      </c>
      <c r="G168" s="12">
        <v>138.30000000000001</v>
      </c>
      <c r="H168" s="12">
        <v>114.1</v>
      </c>
      <c r="I168" s="12">
        <v>142.69999999999999</v>
      </c>
      <c r="J168" s="12">
        <v>179.8</v>
      </c>
      <c r="K168" s="12">
        <v>123.5</v>
      </c>
      <c r="L168" s="12">
        <v>122.1</v>
      </c>
      <c r="M168" s="12">
        <v>137.5</v>
      </c>
      <c r="N168" s="12">
        <v>124.6</v>
      </c>
      <c r="O168" s="12">
        <v>144.5</v>
      </c>
      <c r="P168" s="12">
        <v>140.5</v>
      </c>
      <c r="Q168" s="12">
        <v>152.1</v>
      </c>
      <c r="R168" s="12">
        <v>132.69999999999999</v>
      </c>
      <c r="S168" s="12">
        <v>124.3</v>
      </c>
      <c r="T168" s="12">
        <v>131.4</v>
      </c>
      <c r="U168" s="12">
        <v>134.4</v>
      </c>
      <c r="V168" s="12">
        <v>118.9</v>
      </c>
      <c r="W168" s="12">
        <v>127.7</v>
      </c>
      <c r="X168" s="12">
        <v>125.7</v>
      </c>
      <c r="Y168" s="12">
        <v>114.6</v>
      </c>
      <c r="Z168" s="12">
        <v>124.1</v>
      </c>
      <c r="AA168" s="12">
        <v>135.69999999999999</v>
      </c>
      <c r="AB168" s="12">
        <v>123.3</v>
      </c>
      <c r="AC168" s="12">
        <v>123.8</v>
      </c>
      <c r="AD168" s="12">
        <v>132.69999999999999</v>
      </c>
    </row>
    <row r="169" spans="1:30" ht="15" customHeight="1" x14ac:dyDescent="0.2">
      <c r="A169" s="3" t="s">
        <v>89</v>
      </c>
      <c r="B169" s="12">
        <v>2017</v>
      </c>
      <c r="C169" s="3" t="s">
        <v>100</v>
      </c>
      <c r="D169" s="12">
        <v>134.30000000000001</v>
      </c>
      <c r="E169" s="12">
        <v>143.4</v>
      </c>
      <c r="F169" s="12">
        <v>129.30000000000001</v>
      </c>
      <c r="G169" s="12">
        <v>139</v>
      </c>
      <c r="H169" s="12">
        <v>118.1</v>
      </c>
      <c r="I169" s="12">
        <v>145.5</v>
      </c>
      <c r="J169" s="12">
        <v>168.6</v>
      </c>
      <c r="K169" s="12">
        <v>132.69999999999999</v>
      </c>
      <c r="L169" s="12">
        <v>121.2</v>
      </c>
      <c r="M169" s="12">
        <v>135.6</v>
      </c>
      <c r="N169" s="12">
        <v>128.69999999999999</v>
      </c>
      <c r="O169" s="12">
        <v>146.80000000000001</v>
      </c>
      <c r="P169" s="12">
        <v>140.6</v>
      </c>
      <c r="Q169" s="12">
        <v>149.80000000000001</v>
      </c>
      <c r="R169" s="12">
        <v>140.30000000000001</v>
      </c>
      <c r="S169" s="12">
        <v>133</v>
      </c>
      <c r="T169" s="12">
        <v>139.30000000000001</v>
      </c>
      <c r="U169" s="12">
        <v>134.4</v>
      </c>
      <c r="V169" s="12">
        <v>129.80000000000001</v>
      </c>
      <c r="W169" s="12">
        <v>132.80000000000001</v>
      </c>
      <c r="X169" s="12">
        <v>130.19999999999999</v>
      </c>
      <c r="Y169" s="12">
        <v>117.3</v>
      </c>
      <c r="Z169" s="12">
        <v>127.3</v>
      </c>
      <c r="AA169" s="12">
        <v>137.6</v>
      </c>
      <c r="AB169" s="12">
        <v>124.5</v>
      </c>
      <c r="AC169" s="12">
        <v>126.8</v>
      </c>
      <c r="AD169" s="12">
        <v>135.4</v>
      </c>
    </row>
    <row r="170" spans="1:30" ht="15" customHeight="1" x14ac:dyDescent="0.25">
      <c r="A170" s="3" t="s">
        <v>84</v>
      </c>
      <c r="B170" s="12">
        <v>2017</v>
      </c>
      <c r="C170" s="3" t="s">
        <v>102</v>
      </c>
      <c r="D170" s="12">
        <v>135.19999999999999</v>
      </c>
      <c r="E170" s="12">
        <v>142</v>
      </c>
      <c r="F170" s="12">
        <v>130.5</v>
      </c>
      <c r="G170" s="12">
        <v>140.19999999999999</v>
      </c>
      <c r="H170" s="12">
        <v>120.7</v>
      </c>
      <c r="I170" s="12">
        <v>147.80000000000001</v>
      </c>
      <c r="J170" s="12">
        <v>154.5</v>
      </c>
      <c r="K170" s="12">
        <v>137.1</v>
      </c>
      <c r="L170" s="12">
        <v>121</v>
      </c>
      <c r="M170" s="12">
        <v>134.69999999999999</v>
      </c>
      <c r="N170" s="12">
        <v>131.69999999999999</v>
      </c>
      <c r="O170" s="12">
        <v>149.30000000000001</v>
      </c>
      <c r="P170" s="12">
        <v>139.6</v>
      </c>
      <c r="Q170" s="12">
        <v>149.80000000000001</v>
      </c>
      <c r="R170" s="12">
        <v>146.1</v>
      </c>
      <c r="S170" s="12">
        <v>139.69999999999999</v>
      </c>
      <c r="T170" s="12">
        <v>145.19999999999999</v>
      </c>
      <c r="U170" s="13"/>
      <c r="V170" s="12">
        <v>137.4</v>
      </c>
      <c r="W170" s="12">
        <v>137.9</v>
      </c>
      <c r="X170" s="12">
        <v>133.4</v>
      </c>
      <c r="Y170" s="12">
        <v>121.2</v>
      </c>
      <c r="Z170" s="12">
        <v>132.30000000000001</v>
      </c>
      <c r="AA170" s="12">
        <v>139.6</v>
      </c>
      <c r="AB170" s="12">
        <v>126.7</v>
      </c>
      <c r="AC170" s="12">
        <v>130.30000000000001</v>
      </c>
      <c r="AD170" s="12">
        <v>137.6</v>
      </c>
    </row>
    <row r="171" spans="1:30" ht="15" customHeight="1" x14ac:dyDescent="0.2">
      <c r="A171" s="3" t="s">
        <v>87</v>
      </c>
      <c r="B171" s="12">
        <v>2017</v>
      </c>
      <c r="C171" s="3" t="s">
        <v>102</v>
      </c>
      <c r="D171" s="12">
        <v>133.6</v>
      </c>
      <c r="E171" s="12">
        <v>143</v>
      </c>
      <c r="F171" s="12">
        <v>129.69999999999999</v>
      </c>
      <c r="G171" s="12">
        <v>138.69999999999999</v>
      </c>
      <c r="H171" s="12">
        <v>114.5</v>
      </c>
      <c r="I171" s="12">
        <v>137.5</v>
      </c>
      <c r="J171" s="12">
        <v>160.69999999999999</v>
      </c>
      <c r="K171" s="12">
        <v>124.5</v>
      </c>
      <c r="L171" s="12">
        <v>122.4</v>
      </c>
      <c r="M171" s="12">
        <v>137.30000000000001</v>
      </c>
      <c r="N171" s="12">
        <v>124.8</v>
      </c>
      <c r="O171" s="12">
        <v>145</v>
      </c>
      <c r="P171" s="12">
        <v>138</v>
      </c>
      <c r="Q171" s="12">
        <v>153.6</v>
      </c>
      <c r="R171" s="12">
        <v>133.30000000000001</v>
      </c>
      <c r="S171" s="12">
        <v>124.6</v>
      </c>
      <c r="T171" s="12">
        <v>132</v>
      </c>
      <c r="U171" s="12">
        <v>135.69999999999999</v>
      </c>
      <c r="V171" s="12">
        <v>120.6</v>
      </c>
      <c r="W171" s="12">
        <v>128.1</v>
      </c>
      <c r="X171" s="12">
        <v>126.1</v>
      </c>
      <c r="Y171" s="12">
        <v>115.7</v>
      </c>
      <c r="Z171" s="12">
        <v>124.5</v>
      </c>
      <c r="AA171" s="12">
        <v>135.9</v>
      </c>
      <c r="AB171" s="12">
        <v>124.4</v>
      </c>
      <c r="AC171" s="12">
        <v>124.5</v>
      </c>
      <c r="AD171" s="12">
        <v>132.4</v>
      </c>
    </row>
    <row r="172" spans="1:30" ht="15" customHeight="1" x14ac:dyDescent="0.2">
      <c r="A172" s="3" t="s">
        <v>89</v>
      </c>
      <c r="B172" s="12">
        <v>2017</v>
      </c>
      <c r="C172" s="3" t="s">
        <v>102</v>
      </c>
      <c r="D172" s="12">
        <v>134.69999999999999</v>
      </c>
      <c r="E172" s="12">
        <v>142.4</v>
      </c>
      <c r="F172" s="12">
        <v>130.19999999999999</v>
      </c>
      <c r="G172" s="12">
        <v>139.6</v>
      </c>
      <c r="H172" s="12">
        <v>118.4</v>
      </c>
      <c r="I172" s="12">
        <v>143</v>
      </c>
      <c r="J172" s="12">
        <v>156.6</v>
      </c>
      <c r="K172" s="12">
        <v>132.9</v>
      </c>
      <c r="L172" s="12">
        <v>121.5</v>
      </c>
      <c r="M172" s="12">
        <v>135.6</v>
      </c>
      <c r="N172" s="12">
        <v>128.80000000000001</v>
      </c>
      <c r="O172" s="12">
        <v>147.30000000000001</v>
      </c>
      <c r="P172" s="12">
        <v>139</v>
      </c>
      <c r="Q172" s="12">
        <v>150.80000000000001</v>
      </c>
      <c r="R172" s="12">
        <v>141.1</v>
      </c>
      <c r="S172" s="12">
        <v>133.4</v>
      </c>
      <c r="T172" s="12">
        <v>140</v>
      </c>
      <c r="U172" s="12">
        <v>135.69999999999999</v>
      </c>
      <c r="V172" s="12">
        <v>131</v>
      </c>
      <c r="W172" s="12">
        <v>133.30000000000001</v>
      </c>
      <c r="X172" s="12">
        <v>130.6</v>
      </c>
      <c r="Y172" s="12">
        <v>118.3</v>
      </c>
      <c r="Z172" s="12">
        <v>127.9</v>
      </c>
      <c r="AA172" s="12">
        <v>137.4</v>
      </c>
      <c r="AB172" s="12">
        <v>125.7</v>
      </c>
      <c r="AC172" s="12">
        <v>127.5</v>
      </c>
      <c r="AD172" s="12">
        <v>135.19999999999999</v>
      </c>
    </row>
    <row r="173" spans="1:30" ht="15" customHeight="1" x14ac:dyDescent="0.25">
      <c r="A173" s="3" t="s">
        <v>84</v>
      </c>
      <c r="B173" s="12">
        <v>2017</v>
      </c>
      <c r="C173" s="3" t="s">
        <v>104</v>
      </c>
      <c r="D173" s="12">
        <v>135.9</v>
      </c>
      <c r="E173" s="12">
        <v>141.9</v>
      </c>
      <c r="F173" s="12">
        <v>131</v>
      </c>
      <c r="G173" s="12">
        <v>141.5</v>
      </c>
      <c r="H173" s="12">
        <v>121.4</v>
      </c>
      <c r="I173" s="12">
        <v>146.69999999999999</v>
      </c>
      <c r="J173" s="12">
        <v>157.1</v>
      </c>
      <c r="K173" s="12">
        <v>136.4</v>
      </c>
      <c r="L173" s="12">
        <v>121.4</v>
      </c>
      <c r="M173" s="12">
        <v>135.6</v>
      </c>
      <c r="N173" s="12">
        <v>131.30000000000001</v>
      </c>
      <c r="O173" s="12">
        <v>150.30000000000001</v>
      </c>
      <c r="P173" s="12">
        <v>140.4</v>
      </c>
      <c r="Q173" s="12">
        <v>150.5</v>
      </c>
      <c r="R173" s="12">
        <v>147.19999999999999</v>
      </c>
      <c r="S173" s="12">
        <v>140.6</v>
      </c>
      <c r="T173" s="12">
        <v>146.19999999999999</v>
      </c>
      <c r="U173" s="13"/>
      <c r="V173" s="12">
        <v>138.1</v>
      </c>
      <c r="W173" s="12">
        <v>138.4</v>
      </c>
      <c r="X173" s="12">
        <v>134.19999999999999</v>
      </c>
      <c r="Y173" s="12">
        <v>121</v>
      </c>
      <c r="Z173" s="12">
        <v>133</v>
      </c>
      <c r="AA173" s="12">
        <v>140.1</v>
      </c>
      <c r="AB173" s="12">
        <v>127.4</v>
      </c>
      <c r="AC173" s="12">
        <v>130.69999999999999</v>
      </c>
      <c r="AD173" s="12">
        <v>138.30000000000001</v>
      </c>
    </row>
    <row r="174" spans="1:30" ht="15" customHeight="1" x14ac:dyDescent="0.2">
      <c r="A174" s="3" t="s">
        <v>87</v>
      </c>
      <c r="B174" s="12">
        <v>2017</v>
      </c>
      <c r="C174" s="3" t="s">
        <v>104</v>
      </c>
      <c r="D174" s="12">
        <v>133.9</v>
      </c>
      <c r="E174" s="12">
        <v>142.80000000000001</v>
      </c>
      <c r="F174" s="12">
        <v>131.4</v>
      </c>
      <c r="G174" s="12">
        <v>139.1</v>
      </c>
      <c r="H174" s="12">
        <v>114.9</v>
      </c>
      <c r="I174" s="12">
        <v>135.6</v>
      </c>
      <c r="J174" s="12">
        <v>173.2</v>
      </c>
      <c r="K174" s="12">
        <v>124.1</v>
      </c>
      <c r="L174" s="12">
        <v>122.6</v>
      </c>
      <c r="M174" s="12">
        <v>137.80000000000001</v>
      </c>
      <c r="N174" s="12">
        <v>125.1</v>
      </c>
      <c r="O174" s="12">
        <v>145.5</v>
      </c>
      <c r="P174" s="12">
        <v>139.69999999999999</v>
      </c>
      <c r="Q174" s="12">
        <v>154.6</v>
      </c>
      <c r="R174" s="12">
        <v>134</v>
      </c>
      <c r="S174" s="12">
        <v>124.9</v>
      </c>
      <c r="T174" s="12">
        <v>132.6</v>
      </c>
      <c r="U174" s="12">
        <v>137.30000000000001</v>
      </c>
      <c r="V174" s="12">
        <v>122.6</v>
      </c>
      <c r="W174" s="12">
        <v>128.30000000000001</v>
      </c>
      <c r="X174" s="12">
        <v>126.6</v>
      </c>
      <c r="Y174" s="12">
        <v>115</v>
      </c>
      <c r="Z174" s="12">
        <v>124.8</v>
      </c>
      <c r="AA174" s="12">
        <v>136.30000000000001</v>
      </c>
      <c r="AB174" s="12">
        <v>124.6</v>
      </c>
      <c r="AC174" s="12">
        <v>124.5</v>
      </c>
      <c r="AD174" s="12">
        <v>133.5</v>
      </c>
    </row>
    <row r="175" spans="1:30" ht="15" customHeight="1" x14ac:dyDescent="0.2">
      <c r="A175" s="3" t="s">
        <v>89</v>
      </c>
      <c r="B175" s="12">
        <v>2017</v>
      </c>
      <c r="C175" s="3" t="s">
        <v>104</v>
      </c>
      <c r="D175" s="12">
        <v>135.30000000000001</v>
      </c>
      <c r="E175" s="12">
        <v>142.19999999999999</v>
      </c>
      <c r="F175" s="12">
        <v>131.19999999999999</v>
      </c>
      <c r="G175" s="12">
        <v>140.6</v>
      </c>
      <c r="H175" s="12">
        <v>119</v>
      </c>
      <c r="I175" s="12">
        <v>141.5</v>
      </c>
      <c r="J175" s="12">
        <v>162.6</v>
      </c>
      <c r="K175" s="12">
        <v>132.30000000000001</v>
      </c>
      <c r="L175" s="12">
        <v>121.8</v>
      </c>
      <c r="M175" s="12">
        <v>136.30000000000001</v>
      </c>
      <c r="N175" s="12">
        <v>128.69999999999999</v>
      </c>
      <c r="O175" s="12">
        <v>148.1</v>
      </c>
      <c r="P175" s="12">
        <v>140.1</v>
      </c>
      <c r="Q175" s="12">
        <v>151.6</v>
      </c>
      <c r="R175" s="12">
        <v>142</v>
      </c>
      <c r="S175" s="12">
        <v>134.1</v>
      </c>
      <c r="T175" s="12">
        <v>140.80000000000001</v>
      </c>
      <c r="U175" s="12">
        <v>137.30000000000001</v>
      </c>
      <c r="V175" s="12">
        <v>132.19999999999999</v>
      </c>
      <c r="W175" s="12">
        <v>133.6</v>
      </c>
      <c r="X175" s="12">
        <v>131.30000000000001</v>
      </c>
      <c r="Y175" s="12">
        <v>117.8</v>
      </c>
      <c r="Z175" s="12">
        <v>128.4</v>
      </c>
      <c r="AA175" s="12">
        <v>137.9</v>
      </c>
      <c r="AB175" s="12">
        <v>126.2</v>
      </c>
      <c r="AC175" s="12">
        <v>127.7</v>
      </c>
      <c r="AD175" s="12">
        <v>136.1</v>
      </c>
    </row>
    <row r="176" spans="1:30" ht="15" customHeight="1" x14ac:dyDescent="0.25">
      <c r="A176" s="3" t="s">
        <v>84</v>
      </c>
      <c r="B176" s="12">
        <v>2017</v>
      </c>
      <c r="C176" s="3" t="s">
        <v>107</v>
      </c>
      <c r="D176" s="12">
        <v>136.30000000000001</v>
      </c>
      <c r="E176" s="12">
        <v>142.5</v>
      </c>
      <c r="F176" s="12">
        <v>140.5</v>
      </c>
      <c r="G176" s="12">
        <v>141.5</v>
      </c>
      <c r="H176" s="12">
        <v>121.6</v>
      </c>
      <c r="I176" s="12">
        <v>147.30000000000001</v>
      </c>
      <c r="J176" s="12">
        <v>168</v>
      </c>
      <c r="K176" s="12">
        <v>135.80000000000001</v>
      </c>
      <c r="L176" s="12">
        <v>122.5</v>
      </c>
      <c r="M176" s="12">
        <v>136</v>
      </c>
      <c r="N176" s="12">
        <v>131.9</v>
      </c>
      <c r="O176" s="12">
        <v>151.4</v>
      </c>
      <c r="P176" s="12">
        <v>142.4</v>
      </c>
      <c r="Q176" s="12">
        <v>152.1</v>
      </c>
      <c r="R176" s="12">
        <v>148.19999999999999</v>
      </c>
      <c r="S176" s="12">
        <v>141.5</v>
      </c>
      <c r="T176" s="12">
        <v>147.30000000000001</v>
      </c>
      <c r="U176" s="13"/>
      <c r="V176" s="12">
        <v>141.1</v>
      </c>
      <c r="W176" s="12">
        <v>139.4</v>
      </c>
      <c r="X176" s="12">
        <v>135.80000000000001</v>
      </c>
      <c r="Y176" s="12">
        <v>121.6</v>
      </c>
      <c r="Z176" s="12">
        <v>133.69999999999999</v>
      </c>
      <c r="AA176" s="12">
        <v>141.5</v>
      </c>
      <c r="AB176" s="12">
        <v>128.1</v>
      </c>
      <c r="AC176" s="12">
        <v>131.69999999999999</v>
      </c>
      <c r="AD176" s="12">
        <v>140</v>
      </c>
    </row>
    <row r="177" spans="1:30" ht="15" customHeight="1" x14ac:dyDescent="0.2">
      <c r="A177" s="3" t="s">
        <v>87</v>
      </c>
      <c r="B177" s="12">
        <v>2017</v>
      </c>
      <c r="C177" s="3" t="s">
        <v>107</v>
      </c>
      <c r="D177" s="12">
        <v>134.30000000000001</v>
      </c>
      <c r="E177" s="12">
        <v>142.1</v>
      </c>
      <c r="F177" s="12">
        <v>146.69999999999999</v>
      </c>
      <c r="G177" s="12">
        <v>139.5</v>
      </c>
      <c r="H177" s="12">
        <v>115.2</v>
      </c>
      <c r="I177" s="12">
        <v>136.4</v>
      </c>
      <c r="J177" s="12">
        <v>185.2</v>
      </c>
      <c r="K177" s="12">
        <v>122.2</v>
      </c>
      <c r="L177" s="12">
        <v>123.9</v>
      </c>
      <c r="M177" s="12">
        <v>138.30000000000001</v>
      </c>
      <c r="N177" s="12">
        <v>125.4</v>
      </c>
      <c r="O177" s="12">
        <v>146</v>
      </c>
      <c r="P177" s="12">
        <v>141.5</v>
      </c>
      <c r="Q177" s="12">
        <v>156.19999999999999</v>
      </c>
      <c r="R177" s="12">
        <v>135</v>
      </c>
      <c r="S177" s="12">
        <v>125.4</v>
      </c>
      <c r="T177" s="12">
        <v>133.5</v>
      </c>
      <c r="U177" s="12">
        <v>138.6</v>
      </c>
      <c r="V177" s="12">
        <v>125.7</v>
      </c>
      <c r="W177" s="12">
        <v>128.80000000000001</v>
      </c>
      <c r="X177" s="12">
        <v>127.4</v>
      </c>
      <c r="Y177" s="12">
        <v>115.3</v>
      </c>
      <c r="Z177" s="12">
        <v>125.1</v>
      </c>
      <c r="AA177" s="12">
        <v>136.6</v>
      </c>
      <c r="AB177" s="12">
        <v>124.9</v>
      </c>
      <c r="AC177" s="12">
        <v>124.9</v>
      </c>
      <c r="AD177" s="12">
        <v>134.80000000000001</v>
      </c>
    </row>
    <row r="178" spans="1:30" ht="15" customHeight="1" x14ac:dyDescent="0.2">
      <c r="A178" s="3" t="s">
        <v>89</v>
      </c>
      <c r="B178" s="12">
        <v>2017</v>
      </c>
      <c r="C178" s="3" t="s">
        <v>107</v>
      </c>
      <c r="D178" s="12">
        <v>135.69999999999999</v>
      </c>
      <c r="E178" s="12">
        <v>142.4</v>
      </c>
      <c r="F178" s="12">
        <v>142.9</v>
      </c>
      <c r="G178" s="12">
        <v>140.80000000000001</v>
      </c>
      <c r="H178" s="12">
        <v>119.2</v>
      </c>
      <c r="I178" s="12">
        <v>142.19999999999999</v>
      </c>
      <c r="J178" s="12">
        <v>173.8</v>
      </c>
      <c r="K178" s="12">
        <v>131.19999999999999</v>
      </c>
      <c r="L178" s="12">
        <v>123</v>
      </c>
      <c r="M178" s="12">
        <v>136.80000000000001</v>
      </c>
      <c r="N178" s="12">
        <v>129.19999999999999</v>
      </c>
      <c r="O178" s="12">
        <v>148.9</v>
      </c>
      <c r="P178" s="12">
        <v>142.1</v>
      </c>
      <c r="Q178" s="12">
        <v>153.19999999999999</v>
      </c>
      <c r="R178" s="12">
        <v>143</v>
      </c>
      <c r="S178" s="12">
        <v>134.80000000000001</v>
      </c>
      <c r="T178" s="12">
        <v>141.80000000000001</v>
      </c>
      <c r="U178" s="12">
        <v>138.6</v>
      </c>
      <c r="V178" s="12">
        <v>135.30000000000001</v>
      </c>
      <c r="W178" s="12">
        <v>134.4</v>
      </c>
      <c r="X178" s="12">
        <v>132.6</v>
      </c>
      <c r="Y178" s="12">
        <v>118.3</v>
      </c>
      <c r="Z178" s="12">
        <v>128.9</v>
      </c>
      <c r="AA178" s="12">
        <v>138.6</v>
      </c>
      <c r="AB178" s="12">
        <v>126.8</v>
      </c>
      <c r="AC178" s="12">
        <v>128.4</v>
      </c>
      <c r="AD178" s="12">
        <v>137.6</v>
      </c>
    </row>
    <row r="179" spans="1:30" ht="15" customHeight="1" x14ac:dyDescent="0.25">
      <c r="A179" s="3" t="s">
        <v>84</v>
      </c>
      <c r="B179" s="12">
        <v>2017</v>
      </c>
      <c r="C179" s="3" t="s">
        <v>109</v>
      </c>
      <c r="D179" s="12">
        <v>136.4</v>
      </c>
      <c r="E179" s="12">
        <v>143.69999999999999</v>
      </c>
      <c r="F179" s="12">
        <v>144.80000000000001</v>
      </c>
      <c r="G179" s="12">
        <v>141.9</v>
      </c>
      <c r="H179" s="12">
        <v>123.1</v>
      </c>
      <c r="I179" s="12">
        <v>147.19999999999999</v>
      </c>
      <c r="J179" s="12">
        <v>161</v>
      </c>
      <c r="K179" s="12">
        <v>133.80000000000001</v>
      </c>
      <c r="L179" s="12">
        <v>121.9</v>
      </c>
      <c r="M179" s="12">
        <v>135.80000000000001</v>
      </c>
      <c r="N179" s="12">
        <v>131.1</v>
      </c>
      <c r="O179" s="12">
        <v>151.4</v>
      </c>
      <c r="P179" s="12">
        <v>141.5</v>
      </c>
      <c r="Q179" s="12">
        <v>153.19999999999999</v>
      </c>
      <c r="R179" s="12">
        <v>148</v>
      </c>
      <c r="S179" s="12">
        <v>141.9</v>
      </c>
      <c r="T179" s="12">
        <v>147.19999999999999</v>
      </c>
      <c r="U179" s="13"/>
      <c r="V179" s="12">
        <v>142.6</v>
      </c>
      <c r="W179" s="12">
        <v>139.5</v>
      </c>
      <c r="X179" s="12">
        <v>136.1</v>
      </c>
      <c r="Y179" s="12">
        <v>122</v>
      </c>
      <c r="Z179" s="12">
        <v>133.4</v>
      </c>
      <c r="AA179" s="12">
        <v>141.1</v>
      </c>
      <c r="AB179" s="12">
        <v>127.8</v>
      </c>
      <c r="AC179" s="12">
        <v>131.9</v>
      </c>
      <c r="AD179" s="12">
        <v>139.80000000000001</v>
      </c>
    </row>
    <row r="180" spans="1:30" ht="15" customHeight="1" x14ac:dyDescent="0.2">
      <c r="A180" s="3" t="s">
        <v>87</v>
      </c>
      <c r="B180" s="12">
        <v>2017</v>
      </c>
      <c r="C180" s="3" t="s">
        <v>109</v>
      </c>
      <c r="D180" s="12">
        <v>134.4</v>
      </c>
      <c r="E180" s="12">
        <v>142.6</v>
      </c>
      <c r="F180" s="12">
        <v>145.9</v>
      </c>
      <c r="G180" s="12">
        <v>139.5</v>
      </c>
      <c r="H180" s="12">
        <v>115.9</v>
      </c>
      <c r="I180" s="12">
        <v>135</v>
      </c>
      <c r="J180" s="12">
        <v>163.19999999999999</v>
      </c>
      <c r="K180" s="12">
        <v>119.8</v>
      </c>
      <c r="L180" s="12">
        <v>120.7</v>
      </c>
      <c r="M180" s="12">
        <v>139.69999999999999</v>
      </c>
      <c r="N180" s="12">
        <v>125.7</v>
      </c>
      <c r="O180" s="12">
        <v>146.30000000000001</v>
      </c>
      <c r="P180" s="12">
        <v>138.80000000000001</v>
      </c>
      <c r="Q180" s="12">
        <v>157</v>
      </c>
      <c r="R180" s="12">
        <v>135.6</v>
      </c>
      <c r="S180" s="12">
        <v>125.6</v>
      </c>
      <c r="T180" s="12">
        <v>134</v>
      </c>
      <c r="U180" s="12">
        <v>139.1</v>
      </c>
      <c r="V180" s="12">
        <v>126.8</v>
      </c>
      <c r="W180" s="12">
        <v>129.30000000000001</v>
      </c>
      <c r="X180" s="12">
        <v>128.19999999999999</v>
      </c>
      <c r="Y180" s="12">
        <v>115.3</v>
      </c>
      <c r="Z180" s="12">
        <v>125.6</v>
      </c>
      <c r="AA180" s="12">
        <v>136.69999999999999</v>
      </c>
      <c r="AB180" s="12">
        <v>124.6</v>
      </c>
      <c r="AC180" s="12">
        <v>125.1</v>
      </c>
      <c r="AD180" s="12">
        <v>134.1</v>
      </c>
    </row>
    <row r="181" spans="1:30" ht="15" customHeight="1" x14ac:dyDescent="0.2">
      <c r="A181" s="3" t="s">
        <v>89</v>
      </c>
      <c r="B181" s="12">
        <v>2017</v>
      </c>
      <c r="C181" s="3" t="s">
        <v>109</v>
      </c>
      <c r="D181" s="12">
        <v>135.80000000000001</v>
      </c>
      <c r="E181" s="12">
        <v>143.30000000000001</v>
      </c>
      <c r="F181" s="12">
        <v>145.19999999999999</v>
      </c>
      <c r="G181" s="12">
        <v>141</v>
      </c>
      <c r="H181" s="12">
        <v>120.5</v>
      </c>
      <c r="I181" s="12">
        <v>141.5</v>
      </c>
      <c r="J181" s="12">
        <v>161.69999999999999</v>
      </c>
      <c r="K181" s="12">
        <v>129.1</v>
      </c>
      <c r="L181" s="12">
        <v>121.5</v>
      </c>
      <c r="M181" s="12">
        <v>137.1</v>
      </c>
      <c r="N181" s="12">
        <v>128.80000000000001</v>
      </c>
      <c r="O181" s="12">
        <v>149</v>
      </c>
      <c r="P181" s="12">
        <v>140.5</v>
      </c>
      <c r="Q181" s="12">
        <v>154.19999999999999</v>
      </c>
      <c r="R181" s="12">
        <v>143.1</v>
      </c>
      <c r="S181" s="12">
        <v>135.1</v>
      </c>
      <c r="T181" s="12">
        <v>142</v>
      </c>
      <c r="U181" s="12">
        <v>139.1</v>
      </c>
      <c r="V181" s="12">
        <v>136.6</v>
      </c>
      <c r="W181" s="12">
        <v>134.69999999999999</v>
      </c>
      <c r="X181" s="12">
        <v>133.1</v>
      </c>
      <c r="Y181" s="12">
        <v>118.5</v>
      </c>
      <c r="Z181" s="12">
        <v>129</v>
      </c>
      <c r="AA181" s="12">
        <v>138.5</v>
      </c>
      <c r="AB181" s="12">
        <v>126.5</v>
      </c>
      <c r="AC181" s="12">
        <v>128.6</v>
      </c>
      <c r="AD181" s="12">
        <v>137.19999999999999</v>
      </c>
    </row>
    <row r="182" spans="1:30" ht="15" customHeight="1" x14ac:dyDescent="0.25">
      <c r="A182" s="3" t="s">
        <v>84</v>
      </c>
      <c r="B182" s="12">
        <v>2018</v>
      </c>
      <c r="C182" s="3" t="s">
        <v>85</v>
      </c>
      <c r="D182" s="12">
        <v>136.6</v>
      </c>
      <c r="E182" s="12">
        <v>144.4</v>
      </c>
      <c r="F182" s="12">
        <v>143.80000000000001</v>
      </c>
      <c r="G182" s="12">
        <v>142</v>
      </c>
      <c r="H182" s="12">
        <v>123.2</v>
      </c>
      <c r="I182" s="12">
        <v>147.9</v>
      </c>
      <c r="J182" s="12">
        <v>152.1</v>
      </c>
      <c r="K182" s="12">
        <v>131.80000000000001</v>
      </c>
      <c r="L182" s="12">
        <v>119.5</v>
      </c>
      <c r="M182" s="12">
        <v>136</v>
      </c>
      <c r="N182" s="12">
        <v>131.19999999999999</v>
      </c>
      <c r="O182" s="12">
        <v>151.80000000000001</v>
      </c>
      <c r="P182" s="12">
        <v>140.4</v>
      </c>
      <c r="Q182" s="12">
        <v>153.6</v>
      </c>
      <c r="R182" s="12">
        <v>148.30000000000001</v>
      </c>
      <c r="S182" s="12">
        <v>142.30000000000001</v>
      </c>
      <c r="T182" s="12">
        <v>147.5</v>
      </c>
      <c r="U182" s="13"/>
      <c r="V182" s="12">
        <v>142.30000000000001</v>
      </c>
      <c r="W182" s="12">
        <v>139.80000000000001</v>
      </c>
      <c r="X182" s="12">
        <v>136</v>
      </c>
      <c r="Y182" s="12">
        <v>122.7</v>
      </c>
      <c r="Z182" s="12">
        <v>134.30000000000001</v>
      </c>
      <c r="AA182" s="12">
        <v>141.6</v>
      </c>
      <c r="AB182" s="12">
        <v>128.6</v>
      </c>
      <c r="AC182" s="12">
        <v>132.30000000000001</v>
      </c>
      <c r="AD182" s="12">
        <v>139.30000000000001</v>
      </c>
    </row>
    <row r="183" spans="1:30" ht="15" customHeight="1" x14ac:dyDescent="0.2">
      <c r="A183" s="3" t="s">
        <v>87</v>
      </c>
      <c r="B183" s="12">
        <v>2018</v>
      </c>
      <c r="C183" s="3" t="s">
        <v>85</v>
      </c>
      <c r="D183" s="12">
        <v>134.6</v>
      </c>
      <c r="E183" s="12">
        <v>143.69999999999999</v>
      </c>
      <c r="F183" s="12">
        <v>143.6</v>
      </c>
      <c r="G183" s="12">
        <v>139.6</v>
      </c>
      <c r="H183" s="12">
        <v>116.4</v>
      </c>
      <c r="I183" s="12">
        <v>133.80000000000001</v>
      </c>
      <c r="J183" s="12">
        <v>150.5</v>
      </c>
      <c r="K183" s="12">
        <v>118.4</v>
      </c>
      <c r="L183" s="12">
        <v>117.3</v>
      </c>
      <c r="M183" s="12">
        <v>140.5</v>
      </c>
      <c r="N183" s="12">
        <v>125.9</v>
      </c>
      <c r="O183" s="12">
        <v>146.80000000000001</v>
      </c>
      <c r="P183" s="12">
        <v>137.19999999999999</v>
      </c>
      <c r="Q183" s="12">
        <v>157.69999999999999</v>
      </c>
      <c r="R183" s="12">
        <v>136</v>
      </c>
      <c r="S183" s="12">
        <v>125.9</v>
      </c>
      <c r="T183" s="12">
        <v>134.4</v>
      </c>
      <c r="U183" s="12">
        <v>140.4</v>
      </c>
      <c r="V183" s="12">
        <v>127.3</v>
      </c>
      <c r="W183" s="12">
        <v>129.5</v>
      </c>
      <c r="X183" s="12">
        <v>129</v>
      </c>
      <c r="Y183" s="12">
        <v>116.3</v>
      </c>
      <c r="Z183" s="12">
        <v>126.2</v>
      </c>
      <c r="AA183" s="12">
        <v>137.1</v>
      </c>
      <c r="AB183" s="12">
        <v>125.5</v>
      </c>
      <c r="AC183" s="12">
        <v>125.8</v>
      </c>
      <c r="AD183" s="12">
        <v>134.1</v>
      </c>
    </row>
    <row r="184" spans="1:30" ht="15" customHeight="1" x14ac:dyDescent="0.2">
      <c r="A184" s="3" t="s">
        <v>89</v>
      </c>
      <c r="B184" s="12">
        <v>2018</v>
      </c>
      <c r="C184" s="3" t="s">
        <v>85</v>
      </c>
      <c r="D184" s="12">
        <v>136</v>
      </c>
      <c r="E184" s="12">
        <v>144.19999999999999</v>
      </c>
      <c r="F184" s="12">
        <v>143.69999999999999</v>
      </c>
      <c r="G184" s="12">
        <v>141.1</v>
      </c>
      <c r="H184" s="12">
        <v>120.7</v>
      </c>
      <c r="I184" s="12">
        <v>141.30000000000001</v>
      </c>
      <c r="J184" s="12">
        <v>151.6</v>
      </c>
      <c r="K184" s="12">
        <v>127.3</v>
      </c>
      <c r="L184" s="12">
        <v>118.8</v>
      </c>
      <c r="M184" s="12">
        <v>137.5</v>
      </c>
      <c r="N184" s="12">
        <v>129</v>
      </c>
      <c r="O184" s="12">
        <v>149.5</v>
      </c>
      <c r="P184" s="12">
        <v>139.19999999999999</v>
      </c>
      <c r="Q184" s="12">
        <v>154.69999999999999</v>
      </c>
      <c r="R184" s="12">
        <v>143.5</v>
      </c>
      <c r="S184" s="12">
        <v>135.5</v>
      </c>
      <c r="T184" s="12">
        <v>142.30000000000001</v>
      </c>
      <c r="U184" s="12">
        <v>140.4</v>
      </c>
      <c r="V184" s="12">
        <v>136.6</v>
      </c>
      <c r="W184" s="12">
        <v>134.9</v>
      </c>
      <c r="X184" s="12">
        <v>133.30000000000001</v>
      </c>
      <c r="Y184" s="12">
        <v>119.3</v>
      </c>
      <c r="Z184" s="12">
        <v>129.69999999999999</v>
      </c>
      <c r="AA184" s="12">
        <v>139</v>
      </c>
      <c r="AB184" s="12">
        <v>127.3</v>
      </c>
      <c r="AC184" s="12">
        <v>129.1</v>
      </c>
      <c r="AD184" s="12">
        <v>136.9</v>
      </c>
    </row>
    <row r="185" spans="1:30" ht="15" customHeight="1" x14ac:dyDescent="0.25">
      <c r="A185" s="3" t="s">
        <v>84</v>
      </c>
      <c r="B185" s="12">
        <v>2018</v>
      </c>
      <c r="C185" s="3" t="s">
        <v>90</v>
      </c>
      <c r="D185" s="12">
        <v>136.4</v>
      </c>
      <c r="E185" s="12">
        <v>143.69999999999999</v>
      </c>
      <c r="F185" s="12">
        <v>140.6</v>
      </c>
      <c r="G185" s="12">
        <v>141.5</v>
      </c>
      <c r="H185" s="12">
        <v>122.9</v>
      </c>
      <c r="I185" s="12">
        <v>149.4</v>
      </c>
      <c r="J185" s="12">
        <v>142.4</v>
      </c>
      <c r="K185" s="12">
        <v>130.19999999999999</v>
      </c>
      <c r="L185" s="12">
        <v>117.9</v>
      </c>
      <c r="M185" s="12">
        <v>135.6</v>
      </c>
      <c r="N185" s="12">
        <v>130.5</v>
      </c>
      <c r="O185" s="12">
        <v>151.69999999999999</v>
      </c>
      <c r="P185" s="12">
        <v>138.69999999999999</v>
      </c>
      <c r="Q185" s="12">
        <v>153.30000000000001</v>
      </c>
      <c r="R185" s="12">
        <v>148.69999999999999</v>
      </c>
      <c r="S185" s="12">
        <v>142.4</v>
      </c>
      <c r="T185" s="12">
        <v>147.80000000000001</v>
      </c>
      <c r="U185" s="13"/>
      <c r="V185" s="12">
        <v>142.4</v>
      </c>
      <c r="W185" s="12">
        <v>139.9</v>
      </c>
      <c r="X185" s="12">
        <v>136.19999999999999</v>
      </c>
      <c r="Y185" s="12">
        <v>123.3</v>
      </c>
      <c r="Z185" s="12">
        <v>134.30000000000001</v>
      </c>
      <c r="AA185" s="12">
        <v>141.5</v>
      </c>
      <c r="AB185" s="12">
        <v>128.80000000000001</v>
      </c>
      <c r="AC185" s="12">
        <v>132.5</v>
      </c>
      <c r="AD185" s="12">
        <v>138.5</v>
      </c>
    </row>
    <row r="186" spans="1:30" ht="15" customHeight="1" x14ac:dyDescent="0.2">
      <c r="A186" s="3" t="s">
        <v>87</v>
      </c>
      <c r="B186" s="12">
        <v>2018</v>
      </c>
      <c r="C186" s="3" t="s">
        <v>90</v>
      </c>
      <c r="D186" s="12">
        <v>134.80000000000001</v>
      </c>
      <c r="E186" s="12">
        <v>143</v>
      </c>
      <c r="F186" s="12">
        <v>139.9</v>
      </c>
      <c r="G186" s="12">
        <v>139.9</v>
      </c>
      <c r="H186" s="12">
        <v>116.2</v>
      </c>
      <c r="I186" s="12">
        <v>135.5</v>
      </c>
      <c r="J186" s="12">
        <v>136.9</v>
      </c>
      <c r="K186" s="12">
        <v>117</v>
      </c>
      <c r="L186" s="12">
        <v>115.4</v>
      </c>
      <c r="M186" s="12">
        <v>140.69999999999999</v>
      </c>
      <c r="N186" s="12">
        <v>125.9</v>
      </c>
      <c r="O186" s="12">
        <v>147.1</v>
      </c>
      <c r="P186" s="12">
        <v>135.6</v>
      </c>
      <c r="Q186" s="12">
        <v>159.30000000000001</v>
      </c>
      <c r="R186" s="12">
        <v>136.30000000000001</v>
      </c>
      <c r="S186" s="12">
        <v>126.1</v>
      </c>
      <c r="T186" s="12">
        <v>134.69999999999999</v>
      </c>
      <c r="U186" s="12">
        <v>141.30000000000001</v>
      </c>
      <c r="V186" s="12">
        <v>127.3</v>
      </c>
      <c r="W186" s="12">
        <v>129.9</v>
      </c>
      <c r="X186" s="12">
        <v>129.80000000000001</v>
      </c>
      <c r="Y186" s="12">
        <v>117.4</v>
      </c>
      <c r="Z186" s="12">
        <v>126.5</v>
      </c>
      <c r="AA186" s="12">
        <v>137.19999999999999</v>
      </c>
      <c r="AB186" s="12">
        <v>126.2</v>
      </c>
      <c r="AC186" s="12">
        <v>126.5</v>
      </c>
      <c r="AD186" s="12">
        <v>134</v>
      </c>
    </row>
    <row r="187" spans="1:30" ht="15" customHeight="1" x14ac:dyDescent="0.2">
      <c r="A187" s="3" t="s">
        <v>89</v>
      </c>
      <c r="B187" s="12">
        <v>2018</v>
      </c>
      <c r="C187" s="3" t="s">
        <v>90</v>
      </c>
      <c r="D187" s="12">
        <v>135.9</v>
      </c>
      <c r="E187" s="12">
        <v>143.5</v>
      </c>
      <c r="F187" s="12">
        <v>140.30000000000001</v>
      </c>
      <c r="G187" s="12">
        <v>140.9</v>
      </c>
      <c r="H187" s="12">
        <v>120.4</v>
      </c>
      <c r="I187" s="12">
        <v>142.9</v>
      </c>
      <c r="J187" s="12">
        <v>140.5</v>
      </c>
      <c r="K187" s="12">
        <v>125.8</v>
      </c>
      <c r="L187" s="12">
        <v>117.1</v>
      </c>
      <c r="M187" s="12">
        <v>137.30000000000001</v>
      </c>
      <c r="N187" s="12">
        <v>128.6</v>
      </c>
      <c r="O187" s="12">
        <v>149.6</v>
      </c>
      <c r="P187" s="12">
        <v>137.6</v>
      </c>
      <c r="Q187" s="12">
        <v>154.9</v>
      </c>
      <c r="R187" s="12">
        <v>143.80000000000001</v>
      </c>
      <c r="S187" s="12">
        <v>135.6</v>
      </c>
      <c r="T187" s="12">
        <v>142.6</v>
      </c>
      <c r="U187" s="12">
        <v>141.30000000000001</v>
      </c>
      <c r="V187" s="12">
        <v>136.69999999999999</v>
      </c>
      <c r="W187" s="12">
        <v>135.19999999999999</v>
      </c>
      <c r="X187" s="12">
        <v>133.80000000000001</v>
      </c>
      <c r="Y187" s="12">
        <v>120.2</v>
      </c>
      <c r="Z187" s="12">
        <v>129.9</v>
      </c>
      <c r="AA187" s="12">
        <v>139</v>
      </c>
      <c r="AB187" s="12">
        <v>127.7</v>
      </c>
      <c r="AC187" s="12">
        <v>129.6</v>
      </c>
      <c r="AD187" s="12">
        <v>136.4</v>
      </c>
    </row>
    <row r="188" spans="1:30" ht="15" customHeight="1" x14ac:dyDescent="0.25">
      <c r="A188" s="3" t="s">
        <v>84</v>
      </c>
      <c r="B188" s="12">
        <v>2018</v>
      </c>
      <c r="C188" s="3" t="s">
        <v>92</v>
      </c>
      <c r="D188" s="12">
        <v>136.80000000000001</v>
      </c>
      <c r="E188" s="12">
        <v>143.80000000000001</v>
      </c>
      <c r="F188" s="12">
        <v>140</v>
      </c>
      <c r="G188" s="12">
        <v>142</v>
      </c>
      <c r="H188" s="12">
        <v>123.2</v>
      </c>
      <c r="I188" s="12">
        <v>152.9</v>
      </c>
      <c r="J188" s="12">
        <v>138</v>
      </c>
      <c r="K188" s="12">
        <v>129.30000000000001</v>
      </c>
      <c r="L188" s="12">
        <v>117.1</v>
      </c>
      <c r="M188" s="12">
        <v>136.30000000000001</v>
      </c>
      <c r="N188" s="12">
        <v>131.19999999999999</v>
      </c>
      <c r="O188" s="12">
        <v>152.80000000000001</v>
      </c>
      <c r="P188" s="12">
        <v>138.6</v>
      </c>
      <c r="Q188" s="12">
        <v>155.1</v>
      </c>
      <c r="R188" s="12">
        <v>149.19999999999999</v>
      </c>
      <c r="S188" s="12">
        <v>143</v>
      </c>
      <c r="T188" s="12">
        <v>148.30000000000001</v>
      </c>
      <c r="U188" s="13"/>
      <c r="V188" s="12">
        <v>142.6</v>
      </c>
      <c r="W188" s="12">
        <v>139.9</v>
      </c>
      <c r="X188" s="12">
        <v>136.69999999999999</v>
      </c>
      <c r="Y188" s="12">
        <v>124.6</v>
      </c>
      <c r="Z188" s="12">
        <v>135.1</v>
      </c>
      <c r="AA188" s="12">
        <v>142.69999999999999</v>
      </c>
      <c r="AB188" s="12">
        <v>129.30000000000001</v>
      </c>
      <c r="AC188" s="12">
        <v>133.30000000000001</v>
      </c>
      <c r="AD188" s="12">
        <v>138.69999999999999</v>
      </c>
    </row>
    <row r="189" spans="1:30" ht="15" customHeight="1" x14ac:dyDescent="0.2">
      <c r="A189" s="3" t="s">
        <v>87</v>
      </c>
      <c r="B189" s="12">
        <v>2018</v>
      </c>
      <c r="C189" s="3" t="s">
        <v>92</v>
      </c>
      <c r="D189" s="12">
        <v>135</v>
      </c>
      <c r="E189" s="12">
        <v>143.1</v>
      </c>
      <c r="F189" s="12">
        <v>135.5</v>
      </c>
      <c r="G189" s="12">
        <v>139.9</v>
      </c>
      <c r="H189" s="12">
        <v>116.5</v>
      </c>
      <c r="I189" s="12">
        <v>138.5</v>
      </c>
      <c r="J189" s="12">
        <v>128</v>
      </c>
      <c r="K189" s="12">
        <v>115.5</v>
      </c>
      <c r="L189" s="12">
        <v>114.2</v>
      </c>
      <c r="M189" s="12">
        <v>140.69999999999999</v>
      </c>
      <c r="N189" s="12">
        <v>126.2</v>
      </c>
      <c r="O189" s="12">
        <v>147.6</v>
      </c>
      <c r="P189" s="12">
        <v>134.80000000000001</v>
      </c>
      <c r="Q189" s="12">
        <v>159.69999999999999</v>
      </c>
      <c r="R189" s="12">
        <v>136.69999999999999</v>
      </c>
      <c r="S189" s="12">
        <v>126.7</v>
      </c>
      <c r="T189" s="12">
        <v>135.19999999999999</v>
      </c>
      <c r="U189" s="12">
        <v>142</v>
      </c>
      <c r="V189" s="12">
        <v>126.4</v>
      </c>
      <c r="W189" s="12">
        <v>130.80000000000001</v>
      </c>
      <c r="X189" s="12">
        <v>130.5</v>
      </c>
      <c r="Y189" s="12">
        <v>117.8</v>
      </c>
      <c r="Z189" s="12">
        <v>126.8</v>
      </c>
      <c r="AA189" s="12">
        <v>137.80000000000001</v>
      </c>
      <c r="AB189" s="12">
        <v>126.7</v>
      </c>
      <c r="AC189" s="12">
        <v>127.1</v>
      </c>
      <c r="AD189" s="12">
        <v>134</v>
      </c>
    </row>
    <row r="190" spans="1:30" ht="15" customHeight="1" x14ac:dyDescent="0.2">
      <c r="A190" s="3" t="s">
        <v>89</v>
      </c>
      <c r="B190" s="12">
        <v>2018</v>
      </c>
      <c r="C190" s="3" t="s">
        <v>92</v>
      </c>
      <c r="D190" s="12">
        <v>136.19999999999999</v>
      </c>
      <c r="E190" s="12">
        <v>143.6</v>
      </c>
      <c r="F190" s="12">
        <v>138.30000000000001</v>
      </c>
      <c r="G190" s="12">
        <v>141.19999999999999</v>
      </c>
      <c r="H190" s="12">
        <v>120.7</v>
      </c>
      <c r="I190" s="12">
        <v>146.19999999999999</v>
      </c>
      <c r="J190" s="12">
        <v>134.6</v>
      </c>
      <c r="K190" s="12">
        <v>124.6</v>
      </c>
      <c r="L190" s="12">
        <v>116.1</v>
      </c>
      <c r="M190" s="12">
        <v>137.80000000000001</v>
      </c>
      <c r="N190" s="12">
        <v>129.1</v>
      </c>
      <c r="O190" s="12">
        <v>150.4</v>
      </c>
      <c r="P190" s="12">
        <v>137.19999999999999</v>
      </c>
      <c r="Q190" s="12">
        <v>156.30000000000001</v>
      </c>
      <c r="R190" s="12">
        <v>144.30000000000001</v>
      </c>
      <c r="S190" s="12">
        <v>136.19999999999999</v>
      </c>
      <c r="T190" s="12">
        <v>143.1</v>
      </c>
      <c r="U190" s="12">
        <v>142</v>
      </c>
      <c r="V190" s="12">
        <v>136.5</v>
      </c>
      <c r="W190" s="12">
        <v>135.6</v>
      </c>
      <c r="X190" s="12">
        <v>134.30000000000001</v>
      </c>
      <c r="Y190" s="12">
        <v>121</v>
      </c>
      <c r="Z190" s="12">
        <v>130.4</v>
      </c>
      <c r="AA190" s="12">
        <v>139.80000000000001</v>
      </c>
      <c r="AB190" s="12">
        <v>128.19999999999999</v>
      </c>
      <c r="AC190" s="12">
        <v>130.30000000000001</v>
      </c>
      <c r="AD190" s="12">
        <v>136.5</v>
      </c>
    </row>
    <row r="191" spans="1:30" ht="15" customHeight="1" x14ac:dyDescent="0.25">
      <c r="A191" s="3" t="s">
        <v>84</v>
      </c>
      <c r="B191" s="12">
        <v>2018</v>
      </c>
      <c r="C191" s="3" t="s">
        <v>93</v>
      </c>
      <c r="D191" s="12">
        <v>137.1</v>
      </c>
      <c r="E191" s="12">
        <v>144.5</v>
      </c>
      <c r="F191" s="12">
        <v>135.9</v>
      </c>
      <c r="G191" s="12">
        <v>142.4</v>
      </c>
      <c r="H191" s="12">
        <v>123.5</v>
      </c>
      <c r="I191" s="12">
        <v>156.4</v>
      </c>
      <c r="J191" s="12">
        <v>135.1</v>
      </c>
      <c r="K191" s="12">
        <v>128.4</v>
      </c>
      <c r="L191" s="12">
        <v>115.2</v>
      </c>
      <c r="M191" s="12">
        <v>137.19999999999999</v>
      </c>
      <c r="N191" s="12">
        <v>131.9</v>
      </c>
      <c r="O191" s="12">
        <v>153.80000000000001</v>
      </c>
      <c r="P191" s="12">
        <v>138.6</v>
      </c>
      <c r="Q191" s="12">
        <v>156.1</v>
      </c>
      <c r="R191" s="12">
        <v>150.1</v>
      </c>
      <c r="S191" s="12">
        <v>143.30000000000001</v>
      </c>
      <c r="T191" s="12">
        <v>149.1</v>
      </c>
      <c r="U191" s="13"/>
      <c r="V191" s="12">
        <v>143.80000000000001</v>
      </c>
      <c r="W191" s="12">
        <v>140.9</v>
      </c>
      <c r="X191" s="12">
        <v>137.6</v>
      </c>
      <c r="Y191" s="12">
        <v>125.3</v>
      </c>
      <c r="Z191" s="12">
        <v>136</v>
      </c>
      <c r="AA191" s="12">
        <v>143.69999999999999</v>
      </c>
      <c r="AB191" s="12">
        <v>130.4</v>
      </c>
      <c r="AC191" s="12">
        <v>134.19999999999999</v>
      </c>
      <c r="AD191" s="12">
        <v>139.1</v>
      </c>
    </row>
    <row r="192" spans="1:30" ht="15" customHeight="1" x14ac:dyDescent="0.2">
      <c r="A192" s="3" t="s">
        <v>87</v>
      </c>
      <c r="B192" s="12">
        <v>2018</v>
      </c>
      <c r="C192" s="3" t="s">
        <v>93</v>
      </c>
      <c r="D192" s="12">
        <v>135</v>
      </c>
      <c r="E192" s="12">
        <v>144.30000000000001</v>
      </c>
      <c r="F192" s="12">
        <v>130.80000000000001</v>
      </c>
      <c r="G192" s="12">
        <v>140.30000000000001</v>
      </c>
      <c r="H192" s="12">
        <v>116.6</v>
      </c>
      <c r="I192" s="12">
        <v>150.1</v>
      </c>
      <c r="J192" s="12">
        <v>127.6</v>
      </c>
      <c r="K192" s="12">
        <v>114</v>
      </c>
      <c r="L192" s="12">
        <v>110.6</v>
      </c>
      <c r="M192" s="12">
        <v>140.19999999999999</v>
      </c>
      <c r="N192" s="12">
        <v>126.5</v>
      </c>
      <c r="O192" s="12">
        <v>148.30000000000001</v>
      </c>
      <c r="P192" s="12">
        <v>135.69999999999999</v>
      </c>
      <c r="Q192" s="12">
        <v>159.19999999999999</v>
      </c>
      <c r="R192" s="12">
        <v>137.80000000000001</v>
      </c>
      <c r="S192" s="12">
        <v>127.4</v>
      </c>
      <c r="T192" s="12">
        <v>136.19999999999999</v>
      </c>
      <c r="U192" s="12">
        <v>142.9</v>
      </c>
      <c r="V192" s="12">
        <v>124.6</v>
      </c>
      <c r="W192" s="12">
        <v>131.80000000000001</v>
      </c>
      <c r="X192" s="12">
        <v>131.30000000000001</v>
      </c>
      <c r="Y192" s="12">
        <v>118.9</v>
      </c>
      <c r="Z192" s="12">
        <v>127.6</v>
      </c>
      <c r="AA192" s="12">
        <v>139.69999999999999</v>
      </c>
      <c r="AB192" s="12">
        <v>127.6</v>
      </c>
      <c r="AC192" s="12">
        <v>128.19999999999999</v>
      </c>
      <c r="AD192" s="12">
        <v>134.80000000000001</v>
      </c>
    </row>
    <row r="193" spans="1:30" ht="15" customHeight="1" x14ac:dyDescent="0.2">
      <c r="A193" s="3" t="s">
        <v>89</v>
      </c>
      <c r="B193" s="12">
        <v>2018</v>
      </c>
      <c r="C193" s="3" t="s">
        <v>93</v>
      </c>
      <c r="D193" s="12">
        <v>136.4</v>
      </c>
      <c r="E193" s="12">
        <v>144.4</v>
      </c>
      <c r="F193" s="12">
        <v>133.9</v>
      </c>
      <c r="G193" s="12">
        <v>141.6</v>
      </c>
      <c r="H193" s="12">
        <v>121</v>
      </c>
      <c r="I193" s="12">
        <v>153.5</v>
      </c>
      <c r="J193" s="12">
        <v>132.6</v>
      </c>
      <c r="K193" s="12">
        <v>123.5</v>
      </c>
      <c r="L193" s="12">
        <v>113.7</v>
      </c>
      <c r="M193" s="12">
        <v>138.19999999999999</v>
      </c>
      <c r="N193" s="12">
        <v>129.6</v>
      </c>
      <c r="O193" s="12">
        <v>151.19999999999999</v>
      </c>
      <c r="P193" s="12">
        <v>137.5</v>
      </c>
      <c r="Q193" s="12">
        <v>156.9</v>
      </c>
      <c r="R193" s="12">
        <v>145.30000000000001</v>
      </c>
      <c r="S193" s="12">
        <v>136.69999999999999</v>
      </c>
      <c r="T193" s="12">
        <v>144</v>
      </c>
      <c r="U193" s="12">
        <v>142.9</v>
      </c>
      <c r="V193" s="12">
        <v>136.5</v>
      </c>
      <c r="W193" s="12">
        <v>136.6</v>
      </c>
      <c r="X193" s="12">
        <v>135.19999999999999</v>
      </c>
      <c r="Y193" s="12">
        <v>121.9</v>
      </c>
      <c r="Z193" s="12">
        <v>131.30000000000001</v>
      </c>
      <c r="AA193" s="12">
        <v>141.4</v>
      </c>
      <c r="AB193" s="12">
        <v>129.19999999999999</v>
      </c>
      <c r="AC193" s="12">
        <v>131.30000000000001</v>
      </c>
      <c r="AD193" s="12">
        <v>137.1</v>
      </c>
    </row>
    <row r="194" spans="1:30" ht="15" customHeight="1" x14ac:dyDescent="0.25">
      <c r="A194" s="3" t="s">
        <v>84</v>
      </c>
      <c r="B194" s="12">
        <v>2018</v>
      </c>
      <c r="C194" s="3" t="s">
        <v>95</v>
      </c>
      <c r="D194" s="12">
        <v>137.4</v>
      </c>
      <c r="E194" s="12">
        <v>145.69999999999999</v>
      </c>
      <c r="F194" s="12">
        <v>135.5</v>
      </c>
      <c r="G194" s="12">
        <v>142.9</v>
      </c>
      <c r="H194" s="12">
        <v>123.6</v>
      </c>
      <c r="I194" s="12">
        <v>157.5</v>
      </c>
      <c r="J194" s="12">
        <v>137.80000000000001</v>
      </c>
      <c r="K194" s="12">
        <v>127.2</v>
      </c>
      <c r="L194" s="12">
        <v>111.8</v>
      </c>
      <c r="M194" s="12">
        <v>137.4</v>
      </c>
      <c r="N194" s="12">
        <v>132.19999999999999</v>
      </c>
      <c r="O194" s="12">
        <v>154.30000000000001</v>
      </c>
      <c r="P194" s="12">
        <v>139.1</v>
      </c>
      <c r="Q194" s="12">
        <v>157</v>
      </c>
      <c r="R194" s="12">
        <v>150.80000000000001</v>
      </c>
      <c r="S194" s="12">
        <v>144.1</v>
      </c>
      <c r="T194" s="12">
        <v>149.80000000000001</v>
      </c>
      <c r="U194" s="13"/>
      <c r="V194" s="12">
        <v>144.30000000000001</v>
      </c>
      <c r="W194" s="12">
        <v>141.80000000000001</v>
      </c>
      <c r="X194" s="12">
        <v>138.4</v>
      </c>
      <c r="Y194" s="12">
        <v>126.4</v>
      </c>
      <c r="Z194" s="12">
        <v>136.80000000000001</v>
      </c>
      <c r="AA194" s="12">
        <v>144.4</v>
      </c>
      <c r="AB194" s="12">
        <v>131.19999999999999</v>
      </c>
      <c r="AC194" s="12">
        <v>135.1</v>
      </c>
      <c r="AD194" s="12">
        <v>139.80000000000001</v>
      </c>
    </row>
    <row r="195" spans="1:30" ht="15" customHeight="1" x14ac:dyDescent="0.2">
      <c r="A195" s="3" t="s">
        <v>87</v>
      </c>
      <c r="B195" s="12">
        <v>2018</v>
      </c>
      <c r="C195" s="3" t="s">
        <v>95</v>
      </c>
      <c r="D195" s="12">
        <v>135</v>
      </c>
      <c r="E195" s="12">
        <v>148.19999999999999</v>
      </c>
      <c r="F195" s="12">
        <v>130.5</v>
      </c>
      <c r="G195" s="12">
        <v>140.69999999999999</v>
      </c>
      <c r="H195" s="12">
        <v>116.4</v>
      </c>
      <c r="I195" s="12">
        <v>151.30000000000001</v>
      </c>
      <c r="J195" s="12">
        <v>131.4</v>
      </c>
      <c r="K195" s="12">
        <v>112.8</v>
      </c>
      <c r="L195" s="12">
        <v>105.3</v>
      </c>
      <c r="M195" s="12">
        <v>139.6</v>
      </c>
      <c r="N195" s="12">
        <v>126.6</v>
      </c>
      <c r="O195" s="12">
        <v>148.69999999999999</v>
      </c>
      <c r="P195" s="12">
        <v>136.4</v>
      </c>
      <c r="Q195" s="12">
        <v>160.30000000000001</v>
      </c>
      <c r="R195" s="12">
        <v>138.6</v>
      </c>
      <c r="S195" s="12">
        <v>127.9</v>
      </c>
      <c r="T195" s="12">
        <v>137</v>
      </c>
      <c r="U195" s="12">
        <v>143.19999999999999</v>
      </c>
      <c r="V195" s="12">
        <v>124.7</v>
      </c>
      <c r="W195" s="12">
        <v>132.5</v>
      </c>
      <c r="X195" s="12">
        <v>132</v>
      </c>
      <c r="Y195" s="12">
        <v>119.8</v>
      </c>
      <c r="Z195" s="12">
        <v>128</v>
      </c>
      <c r="AA195" s="12">
        <v>140.4</v>
      </c>
      <c r="AB195" s="12">
        <v>128.1</v>
      </c>
      <c r="AC195" s="12">
        <v>128.9</v>
      </c>
      <c r="AD195" s="12">
        <v>135.4</v>
      </c>
    </row>
    <row r="196" spans="1:30" ht="15" customHeight="1" x14ac:dyDescent="0.2">
      <c r="A196" s="3" t="s">
        <v>89</v>
      </c>
      <c r="B196" s="12">
        <v>2018</v>
      </c>
      <c r="C196" s="3" t="s">
        <v>95</v>
      </c>
      <c r="D196" s="12">
        <v>136.6</v>
      </c>
      <c r="E196" s="12">
        <v>146.6</v>
      </c>
      <c r="F196" s="12">
        <v>133.6</v>
      </c>
      <c r="G196" s="12">
        <v>142.1</v>
      </c>
      <c r="H196" s="12">
        <v>121</v>
      </c>
      <c r="I196" s="12">
        <v>154.6</v>
      </c>
      <c r="J196" s="12">
        <v>135.6</v>
      </c>
      <c r="K196" s="12">
        <v>122.3</v>
      </c>
      <c r="L196" s="12">
        <v>109.6</v>
      </c>
      <c r="M196" s="12">
        <v>138.1</v>
      </c>
      <c r="N196" s="12">
        <v>129.9</v>
      </c>
      <c r="O196" s="12">
        <v>151.69999999999999</v>
      </c>
      <c r="P196" s="12">
        <v>138.1</v>
      </c>
      <c r="Q196" s="12">
        <v>157.9</v>
      </c>
      <c r="R196" s="12">
        <v>146</v>
      </c>
      <c r="S196" s="12">
        <v>137.4</v>
      </c>
      <c r="T196" s="12">
        <v>144.69999999999999</v>
      </c>
      <c r="U196" s="12">
        <v>143.19999999999999</v>
      </c>
      <c r="V196" s="12">
        <v>136.9</v>
      </c>
      <c r="W196" s="12">
        <v>137.4</v>
      </c>
      <c r="X196" s="12">
        <v>136</v>
      </c>
      <c r="Y196" s="12">
        <v>122.9</v>
      </c>
      <c r="Z196" s="12">
        <v>131.80000000000001</v>
      </c>
      <c r="AA196" s="12">
        <v>142.1</v>
      </c>
      <c r="AB196" s="12">
        <v>129.9</v>
      </c>
      <c r="AC196" s="12">
        <v>132.1</v>
      </c>
      <c r="AD196" s="12">
        <v>137.80000000000001</v>
      </c>
    </row>
    <row r="197" spans="1:30" ht="15" customHeight="1" x14ac:dyDescent="0.25">
      <c r="A197" s="3" t="s">
        <v>84</v>
      </c>
      <c r="B197" s="12">
        <v>2018</v>
      </c>
      <c r="C197" s="3" t="s">
        <v>96</v>
      </c>
      <c r="D197" s="12">
        <v>137.6</v>
      </c>
      <c r="E197" s="12">
        <v>148.1</v>
      </c>
      <c r="F197" s="12">
        <v>136.69999999999999</v>
      </c>
      <c r="G197" s="12">
        <v>143.19999999999999</v>
      </c>
      <c r="H197" s="12">
        <v>124</v>
      </c>
      <c r="I197" s="12">
        <v>154.1</v>
      </c>
      <c r="J197" s="12">
        <v>143.5</v>
      </c>
      <c r="K197" s="12">
        <v>126</v>
      </c>
      <c r="L197" s="12">
        <v>112.4</v>
      </c>
      <c r="M197" s="12">
        <v>137.6</v>
      </c>
      <c r="N197" s="12">
        <v>132.80000000000001</v>
      </c>
      <c r="O197" s="12">
        <v>154.30000000000001</v>
      </c>
      <c r="P197" s="12">
        <v>140</v>
      </c>
      <c r="Q197" s="12">
        <v>157.30000000000001</v>
      </c>
      <c r="R197" s="12">
        <v>151.30000000000001</v>
      </c>
      <c r="S197" s="12">
        <v>144.69999999999999</v>
      </c>
      <c r="T197" s="12">
        <v>150.30000000000001</v>
      </c>
      <c r="U197" s="13"/>
      <c r="V197" s="12">
        <v>145.1</v>
      </c>
      <c r="W197" s="12">
        <v>142.19999999999999</v>
      </c>
      <c r="X197" s="12">
        <v>138.4</v>
      </c>
      <c r="Y197" s="12">
        <v>127.4</v>
      </c>
      <c r="Z197" s="12">
        <v>137.80000000000001</v>
      </c>
      <c r="AA197" s="12">
        <v>145.1</v>
      </c>
      <c r="AB197" s="12">
        <v>131.4</v>
      </c>
      <c r="AC197" s="12">
        <v>135.6</v>
      </c>
      <c r="AD197" s="12">
        <v>140.5</v>
      </c>
    </row>
    <row r="198" spans="1:30" ht="15" customHeight="1" x14ac:dyDescent="0.2">
      <c r="A198" s="3" t="s">
        <v>87</v>
      </c>
      <c r="B198" s="12">
        <v>2018</v>
      </c>
      <c r="C198" s="3" t="s">
        <v>96</v>
      </c>
      <c r="D198" s="12">
        <v>135.30000000000001</v>
      </c>
      <c r="E198" s="12">
        <v>149.69999999999999</v>
      </c>
      <c r="F198" s="12">
        <v>133.9</v>
      </c>
      <c r="G198" s="12">
        <v>140.80000000000001</v>
      </c>
      <c r="H198" s="12">
        <v>116.6</v>
      </c>
      <c r="I198" s="12">
        <v>152.19999999999999</v>
      </c>
      <c r="J198" s="12">
        <v>144</v>
      </c>
      <c r="K198" s="12">
        <v>112.3</v>
      </c>
      <c r="L198" s="12">
        <v>108.4</v>
      </c>
      <c r="M198" s="12">
        <v>140</v>
      </c>
      <c r="N198" s="12">
        <v>126.7</v>
      </c>
      <c r="O198" s="12">
        <v>149</v>
      </c>
      <c r="P198" s="12">
        <v>138.4</v>
      </c>
      <c r="Q198" s="12">
        <v>161</v>
      </c>
      <c r="R198" s="12">
        <v>138.9</v>
      </c>
      <c r="S198" s="12">
        <v>128.69999999999999</v>
      </c>
      <c r="T198" s="12">
        <v>137.4</v>
      </c>
      <c r="U198" s="12">
        <v>142.5</v>
      </c>
      <c r="V198" s="12">
        <v>126.5</v>
      </c>
      <c r="W198" s="12">
        <v>133.1</v>
      </c>
      <c r="X198" s="12">
        <v>132.6</v>
      </c>
      <c r="Y198" s="12">
        <v>120.4</v>
      </c>
      <c r="Z198" s="12">
        <v>128.5</v>
      </c>
      <c r="AA198" s="12">
        <v>141.19999999999999</v>
      </c>
      <c r="AB198" s="12">
        <v>128.19999999999999</v>
      </c>
      <c r="AC198" s="12">
        <v>129.5</v>
      </c>
      <c r="AD198" s="12">
        <v>136.19999999999999</v>
      </c>
    </row>
    <row r="199" spans="1:30" ht="15" customHeight="1" x14ac:dyDescent="0.2">
      <c r="A199" s="3" t="s">
        <v>89</v>
      </c>
      <c r="B199" s="12">
        <v>2018</v>
      </c>
      <c r="C199" s="3" t="s">
        <v>96</v>
      </c>
      <c r="D199" s="12">
        <v>136.9</v>
      </c>
      <c r="E199" s="12">
        <v>148.69999999999999</v>
      </c>
      <c r="F199" s="12">
        <v>135.6</v>
      </c>
      <c r="G199" s="12">
        <v>142.30000000000001</v>
      </c>
      <c r="H199" s="12">
        <v>121.3</v>
      </c>
      <c r="I199" s="12">
        <v>153.19999999999999</v>
      </c>
      <c r="J199" s="12">
        <v>143.69999999999999</v>
      </c>
      <c r="K199" s="12">
        <v>121.4</v>
      </c>
      <c r="L199" s="12">
        <v>111.1</v>
      </c>
      <c r="M199" s="12">
        <v>138.4</v>
      </c>
      <c r="N199" s="12">
        <v>130.30000000000001</v>
      </c>
      <c r="O199" s="12">
        <v>151.80000000000001</v>
      </c>
      <c r="P199" s="12">
        <v>139.4</v>
      </c>
      <c r="Q199" s="12">
        <v>158.30000000000001</v>
      </c>
      <c r="R199" s="12">
        <v>146.4</v>
      </c>
      <c r="S199" s="12">
        <v>138.1</v>
      </c>
      <c r="T199" s="12">
        <v>145.19999999999999</v>
      </c>
      <c r="U199" s="12">
        <v>142.5</v>
      </c>
      <c r="V199" s="12">
        <v>138.1</v>
      </c>
      <c r="W199" s="12">
        <v>137.9</v>
      </c>
      <c r="X199" s="12">
        <v>136.19999999999999</v>
      </c>
      <c r="Y199" s="12">
        <v>123.7</v>
      </c>
      <c r="Z199" s="12">
        <v>132.6</v>
      </c>
      <c r="AA199" s="12">
        <v>142.80000000000001</v>
      </c>
      <c r="AB199" s="12">
        <v>130.1</v>
      </c>
      <c r="AC199" s="12">
        <v>132.6</v>
      </c>
      <c r="AD199" s="12">
        <v>138.5</v>
      </c>
    </row>
    <row r="200" spans="1:30" ht="15" customHeight="1" x14ac:dyDescent="0.25">
      <c r="A200" s="3" t="s">
        <v>84</v>
      </c>
      <c r="B200" s="12">
        <v>2018</v>
      </c>
      <c r="C200" s="3" t="s">
        <v>98</v>
      </c>
      <c r="D200" s="12">
        <v>138.4</v>
      </c>
      <c r="E200" s="12">
        <v>149.30000000000001</v>
      </c>
      <c r="F200" s="12">
        <v>139.30000000000001</v>
      </c>
      <c r="G200" s="12">
        <v>143.4</v>
      </c>
      <c r="H200" s="12">
        <v>124.1</v>
      </c>
      <c r="I200" s="12">
        <v>153.30000000000001</v>
      </c>
      <c r="J200" s="12">
        <v>154.19999999999999</v>
      </c>
      <c r="K200" s="12">
        <v>126.4</v>
      </c>
      <c r="L200" s="12">
        <v>114.3</v>
      </c>
      <c r="M200" s="12">
        <v>138.19999999999999</v>
      </c>
      <c r="N200" s="12">
        <v>132.80000000000001</v>
      </c>
      <c r="O200" s="12">
        <v>154.80000000000001</v>
      </c>
      <c r="P200" s="12">
        <v>142</v>
      </c>
      <c r="Q200" s="12">
        <v>156.1</v>
      </c>
      <c r="R200" s="12">
        <v>151.5</v>
      </c>
      <c r="S200" s="12">
        <v>145.1</v>
      </c>
      <c r="T200" s="12">
        <v>150.6</v>
      </c>
      <c r="U200" s="13"/>
      <c r="V200" s="12">
        <v>146.80000000000001</v>
      </c>
      <c r="W200" s="12">
        <v>143.1</v>
      </c>
      <c r="X200" s="12">
        <v>139</v>
      </c>
      <c r="Y200" s="12">
        <v>127.5</v>
      </c>
      <c r="Z200" s="12">
        <v>138.4</v>
      </c>
      <c r="AA200" s="12">
        <v>145.80000000000001</v>
      </c>
      <c r="AB200" s="12">
        <v>131.4</v>
      </c>
      <c r="AC200" s="12">
        <v>136</v>
      </c>
      <c r="AD200" s="12">
        <v>141.80000000000001</v>
      </c>
    </row>
    <row r="201" spans="1:30" ht="15" customHeight="1" x14ac:dyDescent="0.2">
      <c r="A201" s="3" t="s">
        <v>87</v>
      </c>
      <c r="B201" s="12">
        <v>2018</v>
      </c>
      <c r="C201" s="3" t="s">
        <v>98</v>
      </c>
      <c r="D201" s="12">
        <v>135.6</v>
      </c>
      <c r="E201" s="12">
        <v>148.6</v>
      </c>
      <c r="F201" s="12">
        <v>139.1</v>
      </c>
      <c r="G201" s="12">
        <v>141</v>
      </c>
      <c r="H201" s="12">
        <v>116.7</v>
      </c>
      <c r="I201" s="12">
        <v>149.69999999999999</v>
      </c>
      <c r="J201" s="12">
        <v>159.19999999999999</v>
      </c>
      <c r="K201" s="12">
        <v>112.6</v>
      </c>
      <c r="L201" s="12">
        <v>111.8</v>
      </c>
      <c r="M201" s="12">
        <v>140.30000000000001</v>
      </c>
      <c r="N201" s="12">
        <v>126.8</v>
      </c>
      <c r="O201" s="12">
        <v>149.4</v>
      </c>
      <c r="P201" s="12">
        <v>140.30000000000001</v>
      </c>
      <c r="Q201" s="12">
        <v>161.4</v>
      </c>
      <c r="R201" s="12">
        <v>139.6</v>
      </c>
      <c r="S201" s="12">
        <v>128.9</v>
      </c>
      <c r="T201" s="12">
        <v>137.9</v>
      </c>
      <c r="U201" s="12">
        <v>143.6</v>
      </c>
      <c r="V201" s="12">
        <v>128.1</v>
      </c>
      <c r="W201" s="12">
        <v>133.6</v>
      </c>
      <c r="X201" s="12">
        <v>133.6</v>
      </c>
      <c r="Y201" s="12">
        <v>120.1</v>
      </c>
      <c r="Z201" s="12">
        <v>129</v>
      </c>
      <c r="AA201" s="12">
        <v>144</v>
      </c>
      <c r="AB201" s="12">
        <v>128.19999999999999</v>
      </c>
      <c r="AC201" s="12">
        <v>130.19999999999999</v>
      </c>
      <c r="AD201" s="12">
        <v>137.5</v>
      </c>
    </row>
    <row r="202" spans="1:30" ht="15" customHeight="1" x14ac:dyDescent="0.2">
      <c r="A202" s="3" t="s">
        <v>89</v>
      </c>
      <c r="B202" s="12">
        <v>2018</v>
      </c>
      <c r="C202" s="3" t="s">
        <v>98</v>
      </c>
      <c r="D202" s="12">
        <v>137.5</v>
      </c>
      <c r="E202" s="12">
        <v>149.1</v>
      </c>
      <c r="F202" s="12">
        <v>139.19999999999999</v>
      </c>
      <c r="G202" s="12">
        <v>142.5</v>
      </c>
      <c r="H202" s="12">
        <v>121.4</v>
      </c>
      <c r="I202" s="12">
        <v>151.6</v>
      </c>
      <c r="J202" s="12">
        <v>155.9</v>
      </c>
      <c r="K202" s="12">
        <v>121.7</v>
      </c>
      <c r="L202" s="12">
        <v>113.5</v>
      </c>
      <c r="M202" s="12">
        <v>138.9</v>
      </c>
      <c r="N202" s="12">
        <v>130.30000000000001</v>
      </c>
      <c r="O202" s="12">
        <v>152.30000000000001</v>
      </c>
      <c r="P202" s="12">
        <v>141.4</v>
      </c>
      <c r="Q202" s="12">
        <v>157.5</v>
      </c>
      <c r="R202" s="12">
        <v>146.80000000000001</v>
      </c>
      <c r="S202" s="12">
        <v>138.4</v>
      </c>
      <c r="T202" s="12">
        <v>145.6</v>
      </c>
      <c r="U202" s="12">
        <v>143.6</v>
      </c>
      <c r="V202" s="12">
        <v>139.69999999999999</v>
      </c>
      <c r="W202" s="12">
        <v>138.6</v>
      </c>
      <c r="X202" s="12">
        <v>137</v>
      </c>
      <c r="Y202" s="12">
        <v>123.6</v>
      </c>
      <c r="Z202" s="12">
        <v>133.1</v>
      </c>
      <c r="AA202" s="12">
        <v>144.69999999999999</v>
      </c>
      <c r="AB202" s="12">
        <v>130.1</v>
      </c>
      <c r="AC202" s="12">
        <v>133.19999999999999</v>
      </c>
      <c r="AD202" s="12">
        <v>139.80000000000001</v>
      </c>
    </row>
    <row r="203" spans="1:30" ht="15" customHeight="1" x14ac:dyDescent="0.25">
      <c r="A203" s="3" t="s">
        <v>84</v>
      </c>
      <c r="B203" s="12">
        <v>2018</v>
      </c>
      <c r="C203" s="3" t="s">
        <v>100</v>
      </c>
      <c r="D203" s="12">
        <v>139.19999999999999</v>
      </c>
      <c r="E203" s="12">
        <v>148.80000000000001</v>
      </c>
      <c r="F203" s="12">
        <v>139.1</v>
      </c>
      <c r="G203" s="12">
        <v>143.5</v>
      </c>
      <c r="H203" s="12">
        <v>125</v>
      </c>
      <c r="I203" s="12">
        <v>154.4</v>
      </c>
      <c r="J203" s="12">
        <v>156.30000000000001</v>
      </c>
      <c r="K203" s="12">
        <v>126.8</v>
      </c>
      <c r="L203" s="12">
        <v>115.4</v>
      </c>
      <c r="M203" s="12">
        <v>138.6</v>
      </c>
      <c r="N203" s="12">
        <v>133.80000000000001</v>
      </c>
      <c r="O203" s="12">
        <v>155.19999999999999</v>
      </c>
      <c r="P203" s="12">
        <v>142.69999999999999</v>
      </c>
      <c r="Q203" s="12">
        <v>156.4</v>
      </c>
      <c r="R203" s="12">
        <v>152.1</v>
      </c>
      <c r="S203" s="12">
        <v>145.80000000000001</v>
      </c>
      <c r="T203" s="12">
        <v>151.30000000000001</v>
      </c>
      <c r="U203" s="13"/>
      <c r="V203" s="12">
        <v>147.69999999999999</v>
      </c>
      <c r="W203" s="12">
        <v>143.80000000000001</v>
      </c>
      <c r="X203" s="12">
        <v>139.4</v>
      </c>
      <c r="Y203" s="12">
        <v>128.30000000000001</v>
      </c>
      <c r="Z203" s="12">
        <v>138.6</v>
      </c>
      <c r="AA203" s="12">
        <v>146.9</v>
      </c>
      <c r="AB203" s="12">
        <v>131.30000000000001</v>
      </c>
      <c r="AC203" s="12">
        <v>136.6</v>
      </c>
      <c r="AD203" s="12">
        <v>142.5</v>
      </c>
    </row>
    <row r="204" spans="1:30" ht="15" customHeight="1" x14ac:dyDescent="0.2">
      <c r="A204" s="3" t="s">
        <v>87</v>
      </c>
      <c r="B204" s="12">
        <v>2018</v>
      </c>
      <c r="C204" s="3" t="s">
        <v>100</v>
      </c>
      <c r="D204" s="12">
        <v>136.5</v>
      </c>
      <c r="E204" s="12">
        <v>146.4</v>
      </c>
      <c r="F204" s="12">
        <v>136.6</v>
      </c>
      <c r="G204" s="12">
        <v>141.19999999999999</v>
      </c>
      <c r="H204" s="12">
        <v>117.4</v>
      </c>
      <c r="I204" s="12">
        <v>146.30000000000001</v>
      </c>
      <c r="J204" s="12">
        <v>157.30000000000001</v>
      </c>
      <c r="K204" s="12">
        <v>113.6</v>
      </c>
      <c r="L204" s="12">
        <v>113.3</v>
      </c>
      <c r="M204" s="12">
        <v>141.1</v>
      </c>
      <c r="N204" s="12">
        <v>127.4</v>
      </c>
      <c r="O204" s="12">
        <v>150.4</v>
      </c>
      <c r="P204" s="12">
        <v>140.1</v>
      </c>
      <c r="Q204" s="12">
        <v>162.1</v>
      </c>
      <c r="R204" s="12">
        <v>140</v>
      </c>
      <c r="S204" s="12">
        <v>129</v>
      </c>
      <c r="T204" s="12">
        <v>138.30000000000001</v>
      </c>
      <c r="U204" s="12">
        <v>144.6</v>
      </c>
      <c r="V204" s="12">
        <v>129.80000000000001</v>
      </c>
      <c r="W204" s="12">
        <v>134.4</v>
      </c>
      <c r="X204" s="12">
        <v>134.9</v>
      </c>
      <c r="Y204" s="12">
        <v>120.7</v>
      </c>
      <c r="Z204" s="12">
        <v>129.80000000000001</v>
      </c>
      <c r="AA204" s="12">
        <v>145.30000000000001</v>
      </c>
      <c r="AB204" s="12">
        <v>128.30000000000001</v>
      </c>
      <c r="AC204" s="12">
        <v>131</v>
      </c>
      <c r="AD204" s="12">
        <v>138</v>
      </c>
    </row>
    <row r="205" spans="1:30" ht="15" customHeight="1" x14ac:dyDescent="0.2">
      <c r="A205" s="3" t="s">
        <v>89</v>
      </c>
      <c r="B205" s="12">
        <v>2018</v>
      </c>
      <c r="C205" s="3" t="s">
        <v>100</v>
      </c>
      <c r="D205" s="12">
        <v>138.30000000000001</v>
      </c>
      <c r="E205" s="12">
        <v>148</v>
      </c>
      <c r="F205" s="12">
        <v>138.1</v>
      </c>
      <c r="G205" s="12">
        <v>142.6</v>
      </c>
      <c r="H205" s="12">
        <v>122.2</v>
      </c>
      <c r="I205" s="12">
        <v>150.6</v>
      </c>
      <c r="J205" s="12">
        <v>156.6</v>
      </c>
      <c r="K205" s="12">
        <v>122.4</v>
      </c>
      <c r="L205" s="12">
        <v>114.7</v>
      </c>
      <c r="M205" s="12">
        <v>139.4</v>
      </c>
      <c r="N205" s="12">
        <v>131.1</v>
      </c>
      <c r="O205" s="12">
        <v>153</v>
      </c>
      <c r="P205" s="12">
        <v>141.69999999999999</v>
      </c>
      <c r="Q205" s="12">
        <v>157.9</v>
      </c>
      <c r="R205" s="12">
        <v>147.30000000000001</v>
      </c>
      <c r="S205" s="12">
        <v>138.80000000000001</v>
      </c>
      <c r="T205" s="12">
        <v>146.1</v>
      </c>
      <c r="U205" s="12">
        <v>144.6</v>
      </c>
      <c r="V205" s="12">
        <v>140.9</v>
      </c>
      <c r="W205" s="12">
        <v>139.4</v>
      </c>
      <c r="X205" s="12">
        <v>137.69999999999999</v>
      </c>
      <c r="Y205" s="12">
        <v>124.3</v>
      </c>
      <c r="Z205" s="12">
        <v>133.6</v>
      </c>
      <c r="AA205" s="12">
        <v>146</v>
      </c>
      <c r="AB205" s="12">
        <v>130.1</v>
      </c>
      <c r="AC205" s="12">
        <v>133.9</v>
      </c>
      <c r="AD205" s="12">
        <v>140.4</v>
      </c>
    </row>
    <row r="206" spans="1:30" ht="15" customHeight="1" x14ac:dyDescent="0.25">
      <c r="A206" s="3" t="s">
        <v>84</v>
      </c>
      <c r="B206" s="12">
        <v>2018</v>
      </c>
      <c r="C206" s="3" t="s">
        <v>102</v>
      </c>
      <c r="D206" s="12">
        <v>139.4</v>
      </c>
      <c r="E206" s="12">
        <v>147.19999999999999</v>
      </c>
      <c r="F206" s="12">
        <v>136.6</v>
      </c>
      <c r="G206" s="12">
        <v>143.69999999999999</v>
      </c>
      <c r="H206" s="12">
        <v>124.6</v>
      </c>
      <c r="I206" s="12">
        <v>150.1</v>
      </c>
      <c r="J206" s="12">
        <v>149.4</v>
      </c>
      <c r="K206" s="12">
        <v>125.4</v>
      </c>
      <c r="L206" s="12">
        <v>114.4</v>
      </c>
      <c r="M206" s="12">
        <v>138.69999999999999</v>
      </c>
      <c r="N206" s="12">
        <v>133.1</v>
      </c>
      <c r="O206" s="12">
        <v>155.9</v>
      </c>
      <c r="P206" s="12">
        <v>141.30000000000001</v>
      </c>
      <c r="Q206" s="12">
        <v>157.69999999999999</v>
      </c>
      <c r="R206" s="12">
        <v>152.1</v>
      </c>
      <c r="S206" s="12">
        <v>146.1</v>
      </c>
      <c r="T206" s="12">
        <v>151.30000000000001</v>
      </c>
      <c r="U206" s="13"/>
      <c r="V206" s="12">
        <v>149</v>
      </c>
      <c r="W206" s="12">
        <v>144</v>
      </c>
      <c r="X206" s="12">
        <v>140</v>
      </c>
      <c r="Y206" s="12">
        <v>129.9</v>
      </c>
      <c r="Z206" s="12">
        <v>140</v>
      </c>
      <c r="AA206" s="12">
        <v>147.6</v>
      </c>
      <c r="AB206" s="12">
        <v>132</v>
      </c>
      <c r="AC206" s="12">
        <v>137.4</v>
      </c>
      <c r="AD206" s="12">
        <v>142.1</v>
      </c>
    </row>
    <row r="207" spans="1:30" ht="15" customHeight="1" x14ac:dyDescent="0.2">
      <c r="A207" s="3" t="s">
        <v>87</v>
      </c>
      <c r="B207" s="12">
        <v>2018</v>
      </c>
      <c r="C207" s="3" t="s">
        <v>102</v>
      </c>
      <c r="D207" s="12">
        <v>137</v>
      </c>
      <c r="E207" s="12">
        <v>143.1</v>
      </c>
      <c r="F207" s="12">
        <v>132.80000000000001</v>
      </c>
      <c r="G207" s="12">
        <v>141.5</v>
      </c>
      <c r="H207" s="12">
        <v>117.8</v>
      </c>
      <c r="I207" s="12">
        <v>140</v>
      </c>
      <c r="J207" s="12">
        <v>151.30000000000001</v>
      </c>
      <c r="K207" s="12">
        <v>113.5</v>
      </c>
      <c r="L207" s="12">
        <v>112.3</v>
      </c>
      <c r="M207" s="12">
        <v>141.19999999999999</v>
      </c>
      <c r="N207" s="12">
        <v>127.7</v>
      </c>
      <c r="O207" s="12">
        <v>151.30000000000001</v>
      </c>
      <c r="P207" s="12">
        <v>138.9</v>
      </c>
      <c r="Q207" s="12">
        <v>163.30000000000001</v>
      </c>
      <c r="R207" s="12">
        <v>140.80000000000001</v>
      </c>
      <c r="S207" s="12">
        <v>129.30000000000001</v>
      </c>
      <c r="T207" s="12">
        <v>139.1</v>
      </c>
      <c r="U207" s="12">
        <v>145.30000000000001</v>
      </c>
      <c r="V207" s="12">
        <v>131.19999999999999</v>
      </c>
      <c r="W207" s="12">
        <v>134.9</v>
      </c>
      <c r="X207" s="12">
        <v>135.69999999999999</v>
      </c>
      <c r="Y207" s="12">
        <v>122.5</v>
      </c>
      <c r="Z207" s="12">
        <v>130.19999999999999</v>
      </c>
      <c r="AA207" s="12">
        <v>145.19999999999999</v>
      </c>
      <c r="AB207" s="12">
        <v>129.30000000000001</v>
      </c>
      <c r="AC207" s="12">
        <v>131.9</v>
      </c>
      <c r="AD207" s="12">
        <v>138.1</v>
      </c>
    </row>
    <row r="208" spans="1:30" ht="15" customHeight="1" x14ac:dyDescent="0.2">
      <c r="A208" s="3" t="s">
        <v>89</v>
      </c>
      <c r="B208" s="12">
        <v>2018</v>
      </c>
      <c r="C208" s="3" t="s">
        <v>102</v>
      </c>
      <c r="D208" s="12">
        <v>138.6</v>
      </c>
      <c r="E208" s="12">
        <v>145.80000000000001</v>
      </c>
      <c r="F208" s="12">
        <v>135.1</v>
      </c>
      <c r="G208" s="12">
        <v>142.9</v>
      </c>
      <c r="H208" s="12">
        <v>122.1</v>
      </c>
      <c r="I208" s="12">
        <v>145.4</v>
      </c>
      <c r="J208" s="12">
        <v>150</v>
      </c>
      <c r="K208" s="12">
        <v>121.4</v>
      </c>
      <c r="L208" s="12">
        <v>113.7</v>
      </c>
      <c r="M208" s="12">
        <v>139.5</v>
      </c>
      <c r="N208" s="12">
        <v>130.80000000000001</v>
      </c>
      <c r="O208" s="12">
        <v>153.80000000000001</v>
      </c>
      <c r="P208" s="12">
        <v>140.4</v>
      </c>
      <c r="Q208" s="12">
        <v>159.19999999999999</v>
      </c>
      <c r="R208" s="12">
        <v>147.69999999999999</v>
      </c>
      <c r="S208" s="12">
        <v>139.1</v>
      </c>
      <c r="T208" s="12">
        <v>146.5</v>
      </c>
      <c r="U208" s="12">
        <v>145.30000000000001</v>
      </c>
      <c r="V208" s="12">
        <v>142.30000000000001</v>
      </c>
      <c r="W208" s="12">
        <v>139.69999999999999</v>
      </c>
      <c r="X208" s="12">
        <v>138.4</v>
      </c>
      <c r="Y208" s="12">
        <v>126</v>
      </c>
      <c r="Z208" s="12">
        <v>134.5</v>
      </c>
      <c r="AA208" s="12">
        <v>146.19999999999999</v>
      </c>
      <c r="AB208" s="12">
        <v>130.9</v>
      </c>
      <c r="AC208" s="12">
        <v>134.69999999999999</v>
      </c>
      <c r="AD208" s="12">
        <v>140.19999999999999</v>
      </c>
    </row>
    <row r="209" spans="1:30" ht="15" customHeight="1" x14ac:dyDescent="0.25">
      <c r="A209" s="3" t="s">
        <v>84</v>
      </c>
      <c r="B209" s="12">
        <v>2018</v>
      </c>
      <c r="C209" s="3" t="s">
        <v>104</v>
      </c>
      <c r="D209" s="12">
        <v>139.30000000000001</v>
      </c>
      <c r="E209" s="12">
        <v>147.6</v>
      </c>
      <c r="F209" s="12">
        <v>134.6</v>
      </c>
      <c r="G209" s="12">
        <v>141.9</v>
      </c>
      <c r="H209" s="12">
        <v>123.5</v>
      </c>
      <c r="I209" s="12">
        <v>144.5</v>
      </c>
      <c r="J209" s="12">
        <v>147.6</v>
      </c>
      <c r="K209" s="12">
        <v>121.4</v>
      </c>
      <c r="L209" s="12">
        <v>112.3</v>
      </c>
      <c r="M209" s="12">
        <v>139.5</v>
      </c>
      <c r="N209" s="12">
        <v>134.6</v>
      </c>
      <c r="O209" s="12">
        <v>155.19999999999999</v>
      </c>
      <c r="P209" s="12">
        <v>140.19999999999999</v>
      </c>
      <c r="Q209" s="12">
        <v>159.6</v>
      </c>
      <c r="R209" s="12">
        <v>150.69999999999999</v>
      </c>
      <c r="S209" s="12">
        <v>144.5</v>
      </c>
      <c r="T209" s="12">
        <v>149.80000000000001</v>
      </c>
      <c r="U209" s="13"/>
      <c r="V209" s="12">
        <v>149.69999999999999</v>
      </c>
      <c r="W209" s="12">
        <v>147.5</v>
      </c>
      <c r="X209" s="12">
        <v>144.80000000000001</v>
      </c>
      <c r="Y209" s="12">
        <v>130.80000000000001</v>
      </c>
      <c r="Z209" s="12">
        <v>140.1</v>
      </c>
      <c r="AA209" s="12">
        <v>148</v>
      </c>
      <c r="AB209" s="12">
        <v>134.4</v>
      </c>
      <c r="AC209" s="12">
        <v>139.80000000000001</v>
      </c>
      <c r="AD209" s="12">
        <v>142.19999999999999</v>
      </c>
    </row>
    <row r="210" spans="1:30" ht="15" customHeight="1" x14ac:dyDescent="0.2">
      <c r="A210" s="3" t="s">
        <v>87</v>
      </c>
      <c r="B210" s="12">
        <v>2018</v>
      </c>
      <c r="C210" s="3" t="s">
        <v>104</v>
      </c>
      <c r="D210" s="12">
        <v>137.6</v>
      </c>
      <c r="E210" s="12">
        <v>144.9</v>
      </c>
      <c r="F210" s="12">
        <v>133.5</v>
      </c>
      <c r="G210" s="12">
        <v>141.5</v>
      </c>
      <c r="H210" s="12">
        <v>118</v>
      </c>
      <c r="I210" s="12">
        <v>139.5</v>
      </c>
      <c r="J210" s="12">
        <v>153</v>
      </c>
      <c r="K210" s="12">
        <v>113.2</v>
      </c>
      <c r="L210" s="12">
        <v>112.8</v>
      </c>
      <c r="M210" s="12">
        <v>141.1</v>
      </c>
      <c r="N210" s="12">
        <v>127.6</v>
      </c>
      <c r="O210" s="12">
        <v>152</v>
      </c>
      <c r="P210" s="12">
        <v>139.4</v>
      </c>
      <c r="Q210" s="12">
        <v>164</v>
      </c>
      <c r="R210" s="12">
        <v>141.5</v>
      </c>
      <c r="S210" s="12">
        <v>129.80000000000001</v>
      </c>
      <c r="T210" s="12">
        <v>139.69999999999999</v>
      </c>
      <c r="U210" s="12">
        <v>146.30000000000001</v>
      </c>
      <c r="V210" s="12">
        <v>133.4</v>
      </c>
      <c r="W210" s="12">
        <v>135.1</v>
      </c>
      <c r="X210" s="12">
        <v>136.19999999999999</v>
      </c>
      <c r="Y210" s="12">
        <v>123.3</v>
      </c>
      <c r="Z210" s="12">
        <v>130.69999999999999</v>
      </c>
      <c r="AA210" s="12">
        <v>145.5</v>
      </c>
      <c r="AB210" s="12">
        <v>130.4</v>
      </c>
      <c r="AC210" s="12">
        <v>132.5</v>
      </c>
      <c r="AD210" s="12">
        <v>138.9</v>
      </c>
    </row>
    <row r="211" spans="1:30" ht="15" customHeight="1" x14ac:dyDescent="0.2">
      <c r="A211" s="3" t="s">
        <v>89</v>
      </c>
      <c r="B211" s="12">
        <v>2018</v>
      </c>
      <c r="C211" s="3" t="s">
        <v>104</v>
      </c>
      <c r="D211" s="12">
        <v>137.4</v>
      </c>
      <c r="E211" s="12">
        <v>149.5</v>
      </c>
      <c r="F211" s="12">
        <v>137.30000000000001</v>
      </c>
      <c r="G211" s="12">
        <v>141.9</v>
      </c>
      <c r="H211" s="12">
        <v>121.1</v>
      </c>
      <c r="I211" s="12">
        <v>142.5</v>
      </c>
      <c r="J211" s="12">
        <v>146.69999999999999</v>
      </c>
      <c r="K211" s="12">
        <v>119.1</v>
      </c>
      <c r="L211" s="12">
        <v>111.9</v>
      </c>
      <c r="M211" s="12">
        <v>141</v>
      </c>
      <c r="N211" s="12">
        <v>133.6</v>
      </c>
      <c r="O211" s="12">
        <v>154.5</v>
      </c>
      <c r="P211" s="12">
        <v>139.69999999999999</v>
      </c>
      <c r="Q211" s="12">
        <v>162.6</v>
      </c>
      <c r="R211" s="12">
        <v>148</v>
      </c>
      <c r="S211" s="12">
        <v>139.19999999999999</v>
      </c>
      <c r="T211" s="12">
        <v>146.80000000000001</v>
      </c>
      <c r="U211" s="12">
        <v>146.9</v>
      </c>
      <c r="V211" s="12">
        <v>145.30000000000001</v>
      </c>
      <c r="W211" s="12">
        <v>142.19999999999999</v>
      </c>
      <c r="X211" s="12">
        <v>142.1</v>
      </c>
      <c r="Y211" s="12">
        <v>125.5</v>
      </c>
      <c r="Z211" s="12">
        <v>136.5</v>
      </c>
      <c r="AA211" s="12">
        <v>147.80000000000001</v>
      </c>
      <c r="AB211" s="12">
        <v>132</v>
      </c>
      <c r="AC211" s="12">
        <v>136.30000000000001</v>
      </c>
      <c r="AD211" s="12">
        <v>140.80000000000001</v>
      </c>
    </row>
    <row r="212" spans="1:30" ht="15" customHeight="1" x14ac:dyDescent="0.25">
      <c r="A212" s="3" t="s">
        <v>84</v>
      </c>
      <c r="B212" s="12">
        <v>2018</v>
      </c>
      <c r="C212" s="3" t="s">
        <v>107</v>
      </c>
      <c r="D212" s="12">
        <v>137.1</v>
      </c>
      <c r="E212" s="12">
        <v>150.80000000000001</v>
      </c>
      <c r="F212" s="12">
        <v>136.69999999999999</v>
      </c>
      <c r="G212" s="12">
        <v>141.9</v>
      </c>
      <c r="H212" s="12">
        <v>122.8</v>
      </c>
      <c r="I212" s="12">
        <v>143.9</v>
      </c>
      <c r="J212" s="12">
        <v>147.5</v>
      </c>
      <c r="K212" s="12">
        <v>121</v>
      </c>
      <c r="L212" s="12">
        <v>111.6</v>
      </c>
      <c r="M212" s="12">
        <v>140.6</v>
      </c>
      <c r="N212" s="12">
        <v>137.5</v>
      </c>
      <c r="O212" s="12">
        <v>156.1</v>
      </c>
      <c r="P212" s="12">
        <v>140</v>
      </c>
      <c r="Q212" s="12">
        <v>161.9</v>
      </c>
      <c r="R212" s="12">
        <v>151.69999999999999</v>
      </c>
      <c r="S212" s="12">
        <v>145.5</v>
      </c>
      <c r="T212" s="12">
        <v>150.80000000000001</v>
      </c>
      <c r="U212" s="13"/>
      <c r="V212" s="12">
        <v>150.30000000000001</v>
      </c>
      <c r="W212" s="12">
        <v>148</v>
      </c>
      <c r="X212" s="12">
        <v>145.4</v>
      </c>
      <c r="Y212" s="12">
        <v>130.30000000000001</v>
      </c>
      <c r="Z212" s="12">
        <v>143.1</v>
      </c>
      <c r="AA212" s="12">
        <v>150.19999999999999</v>
      </c>
      <c r="AB212" s="12">
        <v>133.1</v>
      </c>
      <c r="AC212" s="12">
        <v>140.1</v>
      </c>
      <c r="AD212" s="12">
        <v>142.4</v>
      </c>
    </row>
    <row r="213" spans="1:30" ht="15" customHeight="1" x14ac:dyDescent="0.2">
      <c r="A213" s="3" t="s">
        <v>87</v>
      </c>
      <c r="B213" s="12">
        <v>2018</v>
      </c>
      <c r="C213" s="3" t="s">
        <v>107</v>
      </c>
      <c r="D213" s="12">
        <v>138.1</v>
      </c>
      <c r="E213" s="12">
        <v>146.30000000000001</v>
      </c>
      <c r="F213" s="12">
        <v>137.80000000000001</v>
      </c>
      <c r="G213" s="12">
        <v>141.6</v>
      </c>
      <c r="H213" s="12">
        <v>118.1</v>
      </c>
      <c r="I213" s="12">
        <v>141.5</v>
      </c>
      <c r="J213" s="12">
        <v>145.19999999999999</v>
      </c>
      <c r="K213" s="12">
        <v>115.3</v>
      </c>
      <c r="L213" s="12">
        <v>112.5</v>
      </c>
      <c r="M213" s="12">
        <v>141.4</v>
      </c>
      <c r="N213" s="12">
        <v>128</v>
      </c>
      <c r="O213" s="12">
        <v>152.6</v>
      </c>
      <c r="P213" s="12">
        <v>139.1</v>
      </c>
      <c r="Q213" s="12">
        <v>164.4</v>
      </c>
      <c r="R213" s="12">
        <v>142.4</v>
      </c>
      <c r="S213" s="12">
        <v>130.19999999999999</v>
      </c>
      <c r="T213" s="12">
        <v>140.5</v>
      </c>
      <c r="U213" s="12">
        <v>146.9</v>
      </c>
      <c r="V213" s="12">
        <v>136.69999999999999</v>
      </c>
      <c r="W213" s="12">
        <v>135.80000000000001</v>
      </c>
      <c r="X213" s="12">
        <v>136.80000000000001</v>
      </c>
      <c r="Y213" s="12">
        <v>121.2</v>
      </c>
      <c r="Z213" s="12">
        <v>131.30000000000001</v>
      </c>
      <c r="AA213" s="12">
        <v>146.1</v>
      </c>
      <c r="AB213" s="12">
        <v>130.5</v>
      </c>
      <c r="AC213" s="12">
        <v>132.19999999999999</v>
      </c>
      <c r="AD213" s="12">
        <v>139</v>
      </c>
    </row>
    <row r="214" spans="1:30" ht="15" customHeight="1" x14ac:dyDescent="0.2">
      <c r="A214" s="3" t="s">
        <v>89</v>
      </c>
      <c r="B214" s="12">
        <v>2018</v>
      </c>
      <c r="C214" s="3" t="s">
        <v>107</v>
      </c>
      <c r="D214" s="12">
        <v>137.4</v>
      </c>
      <c r="E214" s="12">
        <v>149.19999999999999</v>
      </c>
      <c r="F214" s="12">
        <v>137.1</v>
      </c>
      <c r="G214" s="12">
        <v>141.80000000000001</v>
      </c>
      <c r="H214" s="12">
        <v>121.1</v>
      </c>
      <c r="I214" s="12">
        <v>142.80000000000001</v>
      </c>
      <c r="J214" s="12">
        <v>146.69999999999999</v>
      </c>
      <c r="K214" s="12">
        <v>119.1</v>
      </c>
      <c r="L214" s="12">
        <v>111.9</v>
      </c>
      <c r="M214" s="12">
        <v>140.9</v>
      </c>
      <c r="N214" s="12">
        <v>133.5</v>
      </c>
      <c r="O214" s="12">
        <v>154.5</v>
      </c>
      <c r="P214" s="12">
        <v>139.69999999999999</v>
      </c>
      <c r="Q214" s="12">
        <v>162.6</v>
      </c>
      <c r="R214" s="12">
        <v>148</v>
      </c>
      <c r="S214" s="12">
        <v>139.1</v>
      </c>
      <c r="T214" s="12">
        <v>146.69999999999999</v>
      </c>
      <c r="U214" s="12">
        <v>146.9</v>
      </c>
      <c r="V214" s="12">
        <v>145.1</v>
      </c>
      <c r="W214" s="12">
        <v>142.19999999999999</v>
      </c>
      <c r="X214" s="12">
        <v>142.1</v>
      </c>
      <c r="Y214" s="12">
        <v>125.5</v>
      </c>
      <c r="Z214" s="12">
        <v>136.5</v>
      </c>
      <c r="AA214" s="12">
        <v>147.80000000000001</v>
      </c>
      <c r="AB214" s="12">
        <v>132</v>
      </c>
      <c r="AC214" s="12">
        <v>136.30000000000001</v>
      </c>
      <c r="AD214" s="12">
        <v>140.80000000000001</v>
      </c>
    </row>
    <row r="215" spans="1:30" ht="15" customHeight="1" x14ac:dyDescent="0.25">
      <c r="A215" s="3" t="s">
        <v>84</v>
      </c>
      <c r="B215" s="12">
        <v>2018</v>
      </c>
      <c r="C215" s="3" t="s">
        <v>109</v>
      </c>
      <c r="D215" s="12">
        <v>137.1</v>
      </c>
      <c r="E215" s="12">
        <v>151.9</v>
      </c>
      <c r="F215" s="12">
        <v>137.4</v>
      </c>
      <c r="G215" s="12">
        <v>142.4</v>
      </c>
      <c r="H215" s="12">
        <v>124.2</v>
      </c>
      <c r="I215" s="12">
        <v>140.19999999999999</v>
      </c>
      <c r="J215" s="12">
        <v>136.6</v>
      </c>
      <c r="K215" s="12">
        <v>120.9</v>
      </c>
      <c r="L215" s="12">
        <v>109.9</v>
      </c>
      <c r="M215" s="12">
        <v>140.19999999999999</v>
      </c>
      <c r="N215" s="12">
        <v>137.80000000000001</v>
      </c>
      <c r="O215" s="12">
        <v>156</v>
      </c>
      <c r="P215" s="12">
        <v>138.5</v>
      </c>
      <c r="Q215" s="12">
        <v>162.4</v>
      </c>
      <c r="R215" s="12">
        <v>151.6</v>
      </c>
      <c r="S215" s="12">
        <v>145.9</v>
      </c>
      <c r="T215" s="12">
        <v>150.80000000000001</v>
      </c>
      <c r="U215" s="13"/>
      <c r="V215" s="12">
        <v>149</v>
      </c>
      <c r="W215" s="12">
        <v>149.5</v>
      </c>
      <c r="X215" s="12">
        <v>149.6</v>
      </c>
      <c r="Y215" s="12">
        <v>128.9</v>
      </c>
      <c r="Z215" s="12">
        <v>143.30000000000001</v>
      </c>
      <c r="AA215" s="12">
        <v>155.1</v>
      </c>
      <c r="AB215" s="12">
        <v>133.19999999999999</v>
      </c>
      <c r="AC215" s="12">
        <v>141.6</v>
      </c>
      <c r="AD215" s="12">
        <v>141.9</v>
      </c>
    </row>
    <row r="216" spans="1:30" ht="15" customHeight="1" x14ac:dyDescent="0.2">
      <c r="A216" s="3" t="s">
        <v>87</v>
      </c>
      <c r="B216" s="12">
        <v>2018</v>
      </c>
      <c r="C216" s="3" t="s">
        <v>109</v>
      </c>
      <c r="D216" s="12">
        <v>138.5</v>
      </c>
      <c r="E216" s="12">
        <v>147.80000000000001</v>
      </c>
      <c r="F216" s="12">
        <v>141.1</v>
      </c>
      <c r="G216" s="12">
        <v>141.6</v>
      </c>
      <c r="H216" s="12">
        <v>118.1</v>
      </c>
      <c r="I216" s="12">
        <v>138.5</v>
      </c>
      <c r="J216" s="12">
        <v>132.4</v>
      </c>
      <c r="K216" s="12">
        <v>117.5</v>
      </c>
      <c r="L216" s="12">
        <v>111</v>
      </c>
      <c r="M216" s="12">
        <v>141.5</v>
      </c>
      <c r="N216" s="12">
        <v>128.1</v>
      </c>
      <c r="O216" s="12">
        <v>152.9</v>
      </c>
      <c r="P216" s="12">
        <v>137.6</v>
      </c>
      <c r="Q216" s="12">
        <v>164.6</v>
      </c>
      <c r="R216" s="12">
        <v>142.69999999999999</v>
      </c>
      <c r="S216" s="12">
        <v>130.30000000000001</v>
      </c>
      <c r="T216" s="12">
        <v>140.80000000000001</v>
      </c>
      <c r="U216" s="12">
        <v>146.5</v>
      </c>
      <c r="V216" s="12">
        <v>132.4</v>
      </c>
      <c r="W216" s="12">
        <v>136.19999999999999</v>
      </c>
      <c r="X216" s="12">
        <v>137.30000000000001</v>
      </c>
      <c r="Y216" s="12">
        <v>118.8</v>
      </c>
      <c r="Z216" s="12">
        <v>131.69999999999999</v>
      </c>
      <c r="AA216" s="12">
        <v>146.5</v>
      </c>
      <c r="AB216" s="12">
        <v>130.80000000000001</v>
      </c>
      <c r="AC216" s="12">
        <v>131.69999999999999</v>
      </c>
      <c r="AD216" s="12">
        <v>138</v>
      </c>
    </row>
    <row r="217" spans="1:30" ht="15" customHeight="1" x14ac:dyDescent="0.2">
      <c r="A217" s="3" t="s">
        <v>89</v>
      </c>
      <c r="B217" s="12">
        <v>2018</v>
      </c>
      <c r="C217" s="3" t="s">
        <v>109</v>
      </c>
      <c r="D217" s="12">
        <v>137.5</v>
      </c>
      <c r="E217" s="12">
        <v>150.5</v>
      </c>
      <c r="F217" s="12">
        <v>138.80000000000001</v>
      </c>
      <c r="G217" s="12">
        <v>142.1</v>
      </c>
      <c r="H217" s="12">
        <v>122</v>
      </c>
      <c r="I217" s="12">
        <v>139.4</v>
      </c>
      <c r="J217" s="12">
        <v>135.19999999999999</v>
      </c>
      <c r="K217" s="12">
        <v>119.8</v>
      </c>
      <c r="L217" s="12">
        <v>110.3</v>
      </c>
      <c r="M217" s="12">
        <v>140.6</v>
      </c>
      <c r="N217" s="12">
        <v>133.80000000000001</v>
      </c>
      <c r="O217" s="12">
        <v>154.6</v>
      </c>
      <c r="P217" s="12">
        <v>138.19999999999999</v>
      </c>
      <c r="Q217" s="12">
        <v>163</v>
      </c>
      <c r="R217" s="12">
        <v>148.1</v>
      </c>
      <c r="S217" s="12">
        <v>139.4</v>
      </c>
      <c r="T217" s="12">
        <v>146.80000000000001</v>
      </c>
      <c r="U217" s="12">
        <v>146.5</v>
      </c>
      <c r="V217" s="12">
        <v>142.69999999999999</v>
      </c>
      <c r="W217" s="12">
        <v>143.19999999999999</v>
      </c>
      <c r="X217" s="12">
        <v>144.9</v>
      </c>
      <c r="Y217" s="12">
        <v>123.6</v>
      </c>
      <c r="Z217" s="12">
        <v>136.80000000000001</v>
      </c>
      <c r="AA217" s="12">
        <v>150.1</v>
      </c>
      <c r="AB217" s="12">
        <v>132.19999999999999</v>
      </c>
      <c r="AC217" s="12">
        <v>136.80000000000001</v>
      </c>
      <c r="AD217" s="12">
        <v>140.1</v>
      </c>
    </row>
    <row r="218" spans="1:30" ht="15" customHeight="1" x14ac:dyDescent="0.25">
      <c r="A218" s="3" t="s">
        <v>84</v>
      </c>
      <c r="B218" s="12">
        <v>2019</v>
      </c>
      <c r="C218" s="3" t="s">
        <v>85</v>
      </c>
      <c r="D218" s="12">
        <v>136.6</v>
      </c>
      <c r="E218" s="12">
        <v>152.5</v>
      </c>
      <c r="F218" s="12">
        <v>138.19999999999999</v>
      </c>
      <c r="G218" s="12">
        <v>142.4</v>
      </c>
      <c r="H218" s="12">
        <v>123.9</v>
      </c>
      <c r="I218" s="12">
        <v>135.5</v>
      </c>
      <c r="J218" s="12">
        <v>131.69999999999999</v>
      </c>
      <c r="K218" s="12">
        <v>121.3</v>
      </c>
      <c r="L218" s="12">
        <v>108.4</v>
      </c>
      <c r="M218" s="12">
        <v>138.9</v>
      </c>
      <c r="N218" s="12">
        <v>137</v>
      </c>
      <c r="O218" s="12">
        <v>155.80000000000001</v>
      </c>
      <c r="P218" s="12">
        <v>137.4</v>
      </c>
      <c r="Q218" s="12">
        <v>162.69999999999999</v>
      </c>
      <c r="R218" s="12">
        <v>150.6</v>
      </c>
      <c r="S218" s="12">
        <v>145.1</v>
      </c>
      <c r="T218" s="12">
        <v>149.9</v>
      </c>
      <c r="U218" s="13"/>
      <c r="V218" s="12">
        <v>146.19999999999999</v>
      </c>
      <c r="W218" s="12">
        <v>150.1</v>
      </c>
      <c r="X218" s="12">
        <v>149.6</v>
      </c>
      <c r="Y218" s="12">
        <v>128.6</v>
      </c>
      <c r="Z218" s="12">
        <v>142.9</v>
      </c>
      <c r="AA218" s="12">
        <v>155.19999999999999</v>
      </c>
      <c r="AB218" s="12">
        <v>133.5</v>
      </c>
      <c r="AC218" s="12">
        <v>141.69999999999999</v>
      </c>
      <c r="AD218" s="12">
        <v>141</v>
      </c>
    </row>
    <row r="219" spans="1:30" ht="15" customHeight="1" x14ac:dyDescent="0.2">
      <c r="A219" s="3" t="s">
        <v>87</v>
      </c>
      <c r="B219" s="12">
        <v>2019</v>
      </c>
      <c r="C219" s="3" t="s">
        <v>85</v>
      </c>
      <c r="D219" s="12">
        <v>138.30000000000001</v>
      </c>
      <c r="E219" s="12">
        <v>149.4</v>
      </c>
      <c r="F219" s="12">
        <v>143.5</v>
      </c>
      <c r="G219" s="12">
        <v>141.69999999999999</v>
      </c>
      <c r="H219" s="12">
        <v>118.1</v>
      </c>
      <c r="I219" s="12">
        <v>135.19999999999999</v>
      </c>
      <c r="J219" s="12">
        <v>130.5</v>
      </c>
      <c r="K219" s="12">
        <v>118.2</v>
      </c>
      <c r="L219" s="12">
        <v>110.4</v>
      </c>
      <c r="M219" s="12">
        <v>140.4</v>
      </c>
      <c r="N219" s="12">
        <v>128.1</v>
      </c>
      <c r="O219" s="12">
        <v>153.19999999999999</v>
      </c>
      <c r="P219" s="12">
        <v>137.30000000000001</v>
      </c>
      <c r="Q219" s="12">
        <v>164.7</v>
      </c>
      <c r="R219" s="12">
        <v>143</v>
      </c>
      <c r="S219" s="12">
        <v>130.4</v>
      </c>
      <c r="T219" s="12">
        <v>141.1</v>
      </c>
      <c r="U219" s="12">
        <v>147.69999999999999</v>
      </c>
      <c r="V219" s="12">
        <v>128.6</v>
      </c>
      <c r="W219" s="12">
        <v>136.30000000000001</v>
      </c>
      <c r="X219" s="12">
        <v>137.80000000000001</v>
      </c>
      <c r="Y219" s="12">
        <v>118.6</v>
      </c>
      <c r="Z219" s="12">
        <v>131.9</v>
      </c>
      <c r="AA219" s="12">
        <v>146.6</v>
      </c>
      <c r="AB219" s="12">
        <v>131.69999999999999</v>
      </c>
      <c r="AC219" s="12">
        <v>131.80000000000001</v>
      </c>
      <c r="AD219" s="12">
        <v>138</v>
      </c>
    </row>
    <row r="220" spans="1:30" ht="15" customHeight="1" x14ac:dyDescent="0.2">
      <c r="A220" s="3" t="s">
        <v>89</v>
      </c>
      <c r="B220" s="12">
        <v>2019</v>
      </c>
      <c r="C220" s="3" t="s">
        <v>85</v>
      </c>
      <c r="D220" s="12">
        <v>137.1</v>
      </c>
      <c r="E220" s="12">
        <v>151.4</v>
      </c>
      <c r="F220" s="12">
        <v>140.19999999999999</v>
      </c>
      <c r="G220" s="12">
        <v>142.1</v>
      </c>
      <c r="H220" s="12">
        <v>121.8</v>
      </c>
      <c r="I220" s="12">
        <v>135.4</v>
      </c>
      <c r="J220" s="12">
        <v>131.30000000000001</v>
      </c>
      <c r="K220" s="12">
        <v>120.3</v>
      </c>
      <c r="L220" s="12">
        <v>109.1</v>
      </c>
      <c r="M220" s="12">
        <v>139.4</v>
      </c>
      <c r="N220" s="12">
        <v>133.30000000000001</v>
      </c>
      <c r="O220" s="12">
        <v>154.6</v>
      </c>
      <c r="P220" s="12">
        <v>137.4</v>
      </c>
      <c r="Q220" s="12">
        <v>163.19999999999999</v>
      </c>
      <c r="R220" s="12">
        <v>147.6</v>
      </c>
      <c r="S220" s="12">
        <v>139</v>
      </c>
      <c r="T220" s="12">
        <v>146.4</v>
      </c>
      <c r="U220" s="12">
        <v>147.69999999999999</v>
      </c>
      <c r="V220" s="12">
        <v>139.5</v>
      </c>
      <c r="W220" s="12">
        <v>143.6</v>
      </c>
      <c r="X220" s="12">
        <v>145.1</v>
      </c>
      <c r="Y220" s="12">
        <v>123.3</v>
      </c>
      <c r="Z220" s="12">
        <v>136.69999999999999</v>
      </c>
      <c r="AA220" s="12">
        <v>150.19999999999999</v>
      </c>
      <c r="AB220" s="12">
        <v>132.80000000000001</v>
      </c>
      <c r="AC220" s="12">
        <v>136.9</v>
      </c>
      <c r="AD220" s="12">
        <v>139.6</v>
      </c>
    </row>
    <row r="221" spans="1:30" ht="15" customHeight="1" x14ac:dyDescent="0.25">
      <c r="A221" s="3" t="s">
        <v>84</v>
      </c>
      <c r="B221" s="12">
        <v>2019</v>
      </c>
      <c r="C221" s="3" t="s">
        <v>90</v>
      </c>
      <c r="D221" s="12">
        <v>136.80000000000001</v>
      </c>
      <c r="E221" s="12">
        <v>153</v>
      </c>
      <c r="F221" s="12">
        <v>139.1</v>
      </c>
      <c r="G221" s="12">
        <v>142.5</v>
      </c>
      <c r="H221" s="12">
        <v>124.1</v>
      </c>
      <c r="I221" s="12">
        <v>135.80000000000001</v>
      </c>
      <c r="J221" s="12">
        <v>128.69999999999999</v>
      </c>
      <c r="K221" s="12">
        <v>121.5</v>
      </c>
      <c r="L221" s="12">
        <v>108.3</v>
      </c>
      <c r="M221" s="12">
        <v>139.19999999999999</v>
      </c>
      <c r="N221" s="12">
        <v>137.4</v>
      </c>
      <c r="O221" s="12">
        <v>156.19999999999999</v>
      </c>
      <c r="P221" s="12">
        <v>137.19999999999999</v>
      </c>
      <c r="Q221" s="12">
        <v>162.80000000000001</v>
      </c>
      <c r="R221" s="12">
        <v>150.5</v>
      </c>
      <c r="S221" s="12">
        <v>146.1</v>
      </c>
      <c r="T221" s="12">
        <v>149.9</v>
      </c>
      <c r="U221" s="13"/>
      <c r="V221" s="12">
        <v>145.30000000000001</v>
      </c>
      <c r="W221" s="12">
        <v>150.1</v>
      </c>
      <c r="X221" s="12">
        <v>149.9</v>
      </c>
      <c r="Y221" s="12">
        <v>129.19999999999999</v>
      </c>
      <c r="Z221" s="12">
        <v>143.4</v>
      </c>
      <c r="AA221" s="12">
        <v>155.5</v>
      </c>
      <c r="AB221" s="12">
        <v>134.9</v>
      </c>
      <c r="AC221" s="12">
        <v>142.19999999999999</v>
      </c>
      <c r="AD221" s="12">
        <v>141</v>
      </c>
    </row>
    <row r="222" spans="1:30" ht="15" customHeight="1" x14ac:dyDescent="0.2">
      <c r="A222" s="3" t="s">
        <v>87</v>
      </c>
      <c r="B222" s="12">
        <v>2019</v>
      </c>
      <c r="C222" s="3" t="s">
        <v>90</v>
      </c>
      <c r="D222" s="12">
        <v>139.4</v>
      </c>
      <c r="E222" s="12">
        <v>150.1</v>
      </c>
      <c r="F222" s="12">
        <v>145.30000000000001</v>
      </c>
      <c r="G222" s="12">
        <v>141.69999999999999</v>
      </c>
      <c r="H222" s="12">
        <v>118.4</v>
      </c>
      <c r="I222" s="12">
        <v>137</v>
      </c>
      <c r="J222" s="12">
        <v>131.6</v>
      </c>
      <c r="K222" s="12">
        <v>119.9</v>
      </c>
      <c r="L222" s="12">
        <v>110.4</v>
      </c>
      <c r="M222" s="12">
        <v>140.80000000000001</v>
      </c>
      <c r="N222" s="12">
        <v>128.30000000000001</v>
      </c>
      <c r="O222" s="12">
        <v>153.5</v>
      </c>
      <c r="P222" s="12">
        <v>138</v>
      </c>
      <c r="Q222" s="12">
        <v>164.9</v>
      </c>
      <c r="R222" s="12">
        <v>143.30000000000001</v>
      </c>
      <c r="S222" s="12">
        <v>130.80000000000001</v>
      </c>
      <c r="T222" s="12">
        <v>141.4</v>
      </c>
      <c r="U222" s="12">
        <v>148.5</v>
      </c>
      <c r="V222" s="12">
        <v>127.1</v>
      </c>
      <c r="W222" s="12">
        <v>136.6</v>
      </c>
      <c r="X222" s="12">
        <v>138.5</v>
      </c>
      <c r="Y222" s="12">
        <v>119.2</v>
      </c>
      <c r="Z222" s="12">
        <v>132.19999999999999</v>
      </c>
      <c r="AA222" s="12">
        <v>146.6</v>
      </c>
      <c r="AB222" s="12">
        <v>133</v>
      </c>
      <c r="AC222" s="12">
        <v>132.4</v>
      </c>
      <c r="AD222" s="12">
        <v>138.6</v>
      </c>
    </row>
    <row r="223" spans="1:30" ht="15" customHeight="1" x14ac:dyDescent="0.2">
      <c r="A223" s="3" t="s">
        <v>89</v>
      </c>
      <c r="B223" s="12">
        <v>2019</v>
      </c>
      <c r="C223" s="3" t="s">
        <v>90</v>
      </c>
      <c r="D223" s="12">
        <v>137.6</v>
      </c>
      <c r="E223" s="12">
        <v>152</v>
      </c>
      <c r="F223" s="12">
        <v>141.5</v>
      </c>
      <c r="G223" s="12">
        <v>142.19999999999999</v>
      </c>
      <c r="H223" s="12">
        <v>122</v>
      </c>
      <c r="I223" s="12">
        <v>136.4</v>
      </c>
      <c r="J223" s="12">
        <v>129.69999999999999</v>
      </c>
      <c r="K223" s="12">
        <v>121</v>
      </c>
      <c r="L223" s="12">
        <v>109</v>
      </c>
      <c r="M223" s="12">
        <v>139.69999999999999</v>
      </c>
      <c r="N223" s="12">
        <v>133.6</v>
      </c>
      <c r="O223" s="12">
        <v>154.9</v>
      </c>
      <c r="P223" s="12">
        <v>137.5</v>
      </c>
      <c r="Q223" s="12">
        <v>163.4</v>
      </c>
      <c r="R223" s="12">
        <v>147.69999999999999</v>
      </c>
      <c r="S223" s="12">
        <v>139.69999999999999</v>
      </c>
      <c r="T223" s="12">
        <v>146.5</v>
      </c>
      <c r="U223" s="12">
        <v>148.5</v>
      </c>
      <c r="V223" s="12">
        <v>138.4</v>
      </c>
      <c r="W223" s="12">
        <v>143.69999999999999</v>
      </c>
      <c r="X223" s="12">
        <v>145.6</v>
      </c>
      <c r="Y223" s="12">
        <v>123.9</v>
      </c>
      <c r="Z223" s="12">
        <v>137.1</v>
      </c>
      <c r="AA223" s="12">
        <v>150.30000000000001</v>
      </c>
      <c r="AB223" s="12">
        <v>134.1</v>
      </c>
      <c r="AC223" s="12">
        <v>137.4</v>
      </c>
      <c r="AD223" s="12">
        <v>139.9</v>
      </c>
    </row>
    <row r="224" spans="1:30" ht="15" customHeight="1" x14ac:dyDescent="0.25">
      <c r="A224" s="3" t="s">
        <v>84</v>
      </c>
      <c r="B224" s="12">
        <v>2019</v>
      </c>
      <c r="C224" s="3" t="s">
        <v>92</v>
      </c>
      <c r="D224" s="12">
        <v>136.9</v>
      </c>
      <c r="E224" s="12">
        <v>154.1</v>
      </c>
      <c r="F224" s="12">
        <v>138.69999999999999</v>
      </c>
      <c r="G224" s="12">
        <v>142.5</v>
      </c>
      <c r="H224" s="12">
        <v>124.1</v>
      </c>
      <c r="I224" s="12">
        <v>136.1</v>
      </c>
      <c r="J224" s="12">
        <v>128.19999999999999</v>
      </c>
      <c r="K224" s="12">
        <v>122.3</v>
      </c>
      <c r="L224" s="12">
        <v>108.3</v>
      </c>
      <c r="M224" s="12">
        <v>138.9</v>
      </c>
      <c r="N224" s="12">
        <v>137.4</v>
      </c>
      <c r="O224" s="12">
        <v>156.4</v>
      </c>
      <c r="P224" s="12">
        <v>137.30000000000001</v>
      </c>
      <c r="Q224" s="12">
        <v>162.9</v>
      </c>
      <c r="R224" s="12">
        <v>150.80000000000001</v>
      </c>
      <c r="S224" s="12">
        <v>146.1</v>
      </c>
      <c r="T224" s="12">
        <v>150.1</v>
      </c>
      <c r="U224" s="13"/>
      <c r="V224" s="12">
        <v>146.4</v>
      </c>
      <c r="W224" s="12">
        <v>150</v>
      </c>
      <c r="X224" s="12">
        <v>150.4</v>
      </c>
      <c r="Y224" s="12">
        <v>129.9</v>
      </c>
      <c r="Z224" s="12">
        <v>143.80000000000001</v>
      </c>
      <c r="AA224" s="12">
        <v>155.5</v>
      </c>
      <c r="AB224" s="12">
        <v>134</v>
      </c>
      <c r="AC224" s="12">
        <v>142.4</v>
      </c>
      <c r="AD224" s="12">
        <v>141.19999999999999</v>
      </c>
    </row>
    <row r="225" spans="1:30" ht="15" customHeight="1" x14ac:dyDescent="0.2">
      <c r="A225" s="3" t="s">
        <v>87</v>
      </c>
      <c r="B225" s="12">
        <v>2019</v>
      </c>
      <c r="C225" s="3" t="s">
        <v>92</v>
      </c>
      <c r="D225" s="12">
        <v>139.69999999999999</v>
      </c>
      <c r="E225" s="12">
        <v>151.1</v>
      </c>
      <c r="F225" s="12">
        <v>142.9</v>
      </c>
      <c r="G225" s="12">
        <v>141.9</v>
      </c>
      <c r="H225" s="12">
        <v>118.4</v>
      </c>
      <c r="I225" s="12">
        <v>139.4</v>
      </c>
      <c r="J225" s="12">
        <v>141.19999999999999</v>
      </c>
      <c r="K225" s="12">
        <v>120.7</v>
      </c>
      <c r="L225" s="12">
        <v>110.4</v>
      </c>
      <c r="M225" s="12">
        <v>140.69999999999999</v>
      </c>
      <c r="N225" s="12">
        <v>128.5</v>
      </c>
      <c r="O225" s="12">
        <v>153.9</v>
      </c>
      <c r="P225" s="12">
        <v>139.6</v>
      </c>
      <c r="Q225" s="12">
        <v>165.3</v>
      </c>
      <c r="R225" s="12">
        <v>143.5</v>
      </c>
      <c r="S225" s="12">
        <v>131.19999999999999</v>
      </c>
      <c r="T225" s="12">
        <v>141.6</v>
      </c>
      <c r="U225" s="12">
        <v>149</v>
      </c>
      <c r="V225" s="12">
        <v>128.80000000000001</v>
      </c>
      <c r="W225" s="12">
        <v>136.80000000000001</v>
      </c>
      <c r="X225" s="12">
        <v>139.19999999999999</v>
      </c>
      <c r="Y225" s="12">
        <v>119.9</v>
      </c>
      <c r="Z225" s="12">
        <v>133</v>
      </c>
      <c r="AA225" s="12">
        <v>146.69999999999999</v>
      </c>
      <c r="AB225" s="12">
        <v>132.5</v>
      </c>
      <c r="AC225" s="12">
        <v>132.80000000000001</v>
      </c>
      <c r="AD225" s="12">
        <v>139.5</v>
      </c>
    </row>
    <row r="226" spans="1:30" ht="15" customHeight="1" x14ac:dyDescent="0.2">
      <c r="A226" s="3" t="s">
        <v>89</v>
      </c>
      <c r="B226" s="12">
        <v>2019</v>
      </c>
      <c r="C226" s="3" t="s">
        <v>92</v>
      </c>
      <c r="D226" s="12">
        <v>137.80000000000001</v>
      </c>
      <c r="E226" s="12">
        <v>153</v>
      </c>
      <c r="F226" s="12">
        <v>140.30000000000001</v>
      </c>
      <c r="G226" s="12">
        <v>142.30000000000001</v>
      </c>
      <c r="H226" s="12">
        <v>122</v>
      </c>
      <c r="I226" s="12">
        <v>137.6</v>
      </c>
      <c r="J226" s="12">
        <v>132.6</v>
      </c>
      <c r="K226" s="12">
        <v>121.8</v>
      </c>
      <c r="L226" s="12">
        <v>109</v>
      </c>
      <c r="M226" s="12">
        <v>139.5</v>
      </c>
      <c r="N226" s="12">
        <v>133.69999999999999</v>
      </c>
      <c r="O226" s="12">
        <v>155.19999999999999</v>
      </c>
      <c r="P226" s="12">
        <v>138.1</v>
      </c>
      <c r="Q226" s="12">
        <v>163.5</v>
      </c>
      <c r="R226" s="12">
        <v>147.9</v>
      </c>
      <c r="S226" s="12">
        <v>139.9</v>
      </c>
      <c r="T226" s="12">
        <v>146.69999999999999</v>
      </c>
      <c r="U226" s="12">
        <v>149</v>
      </c>
      <c r="V226" s="12">
        <v>139.69999999999999</v>
      </c>
      <c r="W226" s="12">
        <v>143.80000000000001</v>
      </c>
      <c r="X226" s="12">
        <v>146.19999999999999</v>
      </c>
      <c r="Y226" s="12">
        <v>124.6</v>
      </c>
      <c r="Z226" s="12">
        <v>137.69999999999999</v>
      </c>
      <c r="AA226" s="12">
        <v>150.30000000000001</v>
      </c>
      <c r="AB226" s="12">
        <v>133.4</v>
      </c>
      <c r="AC226" s="12">
        <v>137.69999999999999</v>
      </c>
      <c r="AD226" s="12">
        <v>140.4</v>
      </c>
    </row>
    <row r="227" spans="1:30" ht="15" customHeight="1" x14ac:dyDescent="0.25">
      <c r="A227" s="3" t="s">
        <v>84</v>
      </c>
      <c r="B227" s="12">
        <v>2019</v>
      </c>
      <c r="C227" s="3" t="s">
        <v>95</v>
      </c>
      <c r="D227" s="12">
        <v>137.4</v>
      </c>
      <c r="E227" s="12">
        <v>159.5</v>
      </c>
      <c r="F227" s="12">
        <v>134.5</v>
      </c>
      <c r="G227" s="12">
        <v>142.6</v>
      </c>
      <c r="H227" s="12">
        <v>124</v>
      </c>
      <c r="I227" s="12">
        <v>143.69999999999999</v>
      </c>
      <c r="J227" s="12">
        <v>133.4</v>
      </c>
      <c r="K227" s="12">
        <v>125.1</v>
      </c>
      <c r="L227" s="12">
        <v>109.3</v>
      </c>
      <c r="M227" s="12">
        <v>139.30000000000001</v>
      </c>
      <c r="N227" s="12">
        <v>137.69999999999999</v>
      </c>
      <c r="O227" s="12">
        <v>156.4</v>
      </c>
      <c r="P227" s="12">
        <v>139.19999999999999</v>
      </c>
      <c r="Q227" s="12">
        <v>163.30000000000001</v>
      </c>
      <c r="R227" s="12">
        <v>151.30000000000001</v>
      </c>
      <c r="S227" s="12">
        <v>146.6</v>
      </c>
      <c r="T227" s="12">
        <v>150.69999999999999</v>
      </c>
      <c r="U227" s="13"/>
      <c r="V227" s="12">
        <v>146.9</v>
      </c>
      <c r="W227" s="12">
        <v>149.5</v>
      </c>
      <c r="X227" s="12">
        <v>151.30000000000001</v>
      </c>
      <c r="Y227" s="12">
        <v>130.19999999999999</v>
      </c>
      <c r="Z227" s="12">
        <v>145.9</v>
      </c>
      <c r="AA227" s="12">
        <v>156.69999999999999</v>
      </c>
      <c r="AB227" s="12">
        <v>133.9</v>
      </c>
      <c r="AC227" s="12">
        <v>142.9</v>
      </c>
      <c r="AD227" s="12">
        <v>142.4</v>
      </c>
    </row>
    <row r="228" spans="1:30" ht="15" customHeight="1" x14ac:dyDescent="0.2">
      <c r="A228" s="3" t="s">
        <v>87</v>
      </c>
      <c r="B228" s="12">
        <v>2019</v>
      </c>
      <c r="C228" s="3" t="s">
        <v>95</v>
      </c>
      <c r="D228" s="12">
        <v>140.4</v>
      </c>
      <c r="E228" s="12">
        <v>156.69999999999999</v>
      </c>
      <c r="F228" s="12">
        <v>138.30000000000001</v>
      </c>
      <c r="G228" s="12">
        <v>142.4</v>
      </c>
      <c r="H228" s="12">
        <v>118.6</v>
      </c>
      <c r="I228" s="12">
        <v>149.69999999999999</v>
      </c>
      <c r="J228" s="12">
        <v>161.6</v>
      </c>
      <c r="K228" s="12">
        <v>124.4</v>
      </c>
      <c r="L228" s="12">
        <v>111.2</v>
      </c>
      <c r="M228" s="12">
        <v>141</v>
      </c>
      <c r="N228" s="12">
        <v>128.9</v>
      </c>
      <c r="O228" s="12">
        <v>154.5</v>
      </c>
      <c r="P228" s="12">
        <v>143.80000000000001</v>
      </c>
      <c r="Q228" s="12">
        <v>166.2</v>
      </c>
      <c r="R228" s="12">
        <v>144</v>
      </c>
      <c r="S228" s="12">
        <v>131.69999999999999</v>
      </c>
      <c r="T228" s="12">
        <v>142.19999999999999</v>
      </c>
      <c r="U228" s="12">
        <v>150.1</v>
      </c>
      <c r="V228" s="12">
        <v>129.4</v>
      </c>
      <c r="W228" s="12">
        <v>137.19999999999999</v>
      </c>
      <c r="X228" s="12">
        <v>139.80000000000001</v>
      </c>
      <c r="Y228" s="12">
        <v>120.1</v>
      </c>
      <c r="Z228" s="12">
        <v>134</v>
      </c>
      <c r="AA228" s="12">
        <v>148</v>
      </c>
      <c r="AB228" s="12">
        <v>132.6</v>
      </c>
      <c r="AC228" s="12">
        <v>133.30000000000001</v>
      </c>
      <c r="AD228" s="12">
        <v>141.5</v>
      </c>
    </row>
    <row r="229" spans="1:30" ht="15" customHeight="1" x14ac:dyDescent="0.2">
      <c r="A229" s="3" t="s">
        <v>89</v>
      </c>
      <c r="B229" s="12">
        <v>2019</v>
      </c>
      <c r="C229" s="3" t="s">
        <v>95</v>
      </c>
      <c r="D229" s="12">
        <v>138.30000000000001</v>
      </c>
      <c r="E229" s="12">
        <v>158.5</v>
      </c>
      <c r="F229" s="12">
        <v>136</v>
      </c>
      <c r="G229" s="12">
        <v>142.5</v>
      </c>
      <c r="H229" s="12">
        <v>122</v>
      </c>
      <c r="I229" s="12">
        <v>146.5</v>
      </c>
      <c r="J229" s="12">
        <v>143</v>
      </c>
      <c r="K229" s="12">
        <v>124.9</v>
      </c>
      <c r="L229" s="12">
        <v>109.9</v>
      </c>
      <c r="M229" s="12">
        <v>139.9</v>
      </c>
      <c r="N229" s="12">
        <v>134</v>
      </c>
      <c r="O229" s="12">
        <v>155.5</v>
      </c>
      <c r="P229" s="12">
        <v>140.9</v>
      </c>
      <c r="Q229" s="12">
        <v>164.1</v>
      </c>
      <c r="R229" s="12">
        <v>148.4</v>
      </c>
      <c r="S229" s="12">
        <v>140.4</v>
      </c>
      <c r="T229" s="12">
        <v>147.30000000000001</v>
      </c>
      <c r="U229" s="12">
        <v>150.1</v>
      </c>
      <c r="V229" s="12">
        <v>140.30000000000001</v>
      </c>
      <c r="W229" s="12">
        <v>143.69999999999999</v>
      </c>
      <c r="X229" s="12">
        <v>146.9</v>
      </c>
      <c r="Y229" s="12">
        <v>124.9</v>
      </c>
      <c r="Z229" s="12">
        <v>139.19999999999999</v>
      </c>
      <c r="AA229" s="12">
        <v>151.6</v>
      </c>
      <c r="AB229" s="12">
        <v>133.4</v>
      </c>
      <c r="AC229" s="12">
        <v>138.19999999999999</v>
      </c>
      <c r="AD229" s="12">
        <v>142</v>
      </c>
    </row>
    <row r="230" spans="1:30" ht="15" customHeight="1" x14ac:dyDescent="0.25">
      <c r="A230" s="3" t="s">
        <v>84</v>
      </c>
      <c r="B230" s="12">
        <v>2019</v>
      </c>
      <c r="C230" s="3" t="s">
        <v>96</v>
      </c>
      <c r="D230" s="12">
        <v>137.80000000000001</v>
      </c>
      <c r="E230" s="12">
        <v>163.5</v>
      </c>
      <c r="F230" s="12">
        <v>136.19999999999999</v>
      </c>
      <c r="G230" s="12">
        <v>143.19999999999999</v>
      </c>
      <c r="H230" s="12">
        <v>124.3</v>
      </c>
      <c r="I230" s="12">
        <v>143.30000000000001</v>
      </c>
      <c r="J230" s="12">
        <v>140.6</v>
      </c>
      <c r="K230" s="12">
        <v>128.69999999999999</v>
      </c>
      <c r="L230" s="12">
        <v>110.6</v>
      </c>
      <c r="M230" s="12">
        <v>140.4</v>
      </c>
      <c r="N230" s="12">
        <v>138</v>
      </c>
      <c r="O230" s="12">
        <v>156.6</v>
      </c>
      <c r="P230" s="12">
        <v>141</v>
      </c>
      <c r="Q230" s="12">
        <v>164.2</v>
      </c>
      <c r="R230" s="12">
        <v>151.4</v>
      </c>
      <c r="S230" s="12">
        <v>146.5</v>
      </c>
      <c r="T230" s="12">
        <v>150.69999999999999</v>
      </c>
      <c r="U230" s="13"/>
      <c r="V230" s="12">
        <v>147.80000000000001</v>
      </c>
      <c r="W230" s="12">
        <v>149.6</v>
      </c>
      <c r="X230" s="12">
        <v>151.69999999999999</v>
      </c>
      <c r="Y230" s="12">
        <v>130.19999999999999</v>
      </c>
      <c r="Z230" s="12">
        <v>146.4</v>
      </c>
      <c r="AA230" s="12">
        <v>157.69999999999999</v>
      </c>
      <c r="AB230" s="12">
        <v>134.80000000000001</v>
      </c>
      <c r="AC230" s="12">
        <v>143.30000000000001</v>
      </c>
      <c r="AD230" s="12">
        <v>143.6</v>
      </c>
    </row>
    <row r="231" spans="1:30" ht="15" customHeight="1" x14ac:dyDescent="0.2">
      <c r="A231" s="3" t="s">
        <v>87</v>
      </c>
      <c r="B231" s="12">
        <v>2019</v>
      </c>
      <c r="C231" s="3" t="s">
        <v>96</v>
      </c>
      <c r="D231" s="12">
        <v>140.69999999999999</v>
      </c>
      <c r="E231" s="12">
        <v>159.6</v>
      </c>
      <c r="F231" s="12">
        <v>140.4</v>
      </c>
      <c r="G231" s="12">
        <v>143.4</v>
      </c>
      <c r="H231" s="12">
        <v>118.6</v>
      </c>
      <c r="I231" s="12">
        <v>150.9</v>
      </c>
      <c r="J231" s="12">
        <v>169.8</v>
      </c>
      <c r="K231" s="12">
        <v>127.4</v>
      </c>
      <c r="L231" s="12">
        <v>111.8</v>
      </c>
      <c r="M231" s="12">
        <v>141</v>
      </c>
      <c r="N231" s="12">
        <v>129</v>
      </c>
      <c r="O231" s="12">
        <v>155.1</v>
      </c>
      <c r="P231" s="12">
        <v>145.6</v>
      </c>
      <c r="Q231" s="12">
        <v>166.7</v>
      </c>
      <c r="R231" s="12">
        <v>144.30000000000001</v>
      </c>
      <c r="S231" s="12">
        <v>131.69999999999999</v>
      </c>
      <c r="T231" s="12">
        <v>142.4</v>
      </c>
      <c r="U231" s="12">
        <v>149.4</v>
      </c>
      <c r="V231" s="12">
        <v>130.5</v>
      </c>
      <c r="W231" s="12">
        <v>137.4</v>
      </c>
      <c r="X231" s="12">
        <v>140.30000000000001</v>
      </c>
      <c r="Y231" s="12">
        <v>119.6</v>
      </c>
      <c r="Z231" s="12">
        <v>134.30000000000001</v>
      </c>
      <c r="AA231" s="12">
        <v>148.9</v>
      </c>
      <c r="AB231" s="12">
        <v>133.69999999999999</v>
      </c>
      <c r="AC231" s="12">
        <v>133.6</v>
      </c>
      <c r="AD231" s="12">
        <v>142.1</v>
      </c>
    </row>
    <row r="232" spans="1:30" ht="15" customHeight="1" x14ac:dyDescent="0.2">
      <c r="A232" s="3" t="s">
        <v>89</v>
      </c>
      <c r="B232" s="12">
        <v>2019</v>
      </c>
      <c r="C232" s="3" t="s">
        <v>96</v>
      </c>
      <c r="D232" s="12">
        <v>138.69999999999999</v>
      </c>
      <c r="E232" s="12">
        <v>162.1</v>
      </c>
      <c r="F232" s="12">
        <v>137.80000000000001</v>
      </c>
      <c r="G232" s="12">
        <v>143.30000000000001</v>
      </c>
      <c r="H232" s="12">
        <v>122.2</v>
      </c>
      <c r="I232" s="12">
        <v>146.80000000000001</v>
      </c>
      <c r="J232" s="12">
        <v>150.5</v>
      </c>
      <c r="K232" s="12">
        <v>128.30000000000001</v>
      </c>
      <c r="L232" s="12">
        <v>111</v>
      </c>
      <c r="M232" s="12">
        <v>140.6</v>
      </c>
      <c r="N232" s="12">
        <v>134.19999999999999</v>
      </c>
      <c r="O232" s="12">
        <v>155.9</v>
      </c>
      <c r="P232" s="12">
        <v>142.69999999999999</v>
      </c>
      <c r="Q232" s="12">
        <v>164.9</v>
      </c>
      <c r="R232" s="12">
        <v>148.6</v>
      </c>
      <c r="S232" s="12">
        <v>140.4</v>
      </c>
      <c r="T232" s="12">
        <v>147.4</v>
      </c>
      <c r="U232" s="12">
        <v>149.4</v>
      </c>
      <c r="V232" s="12">
        <v>141.19999999999999</v>
      </c>
      <c r="W232" s="12">
        <v>143.80000000000001</v>
      </c>
      <c r="X232" s="12">
        <v>147.4</v>
      </c>
      <c r="Y232" s="12">
        <v>124.6</v>
      </c>
      <c r="Z232" s="12">
        <v>139.6</v>
      </c>
      <c r="AA232" s="12">
        <v>152.5</v>
      </c>
      <c r="AB232" s="12">
        <v>134.30000000000001</v>
      </c>
      <c r="AC232" s="12">
        <v>138.6</v>
      </c>
      <c r="AD232" s="12">
        <v>142.9</v>
      </c>
    </row>
    <row r="233" spans="1:30" ht="15" customHeight="1" x14ac:dyDescent="0.25">
      <c r="A233" s="3" t="s">
        <v>84</v>
      </c>
      <c r="B233" s="12">
        <v>2019</v>
      </c>
      <c r="C233" s="3" t="s">
        <v>98</v>
      </c>
      <c r="D233" s="12">
        <v>138.4</v>
      </c>
      <c r="E233" s="12">
        <v>164</v>
      </c>
      <c r="F233" s="12">
        <v>138.4</v>
      </c>
      <c r="G233" s="12">
        <v>143.9</v>
      </c>
      <c r="H233" s="12">
        <v>124.4</v>
      </c>
      <c r="I233" s="12">
        <v>146.4</v>
      </c>
      <c r="J233" s="12">
        <v>150.1</v>
      </c>
      <c r="K233" s="12">
        <v>130.6</v>
      </c>
      <c r="L233" s="12">
        <v>110.8</v>
      </c>
      <c r="M233" s="12">
        <v>141.69999999999999</v>
      </c>
      <c r="N233" s="12">
        <v>138.5</v>
      </c>
      <c r="O233" s="12">
        <v>156.69999999999999</v>
      </c>
      <c r="P233" s="12">
        <v>143</v>
      </c>
      <c r="Q233" s="12">
        <v>164.5</v>
      </c>
      <c r="R233" s="12">
        <v>151.6</v>
      </c>
      <c r="S233" s="12">
        <v>146.6</v>
      </c>
      <c r="T233" s="12">
        <v>150.9</v>
      </c>
      <c r="U233" s="13"/>
      <c r="V233" s="12">
        <v>146.80000000000001</v>
      </c>
      <c r="W233" s="12">
        <v>150</v>
      </c>
      <c r="X233" s="12">
        <v>152.19999999999999</v>
      </c>
      <c r="Y233" s="12">
        <v>131.19999999999999</v>
      </c>
      <c r="Z233" s="12">
        <v>147.5</v>
      </c>
      <c r="AA233" s="12">
        <v>159.1</v>
      </c>
      <c r="AB233" s="12">
        <v>136.1</v>
      </c>
      <c r="AC233" s="12">
        <v>144.19999999999999</v>
      </c>
      <c r="AD233" s="12">
        <v>144.9</v>
      </c>
    </row>
    <row r="234" spans="1:30" ht="15" customHeight="1" x14ac:dyDescent="0.2">
      <c r="A234" s="3" t="s">
        <v>87</v>
      </c>
      <c r="B234" s="12">
        <v>2019</v>
      </c>
      <c r="C234" s="3" t="s">
        <v>98</v>
      </c>
      <c r="D234" s="12">
        <v>141.4</v>
      </c>
      <c r="E234" s="12">
        <v>160.19999999999999</v>
      </c>
      <c r="F234" s="12">
        <v>142.5</v>
      </c>
      <c r="G234" s="12">
        <v>144.1</v>
      </c>
      <c r="H234" s="12">
        <v>119.3</v>
      </c>
      <c r="I234" s="12">
        <v>154.69999999999999</v>
      </c>
      <c r="J234" s="12">
        <v>180.1</v>
      </c>
      <c r="K234" s="12">
        <v>128.9</v>
      </c>
      <c r="L234" s="12">
        <v>111.8</v>
      </c>
      <c r="M234" s="12">
        <v>141.6</v>
      </c>
      <c r="N234" s="12">
        <v>129.5</v>
      </c>
      <c r="O234" s="12">
        <v>155.6</v>
      </c>
      <c r="P234" s="12">
        <v>147.69999999999999</v>
      </c>
      <c r="Q234" s="12">
        <v>167.2</v>
      </c>
      <c r="R234" s="12">
        <v>144.69999999999999</v>
      </c>
      <c r="S234" s="12">
        <v>131.9</v>
      </c>
      <c r="T234" s="12">
        <v>142.69999999999999</v>
      </c>
      <c r="U234" s="12">
        <v>150.6</v>
      </c>
      <c r="V234" s="12">
        <v>127</v>
      </c>
      <c r="W234" s="12">
        <v>137.69999999999999</v>
      </c>
      <c r="X234" s="12">
        <v>140.80000000000001</v>
      </c>
      <c r="Y234" s="12">
        <v>120.6</v>
      </c>
      <c r="Z234" s="12">
        <v>135</v>
      </c>
      <c r="AA234" s="12">
        <v>150.4</v>
      </c>
      <c r="AB234" s="12">
        <v>135.1</v>
      </c>
      <c r="AC234" s="12">
        <v>134.5</v>
      </c>
      <c r="AD234" s="12">
        <v>143.30000000000001</v>
      </c>
    </row>
    <row r="235" spans="1:30" ht="15" customHeight="1" x14ac:dyDescent="0.2">
      <c r="A235" s="3" t="s">
        <v>89</v>
      </c>
      <c r="B235" s="12">
        <v>2019</v>
      </c>
      <c r="C235" s="3" t="s">
        <v>98</v>
      </c>
      <c r="D235" s="12">
        <v>139.30000000000001</v>
      </c>
      <c r="E235" s="12">
        <v>162.69999999999999</v>
      </c>
      <c r="F235" s="12">
        <v>140</v>
      </c>
      <c r="G235" s="12">
        <v>144</v>
      </c>
      <c r="H235" s="12">
        <v>122.5</v>
      </c>
      <c r="I235" s="12">
        <v>150.30000000000001</v>
      </c>
      <c r="J235" s="12">
        <v>160.30000000000001</v>
      </c>
      <c r="K235" s="12">
        <v>130</v>
      </c>
      <c r="L235" s="12">
        <v>111.1</v>
      </c>
      <c r="M235" s="12">
        <v>141.69999999999999</v>
      </c>
      <c r="N235" s="12">
        <v>134.69999999999999</v>
      </c>
      <c r="O235" s="12">
        <v>156.19999999999999</v>
      </c>
      <c r="P235" s="12">
        <v>144.69999999999999</v>
      </c>
      <c r="Q235" s="12">
        <v>165.2</v>
      </c>
      <c r="R235" s="12">
        <v>148.9</v>
      </c>
      <c r="S235" s="12">
        <v>140.5</v>
      </c>
      <c r="T235" s="12">
        <v>147.6</v>
      </c>
      <c r="U235" s="12">
        <v>150.6</v>
      </c>
      <c r="V235" s="12">
        <v>139.30000000000001</v>
      </c>
      <c r="W235" s="12">
        <v>144.19999999999999</v>
      </c>
      <c r="X235" s="12">
        <v>147.9</v>
      </c>
      <c r="Y235" s="12">
        <v>125.6</v>
      </c>
      <c r="Z235" s="12">
        <v>140.5</v>
      </c>
      <c r="AA235" s="12">
        <v>154</v>
      </c>
      <c r="AB235" s="12">
        <v>135.69999999999999</v>
      </c>
      <c r="AC235" s="12">
        <v>139.5</v>
      </c>
      <c r="AD235" s="12">
        <v>144.19999999999999</v>
      </c>
    </row>
    <row r="236" spans="1:30" ht="15" customHeight="1" x14ac:dyDescent="0.25">
      <c r="A236" s="3" t="s">
        <v>84</v>
      </c>
      <c r="B236" s="12">
        <v>2019</v>
      </c>
      <c r="C236" s="3" t="s">
        <v>100</v>
      </c>
      <c r="D236" s="12">
        <v>139.19999999999999</v>
      </c>
      <c r="E236" s="12">
        <v>161.9</v>
      </c>
      <c r="F236" s="12">
        <v>137.1</v>
      </c>
      <c r="G236" s="12">
        <v>144.6</v>
      </c>
      <c r="H236" s="12">
        <v>124.7</v>
      </c>
      <c r="I236" s="12">
        <v>145.5</v>
      </c>
      <c r="J236" s="12">
        <v>156.19999999999999</v>
      </c>
      <c r="K236" s="12">
        <v>131.5</v>
      </c>
      <c r="L236" s="12">
        <v>111.7</v>
      </c>
      <c r="M236" s="12">
        <v>142.69999999999999</v>
      </c>
      <c r="N236" s="12">
        <v>138.5</v>
      </c>
      <c r="O236" s="12">
        <v>156.9</v>
      </c>
      <c r="P236" s="12">
        <v>144</v>
      </c>
      <c r="Q236" s="12">
        <v>165.1</v>
      </c>
      <c r="R236" s="12">
        <v>151.80000000000001</v>
      </c>
      <c r="S236" s="12">
        <v>146.6</v>
      </c>
      <c r="T236" s="12">
        <v>151.1</v>
      </c>
      <c r="U236" s="13"/>
      <c r="V236" s="12">
        <v>146.4</v>
      </c>
      <c r="W236" s="12">
        <v>150.19999999999999</v>
      </c>
      <c r="X236" s="12">
        <v>152.69999999999999</v>
      </c>
      <c r="Y236" s="12">
        <v>131.4</v>
      </c>
      <c r="Z236" s="12">
        <v>148</v>
      </c>
      <c r="AA236" s="12">
        <v>159.69999999999999</v>
      </c>
      <c r="AB236" s="12">
        <v>138.80000000000001</v>
      </c>
      <c r="AC236" s="12">
        <v>144.9</v>
      </c>
      <c r="AD236" s="12">
        <v>145.69999999999999</v>
      </c>
    </row>
    <row r="237" spans="1:30" ht="15" customHeight="1" x14ac:dyDescent="0.2">
      <c r="A237" s="3" t="s">
        <v>87</v>
      </c>
      <c r="B237" s="12">
        <v>2019</v>
      </c>
      <c r="C237" s="3" t="s">
        <v>100</v>
      </c>
      <c r="D237" s="12">
        <v>142.1</v>
      </c>
      <c r="E237" s="12">
        <v>158.30000000000001</v>
      </c>
      <c r="F237" s="12">
        <v>140.80000000000001</v>
      </c>
      <c r="G237" s="12">
        <v>144.9</v>
      </c>
      <c r="H237" s="12">
        <v>119.9</v>
      </c>
      <c r="I237" s="12">
        <v>153.9</v>
      </c>
      <c r="J237" s="12">
        <v>189.1</v>
      </c>
      <c r="K237" s="12">
        <v>129.80000000000001</v>
      </c>
      <c r="L237" s="12">
        <v>112.7</v>
      </c>
      <c r="M237" s="12">
        <v>142.5</v>
      </c>
      <c r="N237" s="12">
        <v>129.80000000000001</v>
      </c>
      <c r="O237" s="12">
        <v>156.19999999999999</v>
      </c>
      <c r="P237" s="12">
        <v>149.1</v>
      </c>
      <c r="Q237" s="12">
        <v>167.9</v>
      </c>
      <c r="R237" s="12">
        <v>145</v>
      </c>
      <c r="S237" s="12">
        <v>132.19999999999999</v>
      </c>
      <c r="T237" s="12">
        <v>143</v>
      </c>
      <c r="U237" s="12">
        <v>151.6</v>
      </c>
      <c r="V237" s="12">
        <v>125.5</v>
      </c>
      <c r="W237" s="12">
        <v>138.1</v>
      </c>
      <c r="X237" s="12">
        <v>141.5</v>
      </c>
      <c r="Y237" s="12">
        <v>120.8</v>
      </c>
      <c r="Z237" s="12">
        <v>135.4</v>
      </c>
      <c r="AA237" s="12">
        <v>151.5</v>
      </c>
      <c r="AB237" s="12">
        <v>137.80000000000001</v>
      </c>
      <c r="AC237" s="12">
        <v>135.30000000000001</v>
      </c>
      <c r="AD237" s="12">
        <v>144.19999999999999</v>
      </c>
    </row>
    <row r="238" spans="1:30" ht="15" customHeight="1" x14ac:dyDescent="0.2">
      <c r="A238" s="3" t="s">
        <v>89</v>
      </c>
      <c r="B238" s="12">
        <v>2019</v>
      </c>
      <c r="C238" s="3" t="s">
        <v>100</v>
      </c>
      <c r="D238" s="12">
        <v>140.1</v>
      </c>
      <c r="E238" s="12">
        <v>160.6</v>
      </c>
      <c r="F238" s="12">
        <v>138.5</v>
      </c>
      <c r="G238" s="12">
        <v>144.69999999999999</v>
      </c>
      <c r="H238" s="12">
        <v>122.9</v>
      </c>
      <c r="I238" s="12">
        <v>149.4</v>
      </c>
      <c r="J238" s="12">
        <v>167.4</v>
      </c>
      <c r="K238" s="12">
        <v>130.9</v>
      </c>
      <c r="L238" s="12">
        <v>112</v>
      </c>
      <c r="M238" s="12">
        <v>142.6</v>
      </c>
      <c r="N238" s="12">
        <v>134.9</v>
      </c>
      <c r="O238" s="12">
        <v>156.6</v>
      </c>
      <c r="P238" s="12">
        <v>145.9</v>
      </c>
      <c r="Q238" s="12">
        <v>165.8</v>
      </c>
      <c r="R238" s="12">
        <v>149.1</v>
      </c>
      <c r="S238" s="12">
        <v>140.6</v>
      </c>
      <c r="T238" s="12">
        <v>147.9</v>
      </c>
      <c r="U238" s="12">
        <v>151.6</v>
      </c>
      <c r="V238" s="12">
        <v>138.5</v>
      </c>
      <c r="W238" s="12">
        <v>144.5</v>
      </c>
      <c r="X238" s="12">
        <v>148.5</v>
      </c>
      <c r="Y238" s="12">
        <v>125.8</v>
      </c>
      <c r="Z238" s="12">
        <v>140.9</v>
      </c>
      <c r="AA238" s="12">
        <v>154.9</v>
      </c>
      <c r="AB238" s="12">
        <v>138.4</v>
      </c>
      <c r="AC238" s="12">
        <v>140.19999999999999</v>
      </c>
      <c r="AD238" s="12">
        <v>145</v>
      </c>
    </row>
    <row r="239" spans="1:30" ht="15" customHeight="1" x14ac:dyDescent="0.25">
      <c r="A239" s="3" t="s">
        <v>84</v>
      </c>
      <c r="B239" s="12">
        <v>2019</v>
      </c>
      <c r="C239" s="3" t="s">
        <v>102</v>
      </c>
      <c r="D239" s="12">
        <v>140.1</v>
      </c>
      <c r="E239" s="12">
        <v>161.9</v>
      </c>
      <c r="F239" s="12">
        <v>138.30000000000001</v>
      </c>
      <c r="G239" s="12">
        <v>145.69999999999999</v>
      </c>
      <c r="H239" s="12">
        <v>125.1</v>
      </c>
      <c r="I239" s="12">
        <v>143.80000000000001</v>
      </c>
      <c r="J239" s="12">
        <v>163.4</v>
      </c>
      <c r="K239" s="12">
        <v>132.19999999999999</v>
      </c>
      <c r="L239" s="12">
        <v>112.8</v>
      </c>
      <c r="M239" s="12">
        <v>144.19999999999999</v>
      </c>
      <c r="N239" s="12">
        <v>138.5</v>
      </c>
      <c r="O239" s="12">
        <v>157.19999999999999</v>
      </c>
      <c r="P239" s="12">
        <v>145.5</v>
      </c>
      <c r="Q239" s="12">
        <v>165.7</v>
      </c>
      <c r="R239" s="12">
        <v>151.69999999999999</v>
      </c>
      <c r="S239" s="12">
        <v>146.6</v>
      </c>
      <c r="T239" s="12">
        <v>151</v>
      </c>
      <c r="U239" s="13"/>
      <c r="V239" s="12">
        <v>146.9</v>
      </c>
      <c r="W239" s="12">
        <v>150.30000000000001</v>
      </c>
      <c r="X239" s="12">
        <v>153.4</v>
      </c>
      <c r="Y239" s="12">
        <v>131.6</v>
      </c>
      <c r="Z239" s="12">
        <v>148.30000000000001</v>
      </c>
      <c r="AA239" s="12">
        <v>160.19999999999999</v>
      </c>
      <c r="AB239" s="12">
        <v>140.19999999999999</v>
      </c>
      <c r="AC239" s="12">
        <v>145.4</v>
      </c>
      <c r="AD239" s="12">
        <v>146.69999999999999</v>
      </c>
    </row>
    <row r="240" spans="1:30" ht="15" customHeight="1" x14ac:dyDescent="0.2">
      <c r="A240" s="3" t="s">
        <v>87</v>
      </c>
      <c r="B240" s="12">
        <v>2019</v>
      </c>
      <c r="C240" s="3" t="s">
        <v>102</v>
      </c>
      <c r="D240" s="12">
        <v>142.69999999999999</v>
      </c>
      <c r="E240" s="12">
        <v>158.69999999999999</v>
      </c>
      <c r="F240" s="12">
        <v>141.6</v>
      </c>
      <c r="G240" s="12">
        <v>144.9</v>
      </c>
      <c r="H240" s="12">
        <v>120.8</v>
      </c>
      <c r="I240" s="12">
        <v>149.80000000000001</v>
      </c>
      <c r="J240" s="12">
        <v>192.4</v>
      </c>
      <c r="K240" s="12">
        <v>130.30000000000001</v>
      </c>
      <c r="L240" s="12">
        <v>114</v>
      </c>
      <c r="M240" s="12">
        <v>143.80000000000001</v>
      </c>
      <c r="N240" s="12">
        <v>130</v>
      </c>
      <c r="O240" s="12">
        <v>156.4</v>
      </c>
      <c r="P240" s="12">
        <v>149.5</v>
      </c>
      <c r="Q240" s="12">
        <v>168.6</v>
      </c>
      <c r="R240" s="12">
        <v>145.30000000000001</v>
      </c>
      <c r="S240" s="12">
        <v>132.19999999999999</v>
      </c>
      <c r="T240" s="12">
        <v>143.30000000000001</v>
      </c>
      <c r="U240" s="12">
        <v>152.19999999999999</v>
      </c>
      <c r="V240" s="12">
        <v>126.6</v>
      </c>
      <c r="W240" s="12">
        <v>138.30000000000001</v>
      </c>
      <c r="X240" s="12">
        <v>141.9</v>
      </c>
      <c r="Y240" s="12">
        <v>121.2</v>
      </c>
      <c r="Z240" s="12">
        <v>135.9</v>
      </c>
      <c r="AA240" s="12">
        <v>151.6</v>
      </c>
      <c r="AB240" s="12">
        <v>139</v>
      </c>
      <c r="AC240" s="12">
        <v>135.69999999999999</v>
      </c>
      <c r="AD240" s="12">
        <v>144.69999999999999</v>
      </c>
    </row>
    <row r="241" spans="1:30" ht="15" customHeight="1" x14ac:dyDescent="0.2">
      <c r="A241" s="3" t="s">
        <v>89</v>
      </c>
      <c r="B241" s="12">
        <v>2019</v>
      </c>
      <c r="C241" s="3" t="s">
        <v>102</v>
      </c>
      <c r="D241" s="12">
        <v>140.9</v>
      </c>
      <c r="E241" s="12">
        <v>160.80000000000001</v>
      </c>
      <c r="F241" s="12">
        <v>139.6</v>
      </c>
      <c r="G241" s="12">
        <v>145.4</v>
      </c>
      <c r="H241" s="12">
        <v>123.5</v>
      </c>
      <c r="I241" s="12">
        <v>146.6</v>
      </c>
      <c r="J241" s="12">
        <v>173.2</v>
      </c>
      <c r="K241" s="12">
        <v>131.6</v>
      </c>
      <c r="L241" s="12">
        <v>113.2</v>
      </c>
      <c r="M241" s="12">
        <v>144.1</v>
      </c>
      <c r="N241" s="12">
        <v>135</v>
      </c>
      <c r="O241" s="12">
        <v>156.80000000000001</v>
      </c>
      <c r="P241" s="12">
        <v>147</v>
      </c>
      <c r="Q241" s="12">
        <v>166.5</v>
      </c>
      <c r="R241" s="12">
        <v>149.19999999999999</v>
      </c>
      <c r="S241" s="12">
        <v>140.6</v>
      </c>
      <c r="T241" s="12">
        <v>147.9</v>
      </c>
      <c r="U241" s="12">
        <v>152.19999999999999</v>
      </c>
      <c r="V241" s="12">
        <v>139.19999999999999</v>
      </c>
      <c r="W241" s="12">
        <v>144.6</v>
      </c>
      <c r="X241" s="12">
        <v>149</v>
      </c>
      <c r="Y241" s="12">
        <v>126.1</v>
      </c>
      <c r="Z241" s="12">
        <v>141.30000000000001</v>
      </c>
      <c r="AA241" s="12">
        <v>155.19999999999999</v>
      </c>
      <c r="AB241" s="12">
        <v>139.69999999999999</v>
      </c>
      <c r="AC241" s="12">
        <v>140.69999999999999</v>
      </c>
      <c r="AD241" s="12">
        <v>145.80000000000001</v>
      </c>
    </row>
    <row r="242" spans="1:30" ht="15" customHeight="1" x14ac:dyDescent="0.25">
      <c r="A242" s="3" t="s">
        <v>84</v>
      </c>
      <c r="B242" s="12">
        <v>2019</v>
      </c>
      <c r="C242" s="3" t="s">
        <v>104</v>
      </c>
      <c r="D242" s="12">
        <v>141</v>
      </c>
      <c r="E242" s="12">
        <v>161.6</v>
      </c>
      <c r="F242" s="12">
        <v>141.19999999999999</v>
      </c>
      <c r="G242" s="12">
        <v>146.5</v>
      </c>
      <c r="H242" s="12">
        <v>125.6</v>
      </c>
      <c r="I242" s="12">
        <v>145.69999999999999</v>
      </c>
      <c r="J242" s="12">
        <v>178.8</v>
      </c>
      <c r="K242" s="12">
        <v>133.1</v>
      </c>
      <c r="L242" s="12">
        <v>113.6</v>
      </c>
      <c r="M242" s="12">
        <v>145.5</v>
      </c>
      <c r="N242" s="12">
        <v>138.6</v>
      </c>
      <c r="O242" s="12">
        <v>157.4</v>
      </c>
      <c r="P242" s="12">
        <v>148.30000000000001</v>
      </c>
      <c r="Q242" s="12">
        <v>166.3</v>
      </c>
      <c r="R242" s="12">
        <v>151.69999999999999</v>
      </c>
      <c r="S242" s="12">
        <v>146.69999999999999</v>
      </c>
      <c r="T242" s="12">
        <v>151</v>
      </c>
      <c r="U242" s="13"/>
      <c r="V242" s="12">
        <v>147.69999999999999</v>
      </c>
      <c r="W242" s="12">
        <v>150.6</v>
      </c>
      <c r="X242" s="12">
        <v>153.69999999999999</v>
      </c>
      <c r="Y242" s="12">
        <v>131.69999999999999</v>
      </c>
      <c r="Z242" s="12">
        <v>148.69999999999999</v>
      </c>
      <c r="AA242" s="12">
        <v>160.69999999999999</v>
      </c>
      <c r="AB242" s="12">
        <v>140.30000000000001</v>
      </c>
      <c r="AC242" s="12">
        <v>145.69999999999999</v>
      </c>
      <c r="AD242" s="12">
        <v>148.30000000000001</v>
      </c>
    </row>
    <row r="243" spans="1:30" ht="15" customHeight="1" x14ac:dyDescent="0.2">
      <c r="A243" s="3" t="s">
        <v>87</v>
      </c>
      <c r="B243" s="12">
        <v>2019</v>
      </c>
      <c r="C243" s="3" t="s">
        <v>104</v>
      </c>
      <c r="D243" s="12">
        <v>143.5</v>
      </c>
      <c r="E243" s="12">
        <v>159.80000000000001</v>
      </c>
      <c r="F243" s="12">
        <v>144.69999999999999</v>
      </c>
      <c r="G243" s="12">
        <v>145.6</v>
      </c>
      <c r="H243" s="12">
        <v>121.1</v>
      </c>
      <c r="I243" s="12">
        <v>150.6</v>
      </c>
      <c r="J243" s="12">
        <v>207.2</v>
      </c>
      <c r="K243" s="12">
        <v>131.19999999999999</v>
      </c>
      <c r="L243" s="12">
        <v>114.8</v>
      </c>
      <c r="M243" s="12">
        <v>145.19999999999999</v>
      </c>
      <c r="N243" s="12">
        <v>130.19999999999999</v>
      </c>
      <c r="O243" s="12">
        <v>156.80000000000001</v>
      </c>
      <c r="P243" s="12">
        <v>151.9</v>
      </c>
      <c r="Q243" s="12">
        <v>169.3</v>
      </c>
      <c r="R243" s="12">
        <v>145.9</v>
      </c>
      <c r="S243" s="12">
        <v>132.4</v>
      </c>
      <c r="T243" s="12">
        <v>143.9</v>
      </c>
      <c r="U243" s="12">
        <v>153</v>
      </c>
      <c r="V243" s="12">
        <v>128.9</v>
      </c>
      <c r="W243" s="12">
        <v>138.69999999999999</v>
      </c>
      <c r="X243" s="12">
        <v>142.4</v>
      </c>
      <c r="Y243" s="12">
        <v>121.5</v>
      </c>
      <c r="Z243" s="12">
        <v>136.19999999999999</v>
      </c>
      <c r="AA243" s="12">
        <v>151.69999999999999</v>
      </c>
      <c r="AB243" s="12">
        <v>139.5</v>
      </c>
      <c r="AC243" s="12">
        <v>136</v>
      </c>
      <c r="AD243" s="12">
        <v>146</v>
      </c>
    </row>
    <row r="244" spans="1:30" ht="15" customHeight="1" x14ac:dyDescent="0.2">
      <c r="A244" s="3" t="s">
        <v>89</v>
      </c>
      <c r="B244" s="12">
        <v>2019</v>
      </c>
      <c r="C244" s="3" t="s">
        <v>104</v>
      </c>
      <c r="D244" s="12">
        <v>141.80000000000001</v>
      </c>
      <c r="E244" s="12">
        <v>161</v>
      </c>
      <c r="F244" s="12">
        <v>142.6</v>
      </c>
      <c r="G244" s="12">
        <v>146.19999999999999</v>
      </c>
      <c r="H244" s="12">
        <v>123.9</v>
      </c>
      <c r="I244" s="12">
        <v>148</v>
      </c>
      <c r="J244" s="12">
        <v>188.4</v>
      </c>
      <c r="K244" s="12">
        <v>132.5</v>
      </c>
      <c r="L244" s="12">
        <v>114</v>
      </c>
      <c r="M244" s="12">
        <v>145.4</v>
      </c>
      <c r="N244" s="12">
        <v>135.1</v>
      </c>
      <c r="O244" s="12">
        <v>157.1</v>
      </c>
      <c r="P244" s="12">
        <v>149.6</v>
      </c>
      <c r="Q244" s="12">
        <v>167.1</v>
      </c>
      <c r="R244" s="12">
        <v>149.4</v>
      </c>
      <c r="S244" s="12">
        <v>140.80000000000001</v>
      </c>
      <c r="T244" s="12">
        <v>148.19999999999999</v>
      </c>
      <c r="U244" s="12">
        <v>153</v>
      </c>
      <c r="V244" s="12">
        <v>140.6</v>
      </c>
      <c r="W244" s="12">
        <v>145</v>
      </c>
      <c r="X244" s="12">
        <v>149.4</v>
      </c>
      <c r="Y244" s="12">
        <v>126.3</v>
      </c>
      <c r="Z244" s="12">
        <v>141.69999999999999</v>
      </c>
      <c r="AA244" s="12">
        <v>155.4</v>
      </c>
      <c r="AB244" s="12">
        <v>140</v>
      </c>
      <c r="AC244" s="12">
        <v>141</v>
      </c>
      <c r="AD244" s="12">
        <v>147.19999999999999</v>
      </c>
    </row>
    <row r="245" spans="1:30" ht="15" customHeight="1" x14ac:dyDescent="0.25">
      <c r="A245" s="3" t="s">
        <v>84</v>
      </c>
      <c r="B245" s="12">
        <v>2019</v>
      </c>
      <c r="C245" s="3" t="s">
        <v>107</v>
      </c>
      <c r="D245" s="12">
        <v>141.80000000000001</v>
      </c>
      <c r="E245" s="12">
        <v>163.69999999999999</v>
      </c>
      <c r="F245" s="12">
        <v>143.80000000000001</v>
      </c>
      <c r="G245" s="12">
        <v>147.1</v>
      </c>
      <c r="H245" s="12">
        <v>126</v>
      </c>
      <c r="I245" s="12">
        <v>146.19999999999999</v>
      </c>
      <c r="J245" s="12">
        <v>191.4</v>
      </c>
      <c r="K245" s="12">
        <v>136.19999999999999</v>
      </c>
      <c r="L245" s="12">
        <v>113.8</v>
      </c>
      <c r="M245" s="12">
        <v>147.30000000000001</v>
      </c>
      <c r="N245" s="12">
        <v>138.69999999999999</v>
      </c>
      <c r="O245" s="12">
        <v>157.69999999999999</v>
      </c>
      <c r="P245" s="12">
        <v>150.9</v>
      </c>
      <c r="Q245" s="12">
        <v>167.2</v>
      </c>
      <c r="R245" s="12">
        <v>152.30000000000001</v>
      </c>
      <c r="S245" s="12">
        <v>147</v>
      </c>
      <c r="T245" s="12">
        <v>151.5</v>
      </c>
      <c r="U245" s="13"/>
      <c r="V245" s="12">
        <v>148.4</v>
      </c>
      <c r="W245" s="12">
        <v>150.9</v>
      </c>
      <c r="X245" s="12">
        <v>154.30000000000001</v>
      </c>
      <c r="Y245" s="12">
        <v>132.1</v>
      </c>
      <c r="Z245" s="12">
        <v>149.1</v>
      </c>
      <c r="AA245" s="12">
        <v>160.80000000000001</v>
      </c>
      <c r="AB245" s="12">
        <v>140.6</v>
      </c>
      <c r="AC245" s="12">
        <v>146.1</v>
      </c>
      <c r="AD245" s="12">
        <v>149.9</v>
      </c>
    </row>
    <row r="246" spans="1:30" ht="15" customHeight="1" x14ac:dyDescent="0.2">
      <c r="A246" s="3" t="s">
        <v>87</v>
      </c>
      <c r="B246" s="12">
        <v>2019</v>
      </c>
      <c r="C246" s="3" t="s">
        <v>107</v>
      </c>
      <c r="D246" s="12">
        <v>144.1</v>
      </c>
      <c r="E246" s="12">
        <v>162.4</v>
      </c>
      <c r="F246" s="12">
        <v>148.4</v>
      </c>
      <c r="G246" s="12">
        <v>145.9</v>
      </c>
      <c r="H246" s="12">
        <v>121.5</v>
      </c>
      <c r="I246" s="12">
        <v>148.80000000000001</v>
      </c>
      <c r="J246" s="12">
        <v>215.7</v>
      </c>
      <c r="K246" s="12">
        <v>134.6</v>
      </c>
      <c r="L246" s="12">
        <v>115</v>
      </c>
      <c r="M246" s="12">
        <v>146.30000000000001</v>
      </c>
      <c r="N246" s="12">
        <v>130.5</v>
      </c>
      <c r="O246" s="12">
        <v>157.19999999999999</v>
      </c>
      <c r="P246" s="12">
        <v>153.6</v>
      </c>
      <c r="Q246" s="12">
        <v>169.9</v>
      </c>
      <c r="R246" s="12">
        <v>146.30000000000001</v>
      </c>
      <c r="S246" s="12">
        <v>132.6</v>
      </c>
      <c r="T246" s="12">
        <v>144.19999999999999</v>
      </c>
      <c r="U246" s="12">
        <v>153.5</v>
      </c>
      <c r="V246" s="12">
        <v>132.19999999999999</v>
      </c>
      <c r="W246" s="12">
        <v>139.1</v>
      </c>
      <c r="X246" s="12">
        <v>142.80000000000001</v>
      </c>
      <c r="Y246" s="12">
        <v>121.7</v>
      </c>
      <c r="Z246" s="12">
        <v>136.69999999999999</v>
      </c>
      <c r="AA246" s="12">
        <v>151.80000000000001</v>
      </c>
      <c r="AB246" s="12">
        <v>139.80000000000001</v>
      </c>
      <c r="AC246" s="12">
        <v>136.30000000000001</v>
      </c>
      <c r="AD246" s="12">
        <v>147</v>
      </c>
    </row>
    <row r="247" spans="1:30" ht="15" customHeight="1" x14ac:dyDescent="0.2">
      <c r="A247" s="3" t="s">
        <v>89</v>
      </c>
      <c r="B247" s="12">
        <v>2019</v>
      </c>
      <c r="C247" s="3" t="s">
        <v>107</v>
      </c>
      <c r="D247" s="12">
        <v>142.5</v>
      </c>
      <c r="E247" s="12">
        <v>163.19999999999999</v>
      </c>
      <c r="F247" s="12">
        <v>145.6</v>
      </c>
      <c r="G247" s="12">
        <v>146.69999999999999</v>
      </c>
      <c r="H247" s="12">
        <v>124.3</v>
      </c>
      <c r="I247" s="12">
        <v>147.4</v>
      </c>
      <c r="J247" s="12">
        <v>199.6</v>
      </c>
      <c r="K247" s="12">
        <v>135.69999999999999</v>
      </c>
      <c r="L247" s="12">
        <v>114.2</v>
      </c>
      <c r="M247" s="12">
        <v>147</v>
      </c>
      <c r="N247" s="12">
        <v>135.30000000000001</v>
      </c>
      <c r="O247" s="12">
        <v>157.5</v>
      </c>
      <c r="P247" s="12">
        <v>151.9</v>
      </c>
      <c r="Q247" s="12">
        <v>167.9</v>
      </c>
      <c r="R247" s="12">
        <v>149.9</v>
      </c>
      <c r="S247" s="12">
        <v>141</v>
      </c>
      <c r="T247" s="12">
        <v>148.6</v>
      </c>
      <c r="U247" s="12">
        <v>153.5</v>
      </c>
      <c r="V247" s="12">
        <v>142.30000000000001</v>
      </c>
      <c r="W247" s="12">
        <v>145.30000000000001</v>
      </c>
      <c r="X247" s="12">
        <v>149.9</v>
      </c>
      <c r="Y247" s="12">
        <v>126.6</v>
      </c>
      <c r="Z247" s="12">
        <v>142.1</v>
      </c>
      <c r="AA247" s="12">
        <v>155.5</v>
      </c>
      <c r="AB247" s="12">
        <v>140.30000000000001</v>
      </c>
      <c r="AC247" s="12">
        <v>141.30000000000001</v>
      </c>
      <c r="AD247" s="12">
        <v>148.6</v>
      </c>
    </row>
    <row r="248" spans="1:30" ht="15" customHeight="1" x14ac:dyDescent="0.25">
      <c r="A248" s="3" t="s">
        <v>84</v>
      </c>
      <c r="B248" s="12">
        <v>2019</v>
      </c>
      <c r="C248" s="3" t="s">
        <v>109</v>
      </c>
      <c r="D248" s="12">
        <v>142.80000000000001</v>
      </c>
      <c r="E248" s="12">
        <v>165.3</v>
      </c>
      <c r="F248" s="12">
        <v>149.5</v>
      </c>
      <c r="G248" s="12">
        <v>148.69999999999999</v>
      </c>
      <c r="H248" s="12">
        <v>127.5</v>
      </c>
      <c r="I248" s="12">
        <v>144.30000000000001</v>
      </c>
      <c r="J248" s="12">
        <v>209.5</v>
      </c>
      <c r="K248" s="12">
        <v>138.80000000000001</v>
      </c>
      <c r="L248" s="12">
        <v>113.6</v>
      </c>
      <c r="M248" s="12">
        <v>149.1</v>
      </c>
      <c r="N248" s="12">
        <v>139.30000000000001</v>
      </c>
      <c r="O248" s="12">
        <v>158.30000000000001</v>
      </c>
      <c r="P248" s="12">
        <v>154.30000000000001</v>
      </c>
      <c r="Q248" s="12">
        <v>167.8</v>
      </c>
      <c r="R248" s="12">
        <v>152.6</v>
      </c>
      <c r="S248" s="12">
        <v>147.30000000000001</v>
      </c>
      <c r="T248" s="12">
        <v>151.9</v>
      </c>
      <c r="U248" s="13"/>
      <c r="V248" s="12">
        <v>149.9</v>
      </c>
      <c r="W248" s="12">
        <v>151.19999999999999</v>
      </c>
      <c r="X248" s="12">
        <v>154.80000000000001</v>
      </c>
      <c r="Y248" s="12">
        <v>135</v>
      </c>
      <c r="Z248" s="12">
        <v>149.5</v>
      </c>
      <c r="AA248" s="12">
        <v>161.1</v>
      </c>
      <c r="AB248" s="12">
        <v>140.6</v>
      </c>
      <c r="AC248" s="12">
        <v>147.1</v>
      </c>
      <c r="AD248" s="12">
        <v>152.30000000000001</v>
      </c>
    </row>
    <row r="249" spans="1:30" ht="15" customHeight="1" x14ac:dyDescent="0.2">
      <c r="A249" s="3" t="s">
        <v>87</v>
      </c>
      <c r="B249" s="12">
        <v>2019</v>
      </c>
      <c r="C249" s="3" t="s">
        <v>109</v>
      </c>
      <c r="D249" s="12">
        <v>144.9</v>
      </c>
      <c r="E249" s="12">
        <v>164.5</v>
      </c>
      <c r="F249" s="12">
        <v>153.69999999999999</v>
      </c>
      <c r="G249" s="12">
        <v>147.5</v>
      </c>
      <c r="H249" s="12">
        <v>122.7</v>
      </c>
      <c r="I249" s="12">
        <v>147.19999999999999</v>
      </c>
      <c r="J249" s="12">
        <v>231.5</v>
      </c>
      <c r="K249" s="12">
        <v>137.19999999999999</v>
      </c>
      <c r="L249" s="12">
        <v>114.7</v>
      </c>
      <c r="M249" s="12">
        <v>148</v>
      </c>
      <c r="N249" s="12">
        <v>130.80000000000001</v>
      </c>
      <c r="O249" s="12">
        <v>157.69999999999999</v>
      </c>
      <c r="P249" s="12">
        <v>156.30000000000001</v>
      </c>
      <c r="Q249" s="12">
        <v>170.4</v>
      </c>
      <c r="R249" s="12">
        <v>146.80000000000001</v>
      </c>
      <c r="S249" s="12">
        <v>132.80000000000001</v>
      </c>
      <c r="T249" s="12">
        <v>144.6</v>
      </c>
      <c r="U249" s="12">
        <v>152.80000000000001</v>
      </c>
      <c r="V249" s="12">
        <v>133.6</v>
      </c>
      <c r="W249" s="12">
        <v>139.80000000000001</v>
      </c>
      <c r="X249" s="12">
        <v>143.19999999999999</v>
      </c>
      <c r="Y249" s="12">
        <v>125.2</v>
      </c>
      <c r="Z249" s="12">
        <v>136.80000000000001</v>
      </c>
      <c r="AA249" s="12">
        <v>151.9</v>
      </c>
      <c r="AB249" s="12">
        <v>140.19999999999999</v>
      </c>
      <c r="AC249" s="12">
        <v>137.69999999999999</v>
      </c>
      <c r="AD249" s="12">
        <v>148.30000000000001</v>
      </c>
    </row>
    <row r="250" spans="1:30" ht="15" customHeight="1" x14ac:dyDescent="0.2">
      <c r="A250" s="3" t="s">
        <v>89</v>
      </c>
      <c r="B250" s="12">
        <v>2019</v>
      </c>
      <c r="C250" s="3" t="s">
        <v>109</v>
      </c>
      <c r="D250" s="12">
        <v>143.5</v>
      </c>
      <c r="E250" s="12">
        <v>165</v>
      </c>
      <c r="F250" s="12">
        <v>151.1</v>
      </c>
      <c r="G250" s="12">
        <v>148.30000000000001</v>
      </c>
      <c r="H250" s="12">
        <v>125.7</v>
      </c>
      <c r="I250" s="12">
        <v>145.69999999999999</v>
      </c>
      <c r="J250" s="12">
        <v>217</v>
      </c>
      <c r="K250" s="12">
        <v>138.30000000000001</v>
      </c>
      <c r="L250" s="12">
        <v>114</v>
      </c>
      <c r="M250" s="12">
        <v>148.69999999999999</v>
      </c>
      <c r="N250" s="12">
        <v>135.80000000000001</v>
      </c>
      <c r="O250" s="12">
        <v>158</v>
      </c>
      <c r="P250" s="12">
        <v>155</v>
      </c>
      <c r="Q250" s="12">
        <v>168.5</v>
      </c>
      <c r="R250" s="12">
        <v>150.30000000000001</v>
      </c>
      <c r="S250" s="12">
        <v>141.30000000000001</v>
      </c>
      <c r="T250" s="12">
        <v>149</v>
      </c>
      <c r="U250" s="12">
        <v>152.80000000000001</v>
      </c>
      <c r="V250" s="12">
        <v>143.69999999999999</v>
      </c>
      <c r="W250" s="12">
        <v>145.80000000000001</v>
      </c>
      <c r="X250" s="12">
        <v>150.4</v>
      </c>
      <c r="Y250" s="12">
        <v>129.80000000000001</v>
      </c>
      <c r="Z250" s="12">
        <v>142.30000000000001</v>
      </c>
      <c r="AA250" s="12">
        <v>155.69999999999999</v>
      </c>
      <c r="AB250" s="12">
        <v>140.4</v>
      </c>
      <c r="AC250" s="12">
        <v>142.5</v>
      </c>
      <c r="AD250" s="12">
        <v>150.4</v>
      </c>
    </row>
    <row r="251" spans="1:30" ht="15" customHeight="1" x14ac:dyDescent="0.25">
      <c r="A251" s="3" t="s">
        <v>84</v>
      </c>
      <c r="B251" s="12">
        <v>2020</v>
      </c>
      <c r="C251" s="3" t="s">
        <v>85</v>
      </c>
      <c r="D251" s="12">
        <v>143.69999999999999</v>
      </c>
      <c r="E251" s="12">
        <v>167.3</v>
      </c>
      <c r="F251" s="12">
        <v>153.5</v>
      </c>
      <c r="G251" s="12">
        <v>150.5</v>
      </c>
      <c r="H251" s="12">
        <v>132</v>
      </c>
      <c r="I251" s="12">
        <v>142.19999999999999</v>
      </c>
      <c r="J251" s="12">
        <v>191.5</v>
      </c>
      <c r="K251" s="12">
        <v>141.1</v>
      </c>
      <c r="L251" s="12">
        <v>113.8</v>
      </c>
      <c r="M251" s="12">
        <v>151.6</v>
      </c>
      <c r="N251" s="12">
        <v>139.69999999999999</v>
      </c>
      <c r="O251" s="12">
        <v>158.69999999999999</v>
      </c>
      <c r="P251" s="12">
        <v>153</v>
      </c>
      <c r="Q251" s="12">
        <v>168.6</v>
      </c>
      <c r="R251" s="12">
        <v>152.80000000000001</v>
      </c>
      <c r="S251" s="12">
        <v>147.4</v>
      </c>
      <c r="T251" s="12">
        <v>152.1</v>
      </c>
      <c r="U251" s="13"/>
      <c r="V251" s="12">
        <v>150.4</v>
      </c>
      <c r="W251" s="12">
        <v>151.69999999999999</v>
      </c>
      <c r="X251" s="12">
        <v>155.69999999999999</v>
      </c>
      <c r="Y251" s="12">
        <v>136.30000000000001</v>
      </c>
      <c r="Z251" s="12">
        <v>150.1</v>
      </c>
      <c r="AA251" s="12">
        <v>161.69999999999999</v>
      </c>
      <c r="AB251" s="12">
        <v>142.5</v>
      </c>
      <c r="AC251" s="12">
        <v>148.1</v>
      </c>
      <c r="AD251" s="12">
        <v>151.9</v>
      </c>
    </row>
    <row r="252" spans="1:30" ht="15" customHeight="1" x14ac:dyDescent="0.2">
      <c r="A252" s="3" t="s">
        <v>87</v>
      </c>
      <c r="B252" s="12">
        <v>2020</v>
      </c>
      <c r="C252" s="3" t="s">
        <v>85</v>
      </c>
      <c r="D252" s="12">
        <v>145.6</v>
      </c>
      <c r="E252" s="12">
        <v>167.6</v>
      </c>
      <c r="F252" s="12">
        <v>157</v>
      </c>
      <c r="G252" s="12">
        <v>149.30000000000001</v>
      </c>
      <c r="H252" s="12">
        <v>126.3</v>
      </c>
      <c r="I252" s="12">
        <v>144.4</v>
      </c>
      <c r="J252" s="12">
        <v>207.8</v>
      </c>
      <c r="K252" s="12">
        <v>139.1</v>
      </c>
      <c r="L252" s="12">
        <v>114.8</v>
      </c>
      <c r="M252" s="12">
        <v>149.5</v>
      </c>
      <c r="N252" s="12">
        <v>131.1</v>
      </c>
      <c r="O252" s="12">
        <v>158.5</v>
      </c>
      <c r="P252" s="12">
        <v>154.4</v>
      </c>
      <c r="Q252" s="12">
        <v>170.8</v>
      </c>
      <c r="R252" s="12">
        <v>147</v>
      </c>
      <c r="S252" s="12">
        <v>133.19999999999999</v>
      </c>
      <c r="T252" s="12">
        <v>144.9</v>
      </c>
      <c r="U252" s="12">
        <v>153.9</v>
      </c>
      <c r="V252" s="12">
        <v>135.1</v>
      </c>
      <c r="W252" s="12">
        <v>140.1</v>
      </c>
      <c r="X252" s="12">
        <v>143.80000000000001</v>
      </c>
      <c r="Y252" s="12">
        <v>126.1</v>
      </c>
      <c r="Z252" s="12">
        <v>137.19999999999999</v>
      </c>
      <c r="AA252" s="12">
        <v>152.1</v>
      </c>
      <c r="AB252" s="12">
        <v>142.1</v>
      </c>
      <c r="AC252" s="12">
        <v>138.4</v>
      </c>
      <c r="AD252" s="12">
        <v>148.19999999999999</v>
      </c>
    </row>
    <row r="253" spans="1:30" ht="15" customHeight="1" x14ac:dyDescent="0.2">
      <c r="A253" s="3" t="s">
        <v>89</v>
      </c>
      <c r="B253" s="12">
        <v>2020</v>
      </c>
      <c r="C253" s="3" t="s">
        <v>85</v>
      </c>
      <c r="D253" s="12">
        <v>144.30000000000001</v>
      </c>
      <c r="E253" s="12">
        <v>167.4</v>
      </c>
      <c r="F253" s="12">
        <v>154.9</v>
      </c>
      <c r="G253" s="12">
        <v>150.1</v>
      </c>
      <c r="H253" s="12">
        <v>129.9</v>
      </c>
      <c r="I253" s="12">
        <v>143.19999999999999</v>
      </c>
      <c r="J253" s="12">
        <v>197</v>
      </c>
      <c r="K253" s="12">
        <v>140.4</v>
      </c>
      <c r="L253" s="12">
        <v>114.1</v>
      </c>
      <c r="M253" s="12">
        <v>150.9</v>
      </c>
      <c r="N253" s="12">
        <v>136.1</v>
      </c>
      <c r="O253" s="12">
        <v>158.6</v>
      </c>
      <c r="P253" s="12">
        <v>153.5</v>
      </c>
      <c r="Q253" s="12">
        <v>169.2</v>
      </c>
      <c r="R253" s="12">
        <v>150.5</v>
      </c>
      <c r="S253" s="12">
        <v>141.5</v>
      </c>
      <c r="T253" s="12">
        <v>149.19999999999999</v>
      </c>
      <c r="U253" s="12">
        <v>153.9</v>
      </c>
      <c r="V253" s="12">
        <v>144.6</v>
      </c>
      <c r="W253" s="12">
        <v>146.19999999999999</v>
      </c>
      <c r="X253" s="12">
        <v>151.19999999999999</v>
      </c>
      <c r="Y253" s="12">
        <v>130.9</v>
      </c>
      <c r="Z253" s="12">
        <v>142.80000000000001</v>
      </c>
      <c r="AA253" s="12">
        <v>156.1</v>
      </c>
      <c r="AB253" s="12">
        <v>142.30000000000001</v>
      </c>
      <c r="AC253" s="12">
        <v>143.4</v>
      </c>
      <c r="AD253" s="12">
        <v>150.19999999999999</v>
      </c>
    </row>
    <row r="254" spans="1:30" ht="15" customHeight="1" x14ac:dyDescent="0.25">
      <c r="A254" s="3" t="s">
        <v>84</v>
      </c>
      <c r="B254" s="12">
        <v>2020</v>
      </c>
      <c r="C254" s="3" t="s">
        <v>90</v>
      </c>
      <c r="D254" s="12">
        <v>144.19999999999999</v>
      </c>
      <c r="E254" s="12">
        <v>167.5</v>
      </c>
      <c r="F254" s="12">
        <v>150.9</v>
      </c>
      <c r="G254" s="12">
        <v>150.9</v>
      </c>
      <c r="H254" s="12">
        <v>133.69999999999999</v>
      </c>
      <c r="I254" s="12">
        <v>140.69999999999999</v>
      </c>
      <c r="J254" s="12">
        <v>165.1</v>
      </c>
      <c r="K254" s="12">
        <v>141.80000000000001</v>
      </c>
      <c r="L254" s="12">
        <v>113.1</v>
      </c>
      <c r="M254" s="12">
        <v>152.80000000000001</v>
      </c>
      <c r="N254" s="12">
        <v>140.1</v>
      </c>
      <c r="O254" s="12">
        <v>159.19999999999999</v>
      </c>
      <c r="P254" s="12">
        <v>149.80000000000001</v>
      </c>
      <c r="Q254" s="12">
        <v>169.4</v>
      </c>
      <c r="R254" s="12">
        <v>153</v>
      </c>
      <c r="S254" s="12">
        <v>147.5</v>
      </c>
      <c r="T254" s="12">
        <v>152.30000000000001</v>
      </c>
      <c r="U254" s="13"/>
      <c r="V254" s="12">
        <v>152.30000000000001</v>
      </c>
      <c r="W254" s="12">
        <v>151.80000000000001</v>
      </c>
      <c r="X254" s="12">
        <v>156.19999999999999</v>
      </c>
      <c r="Y254" s="12">
        <v>136</v>
      </c>
      <c r="Z254" s="12">
        <v>150.4</v>
      </c>
      <c r="AA254" s="12">
        <v>161.9</v>
      </c>
      <c r="AB254" s="12">
        <v>143.4</v>
      </c>
      <c r="AC254" s="12">
        <v>148.4</v>
      </c>
      <c r="AD254" s="12">
        <v>150.4</v>
      </c>
    </row>
    <row r="255" spans="1:30" ht="15" customHeight="1" x14ac:dyDescent="0.2">
      <c r="A255" s="3" t="s">
        <v>87</v>
      </c>
      <c r="B255" s="12">
        <v>2020</v>
      </c>
      <c r="C255" s="3" t="s">
        <v>90</v>
      </c>
      <c r="D255" s="12">
        <v>146.19999999999999</v>
      </c>
      <c r="E255" s="12">
        <v>167.6</v>
      </c>
      <c r="F255" s="12">
        <v>153.1</v>
      </c>
      <c r="G255" s="12">
        <v>150.69999999999999</v>
      </c>
      <c r="H255" s="12">
        <v>127.4</v>
      </c>
      <c r="I255" s="12">
        <v>143.1</v>
      </c>
      <c r="J255" s="12">
        <v>181.7</v>
      </c>
      <c r="K255" s="12">
        <v>139.6</v>
      </c>
      <c r="L255" s="12">
        <v>114.6</v>
      </c>
      <c r="M255" s="12">
        <v>150.4</v>
      </c>
      <c r="N255" s="12">
        <v>131.5</v>
      </c>
      <c r="O255" s="12">
        <v>159</v>
      </c>
      <c r="P255" s="12">
        <v>151.69999999999999</v>
      </c>
      <c r="Q255" s="12">
        <v>172</v>
      </c>
      <c r="R255" s="12">
        <v>147.30000000000001</v>
      </c>
      <c r="S255" s="12">
        <v>133.5</v>
      </c>
      <c r="T255" s="12">
        <v>145.19999999999999</v>
      </c>
      <c r="U255" s="12">
        <v>154.80000000000001</v>
      </c>
      <c r="V255" s="12">
        <v>138.9</v>
      </c>
      <c r="W255" s="12">
        <v>140.4</v>
      </c>
      <c r="X255" s="12">
        <v>144.4</v>
      </c>
      <c r="Y255" s="12">
        <v>125.2</v>
      </c>
      <c r="Z255" s="12">
        <v>137.69999999999999</v>
      </c>
      <c r="AA255" s="12">
        <v>152.19999999999999</v>
      </c>
      <c r="AB255" s="12">
        <v>143.5</v>
      </c>
      <c r="AC255" s="12">
        <v>138.4</v>
      </c>
      <c r="AD255" s="12">
        <v>147.69999999999999</v>
      </c>
    </row>
    <row r="256" spans="1:30" ht="15" customHeight="1" x14ac:dyDescent="0.2">
      <c r="A256" s="3" t="s">
        <v>89</v>
      </c>
      <c r="B256" s="12">
        <v>2020</v>
      </c>
      <c r="C256" s="3" t="s">
        <v>90</v>
      </c>
      <c r="D256" s="12">
        <v>144.80000000000001</v>
      </c>
      <c r="E256" s="12">
        <v>167.5</v>
      </c>
      <c r="F256" s="12">
        <v>151.80000000000001</v>
      </c>
      <c r="G256" s="12">
        <v>150.80000000000001</v>
      </c>
      <c r="H256" s="12">
        <v>131.4</v>
      </c>
      <c r="I256" s="12">
        <v>141.80000000000001</v>
      </c>
      <c r="J256" s="12">
        <v>170.7</v>
      </c>
      <c r="K256" s="12">
        <v>141.1</v>
      </c>
      <c r="L256" s="12">
        <v>113.6</v>
      </c>
      <c r="M256" s="12">
        <v>152</v>
      </c>
      <c r="N256" s="12">
        <v>136.5</v>
      </c>
      <c r="O256" s="12">
        <v>159.1</v>
      </c>
      <c r="P256" s="12">
        <v>150.5</v>
      </c>
      <c r="Q256" s="12">
        <v>170.1</v>
      </c>
      <c r="R256" s="12">
        <v>150.80000000000001</v>
      </c>
      <c r="S256" s="12">
        <v>141.69999999999999</v>
      </c>
      <c r="T256" s="12">
        <v>149.5</v>
      </c>
      <c r="U256" s="12">
        <v>154.80000000000001</v>
      </c>
      <c r="V256" s="12">
        <v>147.19999999999999</v>
      </c>
      <c r="W256" s="12">
        <v>146.4</v>
      </c>
      <c r="X256" s="12">
        <v>151.69999999999999</v>
      </c>
      <c r="Y256" s="12">
        <v>130.30000000000001</v>
      </c>
      <c r="Z256" s="12">
        <v>143.19999999999999</v>
      </c>
      <c r="AA256" s="12">
        <v>156.19999999999999</v>
      </c>
      <c r="AB256" s="12">
        <v>143.4</v>
      </c>
      <c r="AC256" s="12">
        <v>143.6</v>
      </c>
      <c r="AD256" s="12">
        <v>149.1</v>
      </c>
    </row>
    <row r="257" spans="1:30" ht="15" customHeight="1" x14ac:dyDescent="0.25">
      <c r="A257" s="3" t="s">
        <v>84</v>
      </c>
      <c r="B257" s="12">
        <v>2020</v>
      </c>
      <c r="C257" s="3" t="s">
        <v>92</v>
      </c>
      <c r="D257" s="12">
        <v>144.4</v>
      </c>
      <c r="E257" s="12">
        <v>166.8</v>
      </c>
      <c r="F257" s="12">
        <v>147.6</v>
      </c>
      <c r="G257" s="12">
        <v>151.69999999999999</v>
      </c>
      <c r="H257" s="12">
        <v>133.30000000000001</v>
      </c>
      <c r="I257" s="12">
        <v>141.80000000000001</v>
      </c>
      <c r="J257" s="12">
        <v>152.30000000000001</v>
      </c>
      <c r="K257" s="12">
        <v>141.80000000000001</v>
      </c>
      <c r="L257" s="12">
        <v>112.6</v>
      </c>
      <c r="M257" s="12">
        <v>154</v>
      </c>
      <c r="N257" s="12">
        <v>140.1</v>
      </c>
      <c r="O257" s="12">
        <v>160</v>
      </c>
      <c r="P257" s="12">
        <v>148.19999999999999</v>
      </c>
      <c r="Q257" s="12">
        <v>170.5</v>
      </c>
      <c r="R257" s="12">
        <v>153.4</v>
      </c>
      <c r="S257" s="12">
        <v>147.6</v>
      </c>
      <c r="T257" s="12">
        <v>152.5</v>
      </c>
      <c r="U257" s="13"/>
      <c r="V257" s="12">
        <v>153.4</v>
      </c>
      <c r="W257" s="12">
        <v>151.5</v>
      </c>
      <c r="X257" s="12">
        <v>156.69999999999999</v>
      </c>
      <c r="Y257" s="12">
        <v>135.80000000000001</v>
      </c>
      <c r="Z257" s="12">
        <v>151.19999999999999</v>
      </c>
      <c r="AA257" s="12">
        <v>161.19999999999999</v>
      </c>
      <c r="AB257" s="12">
        <v>145.1</v>
      </c>
      <c r="AC257" s="12">
        <v>148.6</v>
      </c>
      <c r="AD257" s="12">
        <v>149.80000000000001</v>
      </c>
    </row>
    <row r="258" spans="1:30" ht="15" customHeight="1" x14ac:dyDescent="0.2">
      <c r="A258" s="3" t="s">
        <v>87</v>
      </c>
      <c r="B258" s="12">
        <v>2020</v>
      </c>
      <c r="C258" s="3" t="s">
        <v>92</v>
      </c>
      <c r="D258" s="12">
        <v>146.5</v>
      </c>
      <c r="E258" s="12">
        <v>167.5</v>
      </c>
      <c r="F258" s="12">
        <v>148.9</v>
      </c>
      <c r="G258" s="12">
        <v>151.1</v>
      </c>
      <c r="H258" s="12">
        <v>127.5</v>
      </c>
      <c r="I258" s="12">
        <v>143.30000000000001</v>
      </c>
      <c r="J258" s="12">
        <v>167</v>
      </c>
      <c r="K258" s="12">
        <v>139.69999999999999</v>
      </c>
      <c r="L258" s="12">
        <v>114.4</v>
      </c>
      <c r="M258" s="12">
        <v>151.5</v>
      </c>
      <c r="N258" s="12">
        <v>131.9</v>
      </c>
      <c r="O258" s="12">
        <v>159.1</v>
      </c>
      <c r="P258" s="12">
        <v>150.1</v>
      </c>
      <c r="Q258" s="12">
        <v>173.3</v>
      </c>
      <c r="R258" s="12">
        <v>147.69999999999999</v>
      </c>
      <c r="S258" s="12">
        <v>133.80000000000001</v>
      </c>
      <c r="T258" s="12">
        <v>145.6</v>
      </c>
      <c r="U258" s="12">
        <v>154.5</v>
      </c>
      <c r="V258" s="12">
        <v>141.4</v>
      </c>
      <c r="W258" s="12">
        <v>140.80000000000001</v>
      </c>
      <c r="X258" s="12">
        <v>145</v>
      </c>
      <c r="Y258" s="12">
        <v>124.6</v>
      </c>
      <c r="Z258" s="12">
        <v>137.9</v>
      </c>
      <c r="AA258" s="12">
        <v>152.5</v>
      </c>
      <c r="AB258" s="12">
        <v>145.30000000000001</v>
      </c>
      <c r="AC258" s="12">
        <v>138.69999999999999</v>
      </c>
      <c r="AD258" s="12">
        <v>147.30000000000001</v>
      </c>
    </row>
    <row r="259" spans="1:30" ht="15" customHeight="1" x14ac:dyDescent="0.2">
      <c r="A259" s="3" t="s">
        <v>89</v>
      </c>
      <c r="B259" s="12">
        <v>2020</v>
      </c>
      <c r="C259" s="3" t="s">
        <v>92</v>
      </c>
      <c r="D259" s="12">
        <v>145.1</v>
      </c>
      <c r="E259" s="12">
        <v>167</v>
      </c>
      <c r="F259" s="12">
        <v>148.1</v>
      </c>
      <c r="G259" s="12">
        <v>151.5</v>
      </c>
      <c r="H259" s="12">
        <v>131.19999999999999</v>
      </c>
      <c r="I259" s="12">
        <v>142.5</v>
      </c>
      <c r="J259" s="12">
        <v>157.30000000000001</v>
      </c>
      <c r="K259" s="12">
        <v>141.1</v>
      </c>
      <c r="L259" s="12">
        <v>113.2</v>
      </c>
      <c r="M259" s="12">
        <v>153.19999999999999</v>
      </c>
      <c r="N259" s="12">
        <v>136.69999999999999</v>
      </c>
      <c r="O259" s="12">
        <v>159.6</v>
      </c>
      <c r="P259" s="12">
        <v>148.9</v>
      </c>
      <c r="Q259" s="12">
        <v>171.2</v>
      </c>
      <c r="R259" s="12">
        <v>151.19999999999999</v>
      </c>
      <c r="S259" s="12">
        <v>141.9</v>
      </c>
      <c r="T259" s="12">
        <v>149.80000000000001</v>
      </c>
      <c r="U259" s="12">
        <v>154.5</v>
      </c>
      <c r="V259" s="12">
        <v>148.9</v>
      </c>
      <c r="W259" s="12">
        <v>146.4</v>
      </c>
      <c r="X259" s="12">
        <v>152.30000000000001</v>
      </c>
      <c r="Y259" s="12">
        <v>129.9</v>
      </c>
      <c r="Z259" s="12">
        <v>143.69999999999999</v>
      </c>
      <c r="AA259" s="12">
        <v>156.1</v>
      </c>
      <c r="AB259" s="12">
        <v>145.19999999999999</v>
      </c>
      <c r="AC259" s="12">
        <v>143.80000000000001</v>
      </c>
      <c r="AD259" s="12">
        <v>148.6</v>
      </c>
    </row>
    <row r="260" spans="1:30" ht="15" customHeight="1" x14ac:dyDescent="0.25">
      <c r="A260" s="3" t="s">
        <v>84</v>
      </c>
      <c r="B260" s="12">
        <v>2020</v>
      </c>
      <c r="C260" s="3" t="s">
        <v>93</v>
      </c>
      <c r="D260" s="12">
        <v>147.19999999999999</v>
      </c>
      <c r="E260" s="13"/>
      <c r="F260" s="12">
        <v>146.9</v>
      </c>
      <c r="G260" s="12">
        <v>155.6</v>
      </c>
      <c r="H260" s="12">
        <v>137.1</v>
      </c>
      <c r="I260" s="12">
        <v>147.30000000000001</v>
      </c>
      <c r="J260" s="12">
        <v>162.69999999999999</v>
      </c>
      <c r="K260" s="12">
        <v>150.19999999999999</v>
      </c>
      <c r="L260" s="12">
        <v>119.8</v>
      </c>
      <c r="M260" s="12">
        <v>158.69999999999999</v>
      </c>
      <c r="N260" s="12">
        <v>139.19999999999999</v>
      </c>
      <c r="O260" s="13"/>
      <c r="P260" s="12">
        <v>150.1</v>
      </c>
      <c r="Q260" s="13"/>
      <c r="R260" s="13"/>
      <c r="S260" s="13"/>
      <c r="T260" s="13"/>
      <c r="U260" s="13"/>
      <c r="V260" s="12">
        <v>148.4</v>
      </c>
      <c r="W260" s="13"/>
      <c r="X260" s="12">
        <v>154.30000000000001</v>
      </c>
      <c r="Y260" s="13"/>
      <c r="Z260" s="13"/>
      <c r="AA260" s="13"/>
      <c r="AB260" s="13"/>
      <c r="AC260" s="13"/>
      <c r="AD260" s="13"/>
    </row>
    <row r="261" spans="1:30" ht="15" customHeight="1" x14ac:dyDescent="0.25">
      <c r="A261" s="3" t="s">
        <v>87</v>
      </c>
      <c r="B261" s="12">
        <v>2020</v>
      </c>
      <c r="C261" s="3" t="s">
        <v>93</v>
      </c>
      <c r="D261" s="12">
        <v>151.80000000000001</v>
      </c>
      <c r="E261" s="13"/>
      <c r="F261" s="12">
        <v>151.9</v>
      </c>
      <c r="G261" s="12">
        <v>155.5</v>
      </c>
      <c r="H261" s="12">
        <v>131.6</v>
      </c>
      <c r="I261" s="12">
        <v>152.9</v>
      </c>
      <c r="J261" s="12">
        <v>180</v>
      </c>
      <c r="K261" s="12">
        <v>150.80000000000001</v>
      </c>
      <c r="L261" s="12">
        <v>121.2</v>
      </c>
      <c r="M261" s="12">
        <v>154</v>
      </c>
      <c r="N261" s="12">
        <v>133.5</v>
      </c>
      <c r="O261" s="13"/>
      <c r="P261" s="12">
        <v>153.5</v>
      </c>
      <c r="Q261" s="13"/>
      <c r="R261" s="13"/>
      <c r="S261" s="13"/>
      <c r="T261" s="13"/>
      <c r="U261" s="12">
        <v>155.6</v>
      </c>
      <c r="V261" s="12">
        <v>137.1</v>
      </c>
      <c r="W261" s="13"/>
      <c r="X261" s="12">
        <v>144.80000000000001</v>
      </c>
      <c r="Y261" s="13"/>
      <c r="Z261" s="13"/>
      <c r="AA261" s="13"/>
      <c r="AB261" s="13"/>
      <c r="AC261" s="13"/>
      <c r="AD261" s="13"/>
    </row>
    <row r="262" spans="1:30" ht="15" customHeight="1" x14ac:dyDescent="0.25">
      <c r="A262" s="3" t="s">
        <v>89</v>
      </c>
      <c r="B262" s="12">
        <v>2020</v>
      </c>
      <c r="C262" s="3" t="s">
        <v>93</v>
      </c>
      <c r="D262" s="12">
        <v>148.69999999999999</v>
      </c>
      <c r="E262" s="13"/>
      <c r="F262" s="12">
        <v>148.80000000000001</v>
      </c>
      <c r="G262" s="12">
        <v>155.6</v>
      </c>
      <c r="H262" s="12">
        <v>135.1</v>
      </c>
      <c r="I262" s="12">
        <v>149.9</v>
      </c>
      <c r="J262" s="12">
        <v>168.6</v>
      </c>
      <c r="K262" s="12">
        <v>150.4</v>
      </c>
      <c r="L262" s="12">
        <v>120.3</v>
      </c>
      <c r="M262" s="12">
        <v>157.1</v>
      </c>
      <c r="N262" s="12">
        <v>136.80000000000001</v>
      </c>
      <c r="O262" s="13"/>
      <c r="P262" s="12">
        <v>151.4</v>
      </c>
      <c r="Q262" s="13"/>
      <c r="R262" s="13"/>
      <c r="S262" s="13"/>
      <c r="T262" s="13"/>
      <c r="U262" s="12">
        <v>155.6</v>
      </c>
      <c r="V262" s="12">
        <v>144.1</v>
      </c>
      <c r="W262" s="13"/>
      <c r="X262" s="12">
        <v>150.69999999999999</v>
      </c>
      <c r="Y262" s="13"/>
      <c r="Z262" s="13"/>
      <c r="AA262" s="13"/>
      <c r="AB262" s="13"/>
      <c r="AC262" s="13"/>
      <c r="AD262" s="13"/>
    </row>
    <row r="263" spans="1:30" ht="15" customHeight="1" x14ac:dyDescent="0.25">
      <c r="A263" s="3" t="s">
        <v>84</v>
      </c>
      <c r="B263" s="12">
        <v>2020</v>
      </c>
      <c r="C263" s="3" t="s">
        <v>95</v>
      </c>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spans="1:30" ht="15" customHeight="1" x14ac:dyDescent="0.25">
      <c r="A264" s="3" t="s">
        <v>87</v>
      </c>
      <c r="B264" s="12">
        <v>2020</v>
      </c>
      <c r="C264" s="3" t="s">
        <v>95</v>
      </c>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spans="1:30" ht="15" customHeight="1" x14ac:dyDescent="0.25">
      <c r="A265" s="3" t="s">
        <v>89</v>
      </c>
      <c r="B265" s="12">
        <v>2020</v>
      </c>
      <c r="C265" s="3" t="s">
        <v>95</v>
      </c>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spans="1:30" ht="15" customHeight="1" x14ac:dyDescent="0.25">
      <c r="A266" s="3" t="s">
        <v>84</v>
      </c>
      <c r="B266" s="12">
        <v>2020</v>
      </c>
      <c r="C266" s="3" t="s">
        <v>96</v>
      </c>
      <c r="D266" s="12">
        <v>148.19999999999999</v>
      </c>
      <c r="E266" s="12">
        <v>190.3</v>
      </c>
      <c r="F266" s="12">
        <v>149.4</v>
      </c>
      <c r="G266" s="12">
        <v>153.30000000000001</v>
      </c>
      <c r="H266" s="12">
        <v>138.19999999999999</v>
      </c>
      <c r="I266" s="12">
        <v>143.19999999999999</v>
      </c>
      <c r="J266" s="12">
        <v>148.9</v>
      </c>
      <c r="K266" s="12">
        <v>150.30000000000001</v>
      </c>
      <c r="L266" s="12">
        <v>113.2</v>
      </c>
      <c r="M266" s="12">
        <v>159.80000000000001</v>
      </c>
      <c r="N266" s="12">
        <v>142.1</v>
      </c>
      <c r="O266" s="12">
        <v>161.80000000000001</v>
      </c>
      <c r="P266" s="12">
        <v>152.30000000000001</v>
      </c>
      <c r="Q266" s="12">
        <v>182.4</v>
      </c>
      <c r="R266" s="12">
        <v>154.69999999999999</v>
      </c>
      <c r="S266" s="12">
        <v>150</v>
      </c>
      <c r="T266" s="12">
        <v>154.1</v>
      </c>
      <c r="U266" s="13"/>
      <c r="V266" s="12">
        <v>144.9</v>
      </c>
      <c r="W266" s="12">
        <v>151.69999999999999</v>
      </c>
      <c r="X266" s="12">
        <v>158.19999999999999</v>
      </c>
      <c r="Y266" s="12">
        <v>141.4</v>
      </c>
      <c r="Z266" s="12">
        <v>153.19999999999999</v>
      </c>
      <c r="AA266" s="12">
        <v>161.80000000000001</v>
      </c>
      <c r="AB266" s="12">
        <v>151.19999999999999</v>
      </c>
      <c r="AC266" s="12">
        <v>151.69999999999999</v>
      </c>
      <c r="AD266" s="12">
        <v>152.69999999999999</v>
      </c>
    </row>
    <row r="267" spans="1:30" ht="15" customHeight="1" x14ac:dyDescent="0.2">
      <c r="A267" s="3" t="s">
        <v>87</v>
      </c>
      <c r="B267" s="12">
        <v>2020</v>
      </c>
      <c r="C267" s="3" t="s">
        <v>96</v>
      </c>
      <c r="D267" s="12">
        <v>152.69999999999999</v>
      </c>
      <c r="E267" s="12">
        <v>197</v>
      </c>
      <c r="F267" s="12">
        <v>154.6</v>
      </c>
      <c r="G267" s="12">
        <v>153.4</v>
      </c>
      <c r="H267" s="12">
        <v>132.9</v>
      </c>
      <c r="I267" s="12">
        <v>151.80000000000001</v>
      </c>
      <c r="J267" s="12">
        <v>171.2</v>
      </c>
      <c r="K267" s="12">
        <v>152</v>
      </c>
      <c r="L267" s="12">
        <v>116.3</v>
      </c>
      <c r="M267" s="12">
        <v>158.80000000000001</v>
      </c>
      <c r="N267" s="12">
        <v>135.6</v>
      </c>
      <c r="O267" s="12">
        <v>161.69999999999999</v>
      </c>
      <c r="P267" s="12">
        <v>157</v>
      </c>
      <c r="Q267" s="12">
        <v>186.7</v>
      </c>
      <c r="R267" s="12">
        <v>149.1</v>
      </c>
      <c r="S267" s="12">
        <v>136.6</v>
      </c>
      <c r="T267" s="12">
        <v>147.19999999999999</v>
      </c>
      <c r="U267" s="12">
        <v>154.69999999999999</v>
      </c>
      <c r="V267" s="12">
        <v>137.1</v>
      </c>
      <c r="W267" s="12">
        <v>140.4</v>
      </c>
      <c r="X267" s="12">
        <v>148.1</v>
      </c>
      <c r="Y267" s="12">
        <v>129.30000000000001</v>
      </c>
      <c r="Z267" s="12">
        <v>144.5</v>
      </c>
      <c r="AA267" s="12">
        <v>152.5</v>
      </c>
      <c r="AB267" s="12">
        <v>152.19999999999999</v>
      </c>
      <c r="AC267" s="12">
        <v>142</v>
      </c>
      <c r="AD267" s="12">
        <v>150.80000000000001</v>
      </c>
    </row>
    <row r="268" spans="1:30" ht="15" customHeight="1" x14ac:dyDescent="0.2">
      <c r="A268" s="3" t="s">
        <v>89</v>
      </c>
      <c r="B268" s="12">
        <v>2020</v>
      </c>
      <c r="C268" s="3" t="s">
        <v>96</v>
      </c>
      <c r="D268" s="12">
        <v>149.6</v>
      </c>
      <c r="E268" s="12">
        <v>192.7</v>
      </c>
      <c r="F268" s="12">
        <v>151.4</v>
      </c>
      <c r="G268" s="12">
        <v>153.30000000000001</v>
      </c>
      <c r="H268" s="12">
        <v>136.30000000000001</v>
      </c>
      <c r="I268" s="12">
        <v>147.19999999999999</v>
      </c>
      <c r="J268" s="12">
        <v>156.5</v>
      </c>
      <c r="K268" s="12">
        <v>150.9</v>
      </c>
      <c r="L268" s="12">
        <v>114.2</v>
      </c>
      <c r="M268" s="12">
        <v>159.5</v>
      </c>
      <c r="N268" s="12">
        <v>139.4</v>
      </c>
      <c r="O268" s="12">
        <v>161.80000000000001</v>
      </c>
      <c r="P268" s="12">
        <v>154</v>
      </c>
      <c r="Q268" s="12">
        <v>183.5</v>
      </c>
      <c r="R268" s="12">
        <v>152.5</v>
      </c>
      <c r="S268" s="12">
        <v>144.4</v>
      </c>
      <c r="T268" s="12">
        <v>151.4</v>
      </c>
      <c r="U268" s="12">
        <v>154.69999999999999</v>
      </c>
      <c r="V268" s="12">
        <v>141.9</v>
      </c>
      <c r="W268" s="12">
        <v>146.4</v>
      </c>
      <c r="X268" s="12">
        <v>154.4</v>
      </c>
      <c r="Y268" s="12">
        <v>135</v>
      </c>
      <c r="Z268" s="12">
        <v>148.30000000000001</v>
      </c>
      <c r="AA268" s="12">
        <v>156.4</v>
      </c>
      <c r="AB268" s="12">
        <v>151.6</v>
      </c>
      <c r="AC268" s="12">
        <v>147</v>
      </c>
      <c r="AD268" s="12">
        <v>151.80000000000001</v>
      </c>
    </row>
    <row r="269" spans="1:30" ht="15" customHeight="1" x14ac:dyDescent="0.25">
      <c r="A269" s="3" t="s">
        <v>84</v>
      </c>
      <c r="B269" s="12">
        <v>2020</v>
      </c>
      <c r="C269" s="3" t="s">
        <v>98</v>
      </c>
      <c r="D269" s="12">
        <v>148.19999999999999</v>
      </c>
      <c r="E269" s="12">
        <v>190.3</v>
      </c>
      <c r="F269" s="12">
        <v>149.4</v>
      </c>
      <c r="G269" s="12">
        <v>153.30000000000001</v>
      </c>
      <c r="H269" s="12">
        <v>138.19999999999999</v>
      </c>
      <c r="I269" s="12">
        <v>143.19999999999999</v>
      </c>
      <c r="J269" s="12">
        <v>148.9</v>
      </c>
      <c r="K269" s="12">
        <v>150.30000000000001</v>
      </c>
      <c r="L269" s="12">
        <v>113.2</v>
      </c>
      <c r="M269" s="12">
        <v>159.80000000000001</v>
      </c>
      <c r="N269" s="12">
        <v>142.1</v>
      </c>
      <c r="O269" s="12">
        <v>161.80000000000001</v>
      </c>
      <c r="P269" s="12">
        <v>152.30000000000001</v>
      </c>
      <c r="Q269" s="12">
        <v>182.4</v>
      </c>
      <c r="R269" s="12">
        <v>154.69999999999999</v>
      </c>
      <c r="S269" s="12">
        <v>150</v>
      </c>
      <c r="T269" s="12">
        <v>154.1</v>
      </c>
      <c r="U269" s="13"/>
      <c r="V269" s="12">
        <v>144.9</v>
      </c>
      <c r="W269" s="12">
        <v>151.69999999999999</v>
      </c>
      <c r="X269" s="12">
        <v>158.19999999999999</v>
      </c>
      <c r="Y269" s="12">
        <v>141.4</v>
      </c>
      <c r="Z269" s="12">
        <v>153.19999999999999</v>
      </c>
      <c r="AA269" s="12">
        <v>161.80000000000001</v>
      </c>
      <c r="AB269" s="12">
        <v>151.19999999999999</v>
      </c>
      <c r="AC269" s="12">
        <v>151.69999999999999</v>
      </c>
      <c r="AD269" s="12">
        <v>152.69999999999999</v>
      </c>
    </row>
    <row r="270" spans="1:30" ht="15" customHeight="1" x14ac:dyDescent="0.2">
      <c r="A270" s="3" t="s">
        <v>87</v>
      </c>
      <c r="B270" s="12">
        <v>2020</v>
      </c>
      <c r="C270" s="3" t="s">
        <v>98</v>
      </c>
      <c r="D270" s="12">
        <v>152.69999999999999</v>
      </c>
      <c r="E270" s="12">
        <v>197</v>
      </c>
      <c r="F270" s="12">
        <v>154.6</v>
      </c>
      <c r="G270" s="12">
        <v>153.4</v>
      </c>
      <c r="H270" s="12">
        <v>132.9</v>
      </c>
      <c r="I270" s="12">
        <v>151.80000000000001</v>
      </c>
      <c r="J270" s="12">
        <v>171.2</v>
      </c>
      <c r="K270" s="12">
        <v>152</v>
      </c>
      <c r="L270" s="12">
        <v>116.3</v>
      </c>
      <c r="M270" s="12">
        <v>158.80000000000001</v>
      </c>
      <c r="N270" s="12">
        <v>135.6</v>
      </c>
      <c r="O270" s="12">
        <v>161.69999999999999</v>
      </c>
      <c r="P270" s="12">
        <v>157</v>
      </c>
      <c r="Q270" s="12">
        <v>186.7</v>
      </c>
      <c r="R270" s="12">
        <v>149.1</v>
      </c>
      <c r="S270" s="12">
        <v>136.6</v>
      </c>
      <c r="T270" s="12">
        <v>147.19999999999999</v>
      </c>
      <c r="U270" s="12">
        <v>154.69999999999999</v>
      </c>
      <c r="V270" s="12">
        <v>137.1</v>
      </c>
      <c r="W270" s="12">
        <v>140.4</v>
      </c>
      <c r="X270" s="12">
        <v>148.1</v>
      </c>
      <c r="Y270" s="12">
        <v>129.30000000000001</v>
      </c>
      <c r="Z270" s="12">
        <v>144.5</v>
      </c>
      <c r="AA270" s="12">
        <v>152.5</v>
      </c>
      <c r="AB270" s="12">
        <v>152.19999999999999</v>
      </c>
      <c r="AC270" s="12">
        <v>142</v>
      </c>
      <c r="AD270" s="12">
        <v>150.80000000000001</v>
      </c>
    </row>
    <row r="271" spans="1:30" ht="15" customHeight="1" x14ac:dyDescent="0.2">
      <c r="A271" s="3" t="s">
        <v>89</v>
      </c>
      <c r="B271" s="12">
        <v>2020</v>
      </c>
      <c r="C271" s="3" t="s">
        <v>98</v>
      </c>
      <c r="D271" s="12">
        <v>149.6</v>
      </c>
      <c r="E271" s="12">
        <v>192.7</v>
      </c>
      <c r="F271" s="12">
        <v>151.4</v>
      </c>
      <c r="G271" s="12">
        <v>153.30000000000001</v>
      </c>
      <c r="H271" s="12">
        <v>136.30000000000001</v>
      </c>
      <c r="I271" s="12">
        <v>147.19999999999999</v>
      </c>
      <c r="J271" s="12">
        <v>156.5</v>
      </c>
      <c r="K271" s="12">
        <v>150.9</v>
      </c>
      <c r="L271" s="12">
        <v>114.2</v>
      </c>
      <c r="M271" s="12">
        <v>159.5</v>
      </c>
      <c r="N271" s="12">
        <v>139.4</v>
      </c>
      <c r="O271" s="12">
        <v>161.80000000000001</v>
      </c>
      <c r="P271" s="12">
        <v>154</v>
      </c>
      <c r="Q271" s="12">
        <v>183.5</v>
      </c>
      <c r="R271" s="12">
        <v>152.5</v>
      </c>
      <c r="S271" s="12">
        <v>144.4</v>
      </c>
      <c r="T271" s="12">
        <v>151.4</v>
      </c>
      <c r="U271" s="12">
        <v>154.69999999999999</v>
      </c>
      <c r="V271" s="12">
        <v>141.9</v>
      </c>
      <c r="W271" s="12">
        <v>146.4</v>
      </c>
      <c r="X271" s="12">
        <v>154.4</v>
      </c>
      <c r="Y271" s="12">
        <v>135</v>
      </c>
      <c r="Z271" s="12">
        <v>148.30000000000001</v>
      </c>
      <c r="AA271" s="12">
        <v>156.4</v>
      </c>
      <c r="AB271" s="12">
        <v>151.6</v>
      </c>
      <c r="AC271" s="12">
        <v>147</v>
      </c>
      <c r="AD271" s="12">
        <v>151.80000000000001</v>
      </c>
    </row>
    <row r="272" spans="1:30" ht="15" customHeight="1" x14ac:dyDescent="0.25">
      <c r="A272" s="3" t="s">
        <v>84</v>
      </c>
      <c r="B272" s="12">
        <v>2020</v>
      </c>
      <c r="C272" s="3" t="s">
        <v>100</v>
      </c>
      <c r="D272" s="12">
        <v>147.6</v>
      </c>
      <c r="E272" s="12">
        <v>187.2</v>
      </c>
      <c r="F272" s="12">
        <v>148.4</v>
      </c>
      <c r="G272" s="12">
        <v>153.30000000000001</v>
      </c>
      <c r="H272" s="12">
        <v>139.80000000000001</v>
      </c>
      <c r="I272" s="12">
        <v>146.9</v>
      </c>
      <c r="J272" s="12">
        <v>171</v>
      </c>
      <c r="K272" s="12">
        <v>149.9</v>
      </c>
      <c r="L272" s="12">
        <v>114.2</v>
      </c>
      <c r="M272" s="12">
        <v>160</v>
      </c>
      <c r="N272" s="12">
        <v>143.5</v>
      </c>
      <c r="O272" s="12">
        <v>161.5</v>
      </c>
      <c r="P272" s="12">
        <v>155.30000000000001</v>
      </c>
      <c r="Q272" s="12">
        <v>180.9</v>
      </c>
      <c r="R272" s="12">
        <v>155.1</v>
      </c>
      <c r="S272" s="12">
        <v>149.30000000000001</v>
      </c>
      <c r="T272" s="12">
        <v>154.30000000000001</v>
      </c>
      <c r="U272" s="13"/>
      <c r="V272" s="12">
        <v>145.80000000000001</v>
      </c>
      <c r="W272" s="12">
        <v>151.9</v>
      </c>
      <c r="X272" s="12">
        <v>158.80000000000001</v>
      </c>
      <c r="Y272" s="12">
        <v>143.6</v>
      </c>
      <c r="Z272" s="12">
        <v>152.19999999999999</v>
      </c>
      <c r="AA272" s="12">
        <v>162.69999999999999</v>
      </c>
      <c r="AB272" s="12">
        <v>153.6</v>
      </c>
      <c r="AC272" s="12">
        <v>153</v>
      </c>
      <c r="AD272" s="12">
        <v>154.69999999999999</v>
      </c>
    </row>
    <row r="273" spans="1:30" ht="15" customHeight="1" x14ac:dyDescent="0.2">
      <c r="A273" s="3" t="s">
        <v>87</v>
      </c>
      <c r="B273" s="12">
        <v>2020</v>
      </c>
      <c r="C273" s="3" t="s">
        <v>100</v>
      </c>
      <c r="D273" s="12">
        <v>151.6</v>
      </c>
      <c r="E273" s="12">
        <v>197.8</v>
      </c>
      <c r="F273" s="12">
        <v>154.5</v>
      </c>
      <c r="G273" s="12">
        <v>153.4</v>
      </c>
      <c r="H273" s="12">
        <v>133.4</v>
      </c>
      <c r="I273" s="12">
        <v>154.5</v>
      </c>
      <c r="J273" s="12">
        <v>191.9</v>
      </c>
      <c r="K273" s="12">
        <v>151.30000000000001</v>
      </c>
      <c r="L273" s="12">
        <v>116.8</v>
      </c>
      <c r="M273" s="12">
        <v>160</v>
      </c>
      <c r="N273" s="12">
        <v>136.5</v>
      </c>
      <c r="O273" s="12">
        <v>163.30000000000001</v>
      </c>
      <c r="P273" s="12">
        <v>159.9</v>
      </c>
      <c r="Q273" s="12">
        <v>187.2</v>
      </c>
      <c r="R273" s="12">
        <v>150</v>
      </c>
      <c r="S273" s="12">
        <v>135.19999999999999</v>
      </c>
      <c r="T273" s="12">
        <v>147.80000000000001</v>
      </c>
      <c r="U273" s="12">
        <v>155.5</v>
      </c>
      <c r="V273" s="12">
        <v>138.30000000000001</v>
      </c>
      <c r="W273" s="12">
        <v>144.5</v>
      </c>
      <c r="X273" s="12">
        <v>148.69999999999999</v>
      </c>
      <c r="Y273" s="12">
        <v>133.9</v>
      </c>
      <c r="Z273" s="12">
        <v>141.19999999999999</v>
      </c>
      <c r="AA273" s="12">
        <v>155.5</v>
      </c>
      <c r="AB273" s="12">
        <v>155.19999999999999</v>
      </c>
      <c r="AC273" s="12">
        <v>144.80000000000001</v>
      </c>
      <c r="AD273" s="12">
        <v>152.9</v>
      </c>
    </row>
    <row r="274" spans="1:30" ht="15" customHeight="1" x14ac:dyDescent="0.2">
      <c r="A274" s="3" t="s">
        <v>89</v>
      </c>
      <c r="B274" s="12">
        <v>2020</v>
      </c>
      <c r="C274" s="3" t="s">
        <v>100</v>
      </c>
      <c r="D274" s="12">
        <v>148.9</v>
      </c>
      <c r="E274" s="12">
        <v>190.9</v>
      </c>
      <c r="F274" s="12">
        <v>150.80000000000001</v>
      </c>
      <c r="G274" s="12">
        <v>153.30000000000001</v>
      </c>
      <c r="H274" s="12">
        <v>137.4</v>
      </c>
      <c r="I274" s="12">
        <v>150.4</v>
      </c>
      <c r="J274" s="12">
        <v>178.1</v>
      </c>
      <c r="K274" s="12">
        <v>150.4</v>
      </c>
      <c r="L274" s="12">
        <v>115.1</v>
      </c>
      <c r="M274" s="12">
        <v>160</v>
      </c>
      <c r="N274" s="12">
        <v>140.6</v>
      </c>
      <c r="O274" s="12">
        <v>162.30000000000001</v>
      </c>
      <c r="P274" s="12">
        <v>157</v>
      </c>
      <c r="Q274" s="12">
        <v>182.6</v>
      </c>
      <c r="R274" s="12">
        <v>153.1</v>
      </c>
      <c r="S274" s="12">
        <v>143.4</v>
      </c>
      <c r="T274" s="12">
        <v>151.69999999999999</v>
      </c>
      <c r="U274" s="12">
        <v>155.5</v>
      </c>
      <c r="V274" s="12">
        <v>143</v>
      </c>
      <c r="W274" s="12">
        <v>148.4</v>
      </c>
      <c r="X274" s="12">
        <v>155</v>
      </c>
      <c r="Y274" s="12">
        <v>138.5</v>
      </c>
      <c r="Z274" s="12">
        <v>146</v>
      </c>
      <c r="AA274" s="12">
        <v>158.5</v>
      </c>
      <c r="AB274" s="12">
        <v>154.30000000000001</v>
      </c>
      <c r="AC274" s="12">
        <v>149</v>
      </c>
      <c r="AD274" s="12">
        <v>153.9</v>
      </c>
    </row>
    <row r="275" spans="1:30" ht="15" customHeight="1" x14ac:dyDescent="0.25">
      <c r="A275" s="3" t="s">
        <v>84</v>
      </c>
      <c r="B275" s="12">
        <v>2020</v>
      </c>
      <c r="C275" s="3" t="s">
        <v>102</v>
      </c>
      <c r="D275" s="12">
        <v>146.9</v>
      </c>
      <c r="E275" s="12">
        <v>183.9</v>
      </c>
      <c r="F275" s="12">
        <v>149.5</v>
      </c>
      <c r="G275" s="12">
        <v>153.4</v>
      </c>
      <c r="H275" s="12">
        <v>140.4</v>
      </c>
      <c r="I275" s="12">
        <v>147</v>
      </c>
      <c r="J275" s="12">
        <v>178.8</v>
      </c>
      <c r="K275" s="12">
        <v>149.30000000000001</v>
      </c>
      <c r="L275" s="12">
        <v>115.1</v>
      </c>
      <c r="M275" s="12">
        <v>160</v>
      </c>
      <c r="N275" s="12">
        <v>145.4</v>
      </c>
      <c r="O275" s="12">
        <v>161.6</v>
      </c>
      <c r="P275" s="12">
        <v>156.1</v>
      </c>
      <c r="Q275" s="12">
        <v>182.9</v>
      </c>
      <c r="R275" s="12">
        <v>155.4</v>
      </c>
      <c r="S275" s="12">
        <v>149.9</v>
      </c>
      <c r="T275" s="12">
        <v>154.6</v>
      </c>
      <c r="U275" s="13"/>
      <c r="V275" s="12">
        <v>146.4</v>
      </c>
      <c r="W275" s="12">
        <v>151.6</v>
      </c>
      <c r="X275" s="12">
        <v>159.1</v>
      </c>
      <c r="Y275" s="12">
        <v>144.6</v>
      </c>
      <c r="Z275" s="12">
        <v>152.80000000000001</v>
      </c>
      <c r="AA275" s="12">
        <v>161.1</v>
      </c>
      <c r="AB275" s="12">
        <v>157.4</v>
      </c>
      <c r="AC275" s="12">
        <v>153.69999999999999</v>
      </c>
      <c r="AD275" s="12">
        <v>155.4</v>
      </c>
    </row>
    <row r="276" spans="1:30" ht="15" customHeight="1" x14ac:dyDescent="0.2">
      <c r="A276" s="3" t="s">
        <v>87</v>
      </c>
      <c r="B276" s="12">
        <v>2020</v>
      </c>
      <c r="C276" s="3" t="s">
        <v>102</v>
      </c>
      <c r="D276" s="12">
        <v>151.5</v>
      </c>
      <c r="E276" s="12">
        <v>193.1</v>
      </c>
      <c r="F276" s="12">
        <v>157.30000000000001</v>
      </c>
      <c r="G276" s="12">
        <v>153.9</v>
      </c>
      <c r="H276" s="12">
        <v>134.4</v>
      </c>
      <c r="I276" s="12">
        <v>155.4</v>
      </c>
      <c r="J276" s="12">
        <v>202</v>
      </c>
      <c r="K276" s="12">
        <v>150.80000000000001</v>
      </c>
      <c r="L276" s="12">
        <v>118.9</v>
      </c>
      <c r="M276" s="12">
        <v>160.9</v>
      </c>
      <c r="N276" s="12">
        <v>137.69999999999999</v>
      </c>
      <c r="O276" s="12">
        <v>164.4</v>
      </c>
      <c r="P276" s="12">
        <v>161.30000000000001</v>
      </c>
      <c r="Q276" s="12">
        <v>188.7</v>
      </c>
      <c r="R276" s="12">
        <v>150.19999999999999</v>
      </c>
      <c r="S276" s="12">
        <v>136.30000000000001</v>
      </c>
      <c r="T276" s="12">
        <v>148.1</v>
      </c>
      <c r="U276" s="12">
        <v>156.30000000000001</v>
      </c>
      <c r="V276" s="12">
        <v>137.19999999999999</v>
      </c>
      <c r="W276" s="12">
        <v>145.4</v>
      </c>
      <c r="X276" s="12">
        <v>150</v>
      </c>
      <c r="Y276" s="12">
        <v>135.1</v>
      </c>
      <c r="Z276" s="12">
        <v>141.80000000000001</v>
      </c>
      <c r="AA276" s="12">
        <v>154.9</v>
      </c>
      <c r="AB276" s="12">
        <v>159.80000000000001</v>
      </c>
      <c r="AC276" s="12">
        <v>146</v>
      </c>
      <c r="AD276" s="12">
        <v>154</v>
      </c>
    </row>
    <row r="277" spans="1:30" ht="15" customHeight="1" x14ac:dyDescent="0.2">
      <c r="A277" s="3" t="s">
        <v>89</v>
      </c>
      <c r="B277" s="12">
        <v>2020</v>
      </c>
      <c r="C277" s="3" t="s">
        <v>102</v>
      </c>
      <c r="D277" s="12">
        <v>148.4</v>
      </c>
      <c r="E277" s="12">
        <v>187.1</v>
      </c>
      <c r="F277" s="12">
        <v>152.5</v>
      </c>
      <c r="G277" s="12">
        <v>153.6</v>
      </c>
      <c r="H277" s="12">
        <v>138.19999999999999</v>
      </c>
      <c r="I277" s="12">
        <v>150.9</v>
      </c>
      <c r="J277" s="12">
        <v>186.7</v>
      </c>
      <c r="K277" s="12">
        <v>149.80000000000001</v>
      </c>
      <c r="L277" s="12">
        <v>116.4</v>
      </c>
      <c r="M277" s="12">
        <v>160.30000000000001</v>
      </c>
      <c r="N277" s="12">
        <v>142.19999999999999</v>
      </c>
      <c r="O277" s="12">
        <v>162.9</v>
      </c>
      <c r="P277" s="12">
        <v>158</v>
      </c>
      <c r="Q277" s="12">
        <v>184.4</v>
      </c>
      <c r="R277" s="12">
        <v>153.4</v>
      </c>
      <c r="S277" s="12">
        <v>144.30000000000001</v>
      </c>
      <c r="T277" s="12">
        <v>152</v>
      </c>
      <c r="U277" s="12">
        <v>156.30000000000001</v>
      </c>
      <c r="V277" s="12">
        <v>142.9</v>
      </c>
      <c r="W277" s="12">
        <v>148.69999999999999</v>
      </c>
      <c r="X277" s="12">
        <v>155.6</v>
      </c>
      <c r="Y277" s="12">
        <v>139.6</v>
      </c>
      <c r="Z277" s="12">
        <v>146.6</v>
      </c>
      <c r="AA277" s="12">
        <v>157.5</v>
      </c>
      <c r="AB277" s="12">
        <v>158.4</v>
      </c>
      <c r="AC277" s="12">
        <v>150</v>
      </c>
      <c r="AD277" s="12">
        <v>154.69999999999999</v>
      </c>
    </row>
    <row r="278" spans="1:30" ht="15" customHeight="1" x14ac:dyDescent="0.25">
      <c r="A278" s="3" t="s">
        <v>84</v>
      </c>
      <c r="B278" s="12">
        <v>2020</v>
      </c>
      <c r="C278" s="3" t="s">
        <v>104</v>
      </c>
      <c r="D278" s="12">
        <v>146</v>
      </c>
      <c r="E278" s="12">
        <v>186.3</v>
      </c>
      <c r="F278" s="12">
        <v>159.19999999999999</v>
      </c>
      <c r="G278" s="12">
        <v>153.6</v>
      </c>
      <c r="H278" s="12">
        <v>142.6</v>
      </c>
      <c r="I278" s="12">
        <v>147.19999999999999</v>
      </c>
      <c r="J278" s="12">
        <v>200.6</v>
      </c>
      <c r="K278" s="12">
        <v>150.30000000000001</v>
      </c>
      <c r="L278" s="12">
        <v>115.3</v>
      </c>
      <c r="M278" s="12">
        <v>160.9</v>
      </c>
      <c r="N278" s="12">
        <v>147.4</v>
      </c>
      <c r="O278" s="12">
        <v>161.9</v>
      </c>
      <c r="P278" s="12">
        <v>159.6</v>
      </c>
      <c r="Q278" s="12">
        <v>182.7</v>
      </c>
      <c r="R278" s="12">
        <v>155.69999999999999</v>
      </c>
      <c r="S278" s="12">
        <v>150.6</v>
      </c>
      <c r="T278" s="12">
        <v>155</v>
      </c>
      <c r="U278" s="13"/>
      <c r="V278" s="12">
        <v>146.80000000000001</v>
      </c>
      <c r="W278" s="12">
        <v>152</v>
      </c>
      <c r="X278" s="12">
        <v>159.5</v>
      </c>
      <c r="Y278" s="12">
        <v>146.4</v>
      </c>
      <c r="Z278" s="12">
        <v>152.4</v>
      </c>
      <c r="AA278" s="12">
        <v>162.5</v>
      </c>
      <c r="AB278" s="12">
        <v>156.19999999999999</v>
      </c>
      <c r="AC278" s="12">
        <v>154.30000000000001</v>
      </c>
      <c r="AD278" s="12">
        <v>157.5</v>
      </c>
    </row>
    <row r="279" spans="1:30" ht="15" customHeight="1" x14ac:dyDescent="0.2">
      <c r="A279" s="3" t="s">
        <v>87</v>
      </c>
      <c r="B279" s="12">
        <v>2020</v>
      </c>
      <c r="C279" s="3" t="s">
        <v>104</v>
      </c>
      <c r="D279" s="12">
        <v>150.6</v>
      </c>
      <c r="E279" s="12">
        <v>193.7</v>
      </c>
      <c r="F279" s="12">
        <v>164.8</v>
      </c>
      <c r="G279" s="12">
        <v>153.69999999999999</v>
      </c>
      <c r="H279" s="12">
        <v>135.69999999999999</v>
      </c>
      <c r="I279" s="12">
        <v>155.69999999999999</v>
      </c>
      <c r="J279" s="12">
        <v>226</v>
      </c>
      <c r="K279" s="12">
        <v>152.19999999999999</v>
      </c>
      <c r="L279" s="12">
        <v>118.1</v>
      </c>
      <c r="M279" s="12">
        <v>161.30000000000001</v>
      </c>
      <c r="N279" s="12">
        <v>139.19999999999999</v>
      </c>
      <c r="O279" s="12">
        <v>164.8</v>
      </c>
      <c r="P279" s="12">
        <v>164.4</v>
      </c>
      <c r="Q279" s="12">
        <v>188.7</v>
      </c>
      <c r="R279" s="12">
        <v>150.5</v>
      </c>
      <c r="S279" s="12">
        <v>136.1</v>
      </c>
      <c r="T279" s="12">
        <v>148.30000000000001</v>
      </c>
      <c r="U279" s="12">
        <v>156.5</v>
      </c>
      <c r="V279" s="12">
        <v>137.1</v>
      </c>
      <c r="W279" s="12">
        <v>145.1</v>
      </c>
      <c r="X279" s="12">
        <v>151</v>
      </c>
      <c r="Y279" s="12">
        <v>135.4</v>
      </c>
      <c r="Z279" s="12">
        <v>142</v>
      </c>
      <c r="AA279" s="12">
        <v>155.69999999999999</v>
      </c>
      <c r="AB279" s="12">
        <v>158.1</v>
      </c>
      <c r="AC279" s="12">
        <v>146.19999999999999</v>
      </c>
      <c r="AD279" s="12">
        <v>155.19999999999999</v>
      </c>
    </row>
    <row r="280" spans="1:30" ht="15" customHeight="1" x14ac:dyDescent="0.2">
      <c r="A280" s="3" t="s">
        <v>89</v>
      </c>
      <c r="B280" s="12">
        <v>2020</v>
      </c>
      <c r="C280" s="3" t="s">
        <v>104</v>
      </c>
      <c r="D280" s="12">
        <v>147.5</v>
      </c>
      <c r="E280" s="12">
        <v>188.9</v>
      </c>
      <c r="F280" s="12">
        <v>161.4</v>
      </c>
      <c r="G280" s="12">
        <v>153.6</v>
      </c>
      <c r="H280" s="12">
        <v>140.1</v>
      </c>
      <c r="I280" s="12">
        <v>151.19999999999999</v>
      </c>
      <c r="J280" s="12">
        <v>209.2</v>
      </c>
      <c r="K280" s="12">
        <v>150.9</v>
      </c>
      <c r="L280" s="12">
        <v>116.2</v>
      </c>
      <c r="M280" s="12">
        <v>161</v>
      </c>
      <c r="N280" s="12">
        <v>144</v>
      </c>
      <c r="O280" s="12">
        <v>163.19999999999999</v>
      </c>
      <c r="P280" s="12">
        <v>161.4</v>
      </c>
      <c r="Q280" s="12">
        <v>184.3</v>
      </c>
      <c r="R280" s="12">
        <v>153.69999999999999</v>
      </c>
      <c r="S280" s="12">
        <v>144.6</v>
      </c>
      <c r="T280" s="12">
        <v>152.30000000000001</v>
      </c>
      <c r="U280" s="12">
        <v>156.5</v>
      </c>
      <c r="V280" s="12">
        <v>143.1</v>
      </c>
      <c r="W280" s="12">
        <v>148.69999999999999</v>
      </c>
      <c r="X280" s="12">
        <v>156.30000000000001</v>
      </c>
      <c r="Y280" s="12">
        <v>140.6</v>
      </c>
      <c r="Z280" s="12">
        <v>146.5</v>
      </c>
      <c r="AA280" s="12">
        <v>158.5</v>
      </c>
      <c r="AB280" s="12">
        <v>157</v>
      </c>
      <c r="AC280" s="12">
        <v>150.4</v>
      </c>
      <c r="AD280" s="12">
        <v>156.4</v>
      </c>
    </row>
    <row r="281" spans="1:30" ht="15" customHeight="1" x14ac:dyDescent="0.25">
      <c r="A281" s="3" t="s">
        <v>84</v>
      </c>
      <c r="B281" s="12">
        <v>2020</v>
      </c>
      <c r="C281" s="3" t="s">
        <v>107</v>
      </c>
      <c r="D281" s="12">
        <v>145.4</v>
      </c>
      <c r="E281" s="12">
        <v>188.6</v>
      </c>
      <c r="F281" s="12">
        <v>171.6</v>
      </c>
      <c r="G281" s="12">
        <v>153.80000000000001</v>
      </c>
      <c r="H281" s="12">
        <v>145.4</v>
      </c>
      <c r="I281" s="12">
        <v>146.5</v>
      </c>
      <c r="J281" s="12">
        <v>222.2</v>
      </c>
      <c r="K281" s="12">
        <v>155.9</v>
      </c>
      <c r="L281" s="12">
        <v>114.9</v>
      </c>
      <c r="M281" s="12">
        <v>162</v>
      </c>
      <c r="N281" s="12">
        <v>150</v>
      </c>
      <c r="O281" s="12">
        <v>162.69999999999999</v>
      </c>
      <c r="P281" s="12">
        <v>163.4</v>
      </c>
      <c r="Q281" s="12">
        <v>183.4</v>
      </c>
      <c r="R281" s="12">
        <v>156.30000000000001</v>
      </c>
      <c r="S281" s="12">
        <v>151</v>
      </c>
      <c r="T281" s="12">
        <v>155.5</v>
      </c>
      <c r="U281" s="13"/>
      <c r="V281" s="12">
        <v>147.5</v>
      </c>
      <c r="W281" s="12">
        <v>152.80000000000001</v>
      </c>
      <c r="X281" s="12">
        <v>160.4</v>
      </c>
      <c r="Y281" s="12">
        <v>146.1</v>
      </c>
      <c r="Z281" s="12">
        <v>153.6</v>
      </c>
      <c r="AA281" s="12">
        <v>161.6</v>
      </c>
      <c r="AB281" s="12">
        <v>156.19999999999999</v>
      </c>
      <c r="AC281" s="12">
        <v>154.5</v>
      </c>
      <c r="AD281" s="12">
        <v>159.80000000000001</v>
      </c>
    </row>
    <row r="282" spans="1:30" ht="15" customHeight="1" x14ac:dyDescent="0.2">
      <c r="A282" s="3" t="s">
        <v>87</v>
      </c>
      <c r="B282" s="12">
        <v>2020</v>
      </c>
      <c r="C282" s="3" t="s">
        <v>107</v>
      </c>
      <c r="D282" s="12">
        <v>149.69999999999999</v>
      </c>
      <c r="E282" s="12">
        <v>195.5</v>
      </c>
      <c r="F282" s="12">
        <v>176.9</v>
      </c>
      <c r="G282" s="12">
        <v>153.9</v>
      </c>
      <c r="H282" s="12">
        <v>138</v>
      </c>
      <c r="I282" s="12">
        <v>150.5</v>
      </c>
      <c r="J282" s="12">
        <v>245.3</v>
      </c>
      <c r="K282" s="12">
        <v>158.69999999999999</v>
      </c>
      <c r="L282" s="12">
        <v>117.2</v>
      </c>
      <c r="M282" s="12">
        <v>161.4</v>
      </c>
      <c r="N282" s="12">
        <v>141.5</v>
      </c>
      <c r="O282" s="12">
        <v>165.1</v>
      </c>
      <c r="P282" s="12">
        <v>167</v>
      </c>
      <c r="Q282" s="12">
        <v>188.8</v>
      </c>
      <c r="R282" s="12">
        <v>151.1</v>
      </c>
      <c r="S282" s="12">
        <v>136.4</v>
      </c>
      <c r="T282" s="12">
        <v>148.80000000000001</v>
      </c>
      <c r="U282" s="12">
        <v>158</v>
      </c>
      <c r="V282" s="12">
        <v>137.30000000000001</v>
      </c>
      <c r="W282" s="12">
        <v>145.1</v>
      </c>
      <c r="X282" s="12">
        <v>152</v>
      </c>
      <c r="Y282" s="12">
        <v>135.19999999999999</v>
      </c>
      <c r="Z282" s="12">
        <v>144.4</v>
      </c>
      <c r="AA282" s="12">
        <v>156.4</v>
      </c>
      <c r="AB282" s="12">
        <v>157.9</v>
      </c>
      <c r="AC282" s="12">
        <v>146.6</v>
      </c>
      <c r="AD282" s="12">
        <v>156.69999999999999</v>
      </c>
    </row>
    <row r="283" spans="1:30" ht="15" customHeight="1" x14ac:dyDescent="0.2">
      <c r="A283" s="3" t="s">
        <v>89</v>
      </c>
      <c r="B283" s="12">
        <v>2020</v>
      </c>
      <c r="C283" s="3" t="s">
        <v>107</v>
      </c>
      <c r="D283" s="12">
        <v>146.80000000000001</v>
      </c>
      <c r="E283" s="12">
        <v>191</v>
      </c>
      <c r="F283" s="12">
        <v>173.6</v>
      </c>
      <c r="G283" s="12">
        <v>153.80000000000001</v>
      </c>
      <c r="H283" s="12">
        <v>142.69999999999999</v>
      </c>
      <c r="I283" s="12">
        <v>148.4</v>
      </c>
      <c r="J283" s="12">
        <v>230</v>
      </c>
      <c r="K283" s="12">
        <v>156.80000000000001</v>
      </c>
      <c r="L283" s="12">
        <v>115.7</v>
      </c>
      <c r="M283" s="12">
        <v>161.80000000000001</v>
      </c>
      <c r="N283" s="12">
        <v>146.5</v>
      </c>
      <c r="O283" s="12">
        <v>163.80000000000001</v>
      </c>
      <c r="P283" s="12">
        <v>164.7</v>
      </c>
      <c r="Q283" s="12">
        <v>184.8</v>
      </c>
      <c r="R283" s="12">
        <v>154.30000000000001</v>
      </c>
      <c r="S283" s="12">
        <v>144.9</v>
      </c>
      <c r="T283" s="12">
        <v>152.80000000000001</v>
      </c>
      <c r="U283" s="12">
        <v>158</v>
      </c>
      <c r="V283" s="12">
        <v>143.6</v>
      </c>
      <c r="W283" s="12">
        <v>149.19999999999999</v>
      </c>
      <c r="X283" s="12">
        <v>157.19999999999999</v>
      </c>
      <c r="Y283" s="12">
        <v>140.4</v>
      </c>
      <c r="Z283" s="12">
        <v>148.4</v>
      </c>
      <c r="AA283" s="12">
        <v>158.6</v>
      </c>
      <c r="AB283" s="12">
        <v>156.9</v>
      </c>
      <c r="AC283" s="12">
        <v>150.69999999999999</v>
      </c>
      <c r="AD283" s="12">
        <v>158.4</v>
      </c>
    </row>
    <row r="284" spans="1:30" ht="15" customHeight="1" x14ac:dyDescent="0.25">
      <c r="A284" s="3" t="s">
        <v>84</v>
      </c>
      <c r="B284" s="12">
        <v>2020</v>
      </c>
      <c r="C284" s="3" t="s">
        <v>109</v>
      </c>
      <c r="D284" s="12">
        <v>144.6</v>
      </c>
      <c r="E284" s="12">
        <v>188.5</v>
      </c>
      <c r="F284" s="12">
        <v>173.4</v>
      </c>
      <c r="G284" s="12">
        <v>154</v>
      </c>
      <c r="H284" s="12">
        <v>150</v>
      </c>
      <c r="I284" s="12">
        <v>145.9</v>
      </c>
      <c r="J284" s="12">
        <v>225.2</v>
      </c>
      <c r="K284" s="12">
        <v>159.5</v>
      </c>
      <c r="L284" s="12">
        <v>114.4</v>
      </c>
      <c r="M284" s="12">
        <v>163.5</v>
      </c>
      <c r="N284" s="12">
        <v>153.4</v>
      </c>
      <c r="O284" s="12">
        <v>163.6</v>
      </c>
      <c r="P284" s="12">
        <v>164.5</v>
      </c>
      <c r="Q284" s="12">
        <v>183.6</v>
      </c>
      <c r="R284" s="12">
        <v>157</v>
      </c>
      <c r="S284" s="12">
        <v>151.6</v>
      </c>
      <c r="T284" s="12">
        <v>156.30000000000001</v>
      </c>
      <c r="U284" s="13"/>
      <c r="V284" s="12">
        <v>148.69999999999999</v>
      </c>
      <c r="W284" s="12">
        <v>153.4</v>
      </c>
      <c r="X284" s="12">
        <v>161.6</v>
      </c>
      <c r="Y284" s="12">
        <v>146.4</v>
      </c>
      <c r="Z284" s="12">
        <v>153.9</v>
      </c>
      <c r="AA284" s="12">
        <v>162.9</v>
      </c>
      <c r="AB284" s="12">
        <v>156.6</v>
      </c>
      <c r="AC284" s="12">
        <v>155.19999999999999</v>
      </c>
      <c r="AD284" s="12">
        <v>160.69999999999999</v>
      </c>
    </row>
    <row r="285" spans="1:30" ht="15" customHeight="1" x14ac:dyDescent="0.2">
      <c r="A285" s="3" t="s">
        <v>87</v>
      </c>
      <c r="B285" s="12">
        <v>2020</v>
      </c>
      <c r="C285" s="3" t="s">
        <v>109</v>
      </c>
      <c r="D285" s="12">
        <v>149</v>
      </c>
      <c r="E285" s="12">
        <v>195.7</v>
      </c>
      <c r="F285" s="12">
        <v>178.3</v>
      </c>
      <c r="G285" s="12">
        <v>154.19999999999999</v>
      </c>
      <c r="H285" s="12">
        <v>140.69999999999999</v>
      </c>
      <c r="I285" s="12">
        <v>149.69999999999999</v>
      </c>
      <c r="J285" s="12">
        <v>240.9</v>
      </c>
      <c r="K285" s="12">
        <v>161.5</v>
      </c>
      <c r="L285" s="12">
        <v>117.1</v>
      </c>
      <c r="M285" s="12">
        <v>161.9</v>
      </c>
      <c r="N285" s="12">
        <v>143.30000000000001</v>
      </c>
      <c r="O285" s="12">
        <v>166.1</v>
      </c>
      <c r="P285" s="12">
        <v>167</v>
      </c>
      <c r="Q285" s="12">
        <v>190.2</v>
      </c>
      <c r="R285" s="12">
        <v>151.9</v>
      </c>
      <c r="S285" s="12">
        <v>136.69999999999999</v>
      </c>
      <c r="T285" s="12">
        <v>149.6</v>
      </c>
      <c r="U285" s="12">
        <v>158.4</v>
      </c>
      <c r="V285" s="12">
        <v>137.9</v>
      </c>
      <c r="W285" s="12">
        <v>145.5</v>
      </c>
      <c r="X285" s="12">
        <v>152.9</v>
      </c>
      <c r="Y285" s="12">
        <v>135.5</v>
      </c>
      <c r="Z285" s="12">
        <v>144.30000000000001</v>
      </c>
      <c r="AA285" s="12">
        <v>156.9</v>
      </c>
      <c r="AB285" s="12">
        <v>157.9</v>
      </c>
      <c r="AC285" s="12">
        <v>146.9</v>
      </c>
      <c r="AD285" s="12">
        <v>156.9</v>
      </c>
    </row>
    <row r="286" spans="1:30" ht="15" customHeight="1" x14ac:dyDescent="0.2">
      <c r="A286" s="3" t="s">
        <v>89</v>
      </c>
      <c r="B286" s="12">
        <v>2020</v>
      </c>
      <c r="C286" s="3" t="s">
        <v>109</v>
      </c>
      <c r="D286" s="12">
        <v>146</v>
      </c>
      <c r="E286" s="12">
        <v>191</v>
      </c>
      <c r="F286" s="12">
        <v>175.3</v>
      </c>
      <c r="G286" s="12">
        <v>154.1</v>
      </c>
      <c r="H286" s="12">
        <v>146.6</v>
      </c>
      <c r="I286" s="12">
        <v>147.69999999999999</v>
      </c>
      <c r="J286" s="12">
        <v>230.5</v>
      </c>
      <c r="K286" s="12">
        <v>160.19999999999999</v>
      </c>
      <c r="L286" s="12">
        <v>115.3</v>
      </c>
      <c r="M286" s="12">
        <v>163</v>
      </c>
      <c r="N286" s="12">
        <v>149.19999999999999</v>
      </c>
      <c r="O286" s="12">
        <v>164.8</v>
      </c>
      <c r="P286" s="12">
        <v>165.4</v>
      </c>
      <c r="Q286" s="12">
        <v>185.4</v>
      </c>
      <c r="R286" s="12">
        <v>155</v>
      </c>
      <c r="S286" s="12">
        <v>145.4</v>
      </c>
      <c r="T286" s="12">
        <v>153.6</v>
      </c>
      <c r="U286" s="12">
        <v>158.4</v>
      </c>
      <c r="V286" s="12">
        <v>144.6</v>
      </c>
      <c r="W286" s="12">
        <v>149.69999999999999</v>
      </c>
      <c r="X286" s="12">
        <v>158.30000000000001</v>
      </c>
      <c r="Y286" s="12">
        <v>140.69999999999999</v>
      </c>
      <c r="Z286" s="12">
        <v>148.5</v>
      </c>
      <c r="AA286" s="12">
        <v>159.4</v>
      </c>
      <c r="AB286" s="12">
        <v>157.1</v>
      </c>
      <c r="AC286" s="12">
        <v>151.19999999999999</v>
      </c>
      <c r="AD286" s="12">
        <v>158.9</v>
      </c>
    </row>
    <row r="287" spans="1:30" ht="15" customHeight="1" x14ac:dyDescent="0.25">
      <c r="A287" s="3" t="s">
        <v>84</v>
      </c>
      <c r="B287" s="12">
        <v>2021</v>
      </c>
      <c r="C287" s="3" t="s">
        <v>85</v>
      </c>
      <c r="D287" s="12">
        <v>143.4</v>
      </c>
      <c r="E287" s="12">
        <v>187.5</v>
      </c>
      <c r="F287" s="12">
        <v>173.4</v>
      </c>
      <c r="G287" s="12">
        <v>154</v>
      </c>
      <c r="H287" s="12">
        <v>154.80000000000001</v>
      </c>
      <c r="I287" s="12">
        <v>147</v>
      </c>
      <c r="J287" s="12">
        <v>187.8</v>
      </c>
      <c r="K287" s="12">
        <v>159.5</v>
      </c>
      <c r="L287" s="12">
        <v>113.8</v>
      </c>
      <c r="M287" s="12">
        <v>164.5</v>
      </c>
      <c r="N287" s="12">
        <v>156.1</v>
      </c>
      <c r="O287" s="12">
        <v>164.3</v>
      </c>
      <c r="P287" s="12">
        <v>159.6</v>
      </c>
      <c r="Q287" s="12">
        <v>184.6</v>
      </c>
      <c r="R287" s="12">
        <v>157.5</v>
      </c>
      <c r="S287" s="12">
        <v>152.4</v>
      </c>
      <c r="T287" s="12">
        <v>156.80000000000001</v>
      </c>
      <c r="U287" s="13"/>
      <c r="V287" s="12">
        <v>150.9</v>
      </c>
      <c r="W287" s="12">
        <v>153.9</v>
      </c>
      <c r="X287" s="12">
        <v>162.5</v>
      </c>
      <c r="Y287" s="12">
        <v>147.5</v>
      </c>
      <c r="Z287" s="12">
        <v>155.1</v>
      </c>
      <c r="AA287" s="12">
        <v>163.5</v>
      </c>
      <c r="AB287" s="12">
        <v>156.19999999999999</v>
      </c>
      <c r="AC287" s="12">
        <v>155.9</v>
      </c>
      <c r="AD287" s="12">
        <v>158.5</v>
      </c>
    </row>
    <row r="288" spans="1:30" ht="15" customHeight="1" x14ac:dyDescent="0.2">
      <c r="A288" s="3" t="s">
        <v>87</v>
      </c>
      <c r="B288" s="12">
        <v>2021</v>
      </c>
      <c r="C288" s="3" t="s">
        <v>85</v>
      </c>
      <c r="D288" s="12">
        <v>148</v>
      </c>
      <c r="E288" s="12">
        <v>194.8</v>
      </c>
      <c r="F288" s="12">
        <v>178.4</v>
      </c>
      <c r="G288" s="12">
        <v>154.4</v>
      </c>
      <c r="H288" s="12">
        <v>144.1</v>
      </c>
      <c r="I288" s="12">
        <v>152.6</v>
      </c>
      <c r="J288" s="12">
        <v>206.8</v>
      </c>
      <c r="K288" s="12">
        <v>162.1</v>
      </c>
      <c r="L288" s="12">
        <v>116.3</v>
      </c>
      <c r="M288" s="12">
        <v>163</v>
      </c>
      <c r="N288" s="12">
        <v>145.9</v>
      </c>
      <c r="O288" s="12">
        <v>167.2</v>
      </c>
      <c r="P288" s="12">
        <v>163.4</v>
      </c>
      <c r="Q288" s="12">
        <v>191.8</v>
      </c>
      <c r="R288" s="12">
        <v>152.5</v>
      </c>
      <c r="S288" s="12">
        <v>137.30000000000001</v>
      </c>
      <c r="T288" s="12">
        <v>150.19999999999999</v>
      </c>
      <c r="U288" s="12">
        <v>157.69999999999999</v>
      </c>
      <c r="V288" s="12">
        <v>142.9</v>
      </c>
      <c r="W288" s="12">
        <v>145.69999999999999</v>
      </c>
      <c r="X288" s="12">
        <v>154.1</v>
      </c>
      <c r="Y288" s="12">
        <v>136.9</v>
      </c>
      <c r="Z288" s="12">
        <v>145.4</v>
      </c>
      <c r="AA288" s="12">
        <v>156.1</v>
      </c>
      <c r="AB288" s="12">
        <v>157.69999999999999</v>
      </c>
      <c r="AC288" s="12">
        <v>147.6</v>
      </c>
      <c r="AD288" s="12">
        <v>156</v>
      </c>
    </row>
    <row r="289" spans="1:30" ht="15" customHeight="1" x14ac:dyDescent="0.2">
      <c r="A289" s="3" t="s">
        <v>89</v>
      </c>
      <c r="B289" s="12">
        <v>2021</v>
      </c>
      <c r="C289" s="3" t="s">
        <v>85</v>
      </c>
      <c r="D289" s="12">
        <v>144.9</v>
      </c>
      <c r="E289" s="12">
        <v>190.1</v>
      </c>
      <c r="F289" s="12">
        <v>175.3</v>
      </c>
      <c r="G289" s="12">
        <v>154.1</v>
      </c>
      <c r="H289" s="12">
        <v>150.9</v>
      </c>
      <c r="I289" s="12">
        <v>149.6</v>
      </c>
      <c r="J289" s="12">
        <v>194.2</v>
      </c>
      <c r="K289" s="12">
        <v>160.4</v>
      </c>
      <c r="L289" s="12">
        <v>114.6</v>
      </c>
      <c r="M289" s="12">
        <v>164</v>
      </c>
      <c r="N289" s="12">
        <v>151.80000000000001</v>
      </c>
      <c r="O289" s="12">
        <v>165.6</v>
      </c>
      <c r="P289" s="12">
        <v>161</v>
      </c>
      <c r="Q289" s="12">
        <v>186.5</v>
      </c>
      <c r="R289" s="12">
        <v>155.5</v>
      </c>
      <c r="S289" s="12">
        <v>146.1</v>
      </c>
      <c r="T289" s="12">
        <v>154.19999999999999</v>
      </c>
      <c r="U289" s="12">
        <v>157.69999999999999</v>
      </c>
      <c r="V289" s="12">
        <v>147.9</v>
      </c>
      <c r="W289" s="12">
        <v>150</v>
      </c>
      <c r="X289" s="12">
        <v>159.30000000000001</v>
      </c>
      <c r="Y289" s="12">
        <v>141.9</v>
      </c>
      <c r="Z289" s="12">
        <v>149.6</v>
      </c>
      <c r="AA289" s="12">
        <v>159.19999999999999</v>
      </c>
      <c r="AB289" s="12">
        <v>156.80000000000001</v>
      </c>
      <c r="AC289" s="12">
        <v>151.9</v>
      </c>
      <c r="AD289" s="12">
        <v>157.30000000000001</v>
      </c>
    </row>
    <row r="290" spans="1:30" ht="15" customHeight="1" x14ac:dyDescent="0.25">
      <c r="A290" s="3" t="s">
        <v>84</v>
      </c>
      <c r="B290" s="12">
        <v>2021</v>
      </c>
      <c r="C290" s="3" t="s">
        <v>90</v>
      </c>
      <c r="D290" s="12">
        <v>142.80000000000001</v>
      </c>
      <c r="E290" s="12">
        <v>184</v>
      </c>
      <c r="F290" s="12">
        <v>168</v>
      </c>
      <c r="G290" s="12">
        <v>154.4</v>
      </c>
      <c r="H290" s="12">
        <v>163</v>
      </c>
      <c r="I290" s="12">
        <v>147.80000000000001</v>
      </c>
      <c r="J290" s="12">
        <v>149.69999999999999</v>
      </c>
      <c r="K290" s="12">
        <v>158.30000000000001</v>
      </c>
      <c r="L290" s="12">
        <v>111.8</v>
      </c>
      <c r="M290" s="12">
        <v>165</v>
      </c>
      <c r="N290" s="12">
        <v>160</v>
      </c>
      <c r="O290" s="12">
        <v>165.8</v>
      </c>
      <c r="P290" s="12">
        <v>154.69999999999999</v>
      </c>
      <c r="Q290" s="12">
        <v>186.5</v>
      </c>
      <c r="R290" s="12">
        <v>159.1</v>
      </c>
      <c r="S290" s="12">
        <v>153.9</v>
      </c>
      <c r="T290" s="12">
        <v>158.4</v>
      </c>
      <c r="U290" s="13"/>
      <c r="V290" s="12">
        <v>154.4</v>
      </c>
      <c r="W290" s="12">
        <v>154.80000000000001</v>
      </c>
      <c r="X290" s="12">
        <v>164.3</v>
      </c>
      <c r="Y290" s="12">
        <v>150.19999999999999</v>
      </c>
      <c r="Z290" s="12">
        <v>157</v>
      </c>
      <c r="AA290" s="12">
        <v>163.6</v>
      </c>
      <c r="AB290" s="12">
        <v>155.19999999999999</v>
      </c>
      <c r="AC290" s="12">
        <v>157.19999999999999</v>
      </c>
      <c r="AD290" s="12">
        <v>156.69999999999999</v>
      </c>
    </row>
    <row r="291" spans="1:30" ht="15" customHeight="1" x14ac:dyDescent="0.2">
      <c r="A291" s="3" t="s">
        <v>87</v>
      </c>
      <c r="B291" s="12">
        <v>2021</v>
      </c>
      <c r="C291" s="3" t="s">
        <v>90</v>
      </c>
      <c r="D291" s="12">
        <v>147.6</v>
      </c>
      <c r="E291" s="12">
        <v>191.2</v>
      </c>
      <c r="F291" s="12">
        <v>169.9</v>
      </c>
      <c r="G291" s="12">
        <v>155.1</v>
      </c>
      <c r="H291" s="12">
        <v>151.4</v>
      </c>
      <c r="I291" s="12">
        <v>154</v>
      </c>
      <c r="J291" s="12">
        <v>180.2</v>
      </c>
      <c r="K291" s="12">
        <v>159.80000000000001</v>
      </c>
      <c r="L291" s="12">
        <v>114.9</v>
      </c>
      <c r="M291" s="12">
        <v>162.5</v>
      </c>
      <c r="N291" s="12">
        <v>149.19999999999999</v>
      </c>
      <c r="O291" s="12">
        <v>169.4</v>
      </c>
      <c r="P291" s="12">
        <v>160.80000000000001</v>
      </c>
      <c r="Q291" s="12">
        <v>193.3</v>
      </c>
      <c r="R291" s="12">
        <v>154.19999999999999</v>
      </c>
      <c r="S291" s="12">
        <v>138.19999999999999</v>
      </c>
      <c r="T291" s="12">
        <v>151.80000000000001</v>
      </c>
      <c r="U291" s="12">
        <v>159.80000000000001</v>
      </c>
      <c r="V291" s="12">
        <v>149.1</v>
      </c>
      <c r="W291" s="12">
        <v>146.5</v>
      </c>
      <c r="X291" s="12">
        <v>156.30000000000001</v>
      </c>
      <c r="Y291" s="12">
        <v>140.5</v>
      </c>
      <c r="Z291" s="12">
        <v>147.30000000000001</v>
      </c>
      <c r="AA291" s="12">
        <v>156.6</v>
      </c>
      <c r="AB291" s="12">
        <v>156.69999999999999</v>
      </c>
      <c r="AC291" s="12">
        <v>149.30000000000001</v>
      </c>
      <c r="AD291" s="12">
        <v>156.5</v>
      </c>
    </row>
    <row r="292" spans="1:30" ht="15" customHeight="1" x14ac:dyDescent="0.2">
      <c r="A292" s="3" t="s">
        <v>89</v>
      </c>
      <c r="B292" s="12">
        <v>2021</v>
      </c>
      <c r="C292" s="3" t="s">
        <v>90</v>
      </c>
      <c r="D292" s="12">
        <v>144.30000000000001</v>
      </c>
      <c r="E292" s="12">
        <v>186.5</v>
      </c>
      <c r="F292" s="12">
        <v>168.7</v>
      </c>
      <c r="G292" s="12">
        <v>154.69999999999999</v>
      </c>
      <c r="H292" s="12">
        <v>158.69999999999999</v>
      </c>
      <c r="I292" s="12">
        <v>150.69999999999999</v>
      </c>
      <c r="J292" s="12">
        <v>160</v>
      </c>
      <c r="K292" s="12">
        <v>158.80000000000001</v>
      </c>
      <c r="L292" s="12">
        <v>112.8</v>
      </c>
      <c r="M292" s="12">
        <v>164.2</v>
      </c>
      <c r="N292" s="12">
        <v>155.5</v>
      </c>
      <c r="O292" s="12">
        <v>167.5</v>
      </c>
      <c r="P292" s="12">
        <v>156.9</v>
      </c>
      <c r="Q292" s="12">
        <v>188.3</v>
      </c>
      <c r="R292" s="12">
        <v>157.19999999999999</v>
      </c>
      <c r="S292" s="12">
        <v>147.4</v>
      </c>
      <c r="T292" s="12">
        <v>155.80000000000001</v>
      </c>
      <c r="U292" s="12">
        <v>159.80000000000001</v>
      </c>
      <c r="V292" s="12">
        <v>152.4</v>
      </c>
      <c r="W292" s="12">
        <v>150.9</v>
      </c>
      <c r="X292" s="12">
        <v>161.30000000000001</v>
      </c>
      <c r="Y292" s="12">
        <v>145.1</v>
      </c>
      <c r="Z292" s="12">
        <v>151.5</v>
      </c>
      <c r="AA292" s="12">
        <v>159.5</v>
      </c>
      <c r="AB292" s="12">
        <v>155.80000000000001</v>
      </c>
      <c r="AC292" s="12">
        <v>153.4</v>
      </c>
      <c r="AD292" s="12">
        <v>156.6</v>
      </c>
    </row>
    <row r="293" spans="1:30" ht="15" customHeight="1" x14ac:dyDescent="0.25">
      <c r="A293" s="3" t="s">
        <v>84</v>
      </c>
      <c r="B293" s="12">
        <v>2021</v>
      </c>
      <c r="C293" s="3" t="s">
        <v>92</v>
      </c>
      <c r="D293" s="12">
        <v>142.5</v>
      </c>
      <c r="E293" s="12">
        <v>189.4</v>
      </c>
      <c r="F293" s="12">
        <v>163.19999999999999</v>
      </c>
      <c r="G293" s="12">
        <v>154.5</v>
      </c>
      <c r="H293" s="12">
        <v>168.2</v>
      </c>
      <c r="I293" s="12">
        <v>150.5</v>
      </c>
      <c r="J293" s="12">
        <v>141</v>
      </c>
      <c r="K293" s="12">
        <v>159.19999999999999</v>
      </c>
      <c r="L293" s="12">
        <v>111.7</v>
      </c>
      <c r="M293" s="12">
        <v>164</v>
      </c>
      <c r="N293" s="12">
        <v>160.6</v>
      </c>
      <c r="O293" s="12">
        <v>166.4</v>
      </c>
      <c r="P293" s="12">
        <v>154.5</v>
      </c>
      <c r="Q293" s="12">
        <v>186.1</v>
      </c>
      <c r="R293" s="12">
        <v>159.6</v>
      </c>
      <c r="S293" s="12">
        <v>154.4</v>
      </c>
      <c r="T293" s="12">
        <v>158.9</v>
      </c>
      <c r="U293" s="13"/>
      <c r="V293" s="12">
        <v>156</v>
      </c>
      <c r="W293" s="12">
        <v>154.80000000000001</v>
      </c>
      <c r="X293" s="12">
        <v>164.6</v>
      </c>
      <c r="Y293" s="12">
        <v>151.30000000000001</v>
      </c>
      <c r="Z293" s="12">
        <v>157.80000000000001</v>
      </c>
      <c r="AA293" s="12">
        <v>163.80000000000001</v>
      </c>
      <c r="AB293" s="12">
        <v>153.1</v>
      </c>
      <c r="AC293" s="12">
        <v>157.30000000000001</v>
      </c>
      <c r="AD293" s="12">
        <v>156.69999999999999</v>
      </c>
    </row>
    <row r="294" spans="1:30" ht="15" customHeight="1" x14ac:dyDescent="0.2">
      <c r="A294" s="3" t="s">
        <v>87</v>
      </c>
      <c r="B294" s="12">
        <v>2021</v>
      </c>
      <c r="C294" s="3" t="s">
        <v>92</v>
      </c>
      <c r="D294" s="12">
        <v>147.5</v>
      </c>
      <c r="E294" s="12">
        <v>197.5</v>
      </c>
      <c r="F294" s="12">
        <v>164.7</v>
      </c>
      <c r="G294" s="12">
        <v>155.6</v>
      </c>
      <c r="H294" s="12">
        <v>156.4</v>
      </c>
      <c r="I294" s="12">
        <v>157.30000000000001</v>
      </c>
      <c r="J294" s="12">
        <v>166.1</v>
      </c>
      <c r="K294" s="12">
        <v>161.1</v>
      </c>
      <c r="L294" s="12">
        <v>114.3</v>
      </c>
      <c r="M294" s="12">
        <v>162.6</v>
      </c>
      <c r="N294" s="12">
        <v>150.69999999999999</v>
      </c>
      <c r="O294" s="12">
        <v>170.3</v>
      </c>
      <c r="P294" s="12">
        <v>160.4</v>
      </c>
      <c r="Q294" s="12">
        <v>193.5</v>
      </c>
      <c r="R294" s="12">
        <v>155.1</v>
      </c>
      <c r="S294" s="12">
        <v>138.69999999999999</v>
      </c>
      <c r="T294" s="12">
        <v>152.6</v>
      </c>
      <c r="U294" s="12">
        <v>159.9</v>
      </c>
      <c r="V294" s="12">
        <v>154.80000000000001</v>
      </c>
      <c r="W294" s="12">
        <v>147.19999999999999</v>
      </c>
      <c r="X294" s="12">
        <v>156.9</v>
      </c>
      <c r="Y294" s="12">
        <v>141.69999999999999</v>
      </c>
      <c r="Z294" s="12">
        <v>148.6</v>
      </c>
      <c r="AA294" s="12">
        <v>157.6</v>
      </c>
      <c r="AB294" s="12">
        <v>154.9</v>
      </c>
      <c r="AC294" s="12">
        <v>150</v>
      </c>
      <c r="AD294" s="12">
        <v>156.9</v>
      </c>
    </row>
    <row r="295" spans="1:30" ht="15" customHeight="1" x14ac:dyDescent="0.2">
      <c r="A295" s="3" t="s">
        <v>89</v>
      </c>
      <c r="B295" s="12">
        <v>2021</v>
      </c>
      <c r="C295" s="3" t="s">
        <v>92</v>
      </c>
      <c r="D295" s="12">
        <v>144.1</v>
      </c>
      <c r="E295" s="12">
        <v>192.2</v>
      </c>
      <c r="F295" s="12">
        <v>163.80000000000001</v>
      </c>
      <c r="G295" s="12">
        <v>154.9</v>
      </c>
      <c r="H295" s="12">
        <v>163.9</v>
      </c>
      <c r="I295" s="12">
        <v>153.69999999999999</v>
      </c>
      <c r="J295" s="12">
        <v>149.5</v>
      </c>
      <c r="K295" s="12">
        <v>159.80000000000001</v>
      </c>
      <c r="L295" s="12">
        <v>112.6</v>
      </c>
      <c r="M295" s="12">
        <v>163.5</v>
      </c>
      <c r="N295" s="12">
        <v>156.5</v>
      </c>
      <c r="O295" s="12">
        <v>168.2</v>
      </c>
      <c r="P295" s="12">
        <v>156.69999999999999</v>
      </c>
      <c r="Q295" s="12">
        <v>188.1</v>
      </c>
      <c r="R295" s="12">
        <v>157.80000000000001</v>
      </c>
      <c r="S295" s="12">
        <v>147.9</v>
      </c>
      <c r="T295" s="12">
        <v>156.4</v>
      </c>
      <c r="U295" s="12">
        <v>159.9</v>
      </c>
      <c r="V295" s="12">
        <v>155.5</v>
      </c>
      <c r="W295" s="12">
        <v>151.19999999999999</v>
      </c>
      <c r="X295" s="12">
        <v>161.69999999999999</v>
      </c>
      <c r="Y295" s="12">
        <v>146.19999999999999</v>
      </c>
      <c r="Z295" s="12">
        <v>152.6</v>
      </c>
      <c r="AA295" s="12">
        <v>160.19999999999999</v>
      </c>
      <c r="AB295" s="12">
        <v>153.80000000000001</v>
      </c>
      <c r="AC295" s="12">
        <v>153.80000000000001</v>
      </c>
      <c r="AD295" s="12">
        <v>156.80000000000001</v>
      </c>
    </row>
    <row r="296" spans="1:30" ht="15" customHeight="1" x14ac:dyDescent="0.25">
      <c r="A296" s="3" t="s">
        <v>84</v>
      </c>
      <c r="B296" s="12">
        <v>2021</v>
      </c>
      <c r="C296" s="3" t="s">
        <v>93</v>
      </c>
      <c r="D296" s="12">
        <v>142.69999999999999</v>
      </c>
      <c r="E296" s="12">
        <v>195.5</v>
      </c>
      <c r="F296" s="12">
        <v>163.4</v>
      </c>
      <c r="G296" s="12">
        <v>155</v>
      </c>
      <c r="H296" s="12">
        <v>175.2</v>
      </c>
      <c r="I296" s="12">
        <v>160.6</v>
      </c>
      <c r="J296" s="12">
        <v>135.1</v>
      </c>
      <c r="K296" s="12">
        <v>161.1</v>
      </c>
      <c r="L296" s="12">
        <v>112.2</v>
      </c>
      <c r="M296" s="12">
        <v>164.4</v>
      </c>
      <c r="N296" s="12">
        <v>161.9</v>
      </c>
      <c r="O296" s="12">
        <v>166.8</v>
      </c>
      <c r="P296" s="12">
        <v>155.6</v>
      </c>
      <c r="Q296" s="12">
        <v>186.8</v>
      </c>
      <c r="R296" s="12">
        <v>160.69999999999999</v>
      </c>
      <c r="S296" s="12">
        <v>155.1</v>
      </c>
      <c r="T296" s="12">
        <v>159.9</v>
      </c>
      <c r="U296" s="13"/>
      <c r="V296" s="12">
        <v>156</v>
      </c>
      <c r="W296" s="12">
        <v>155.5</v>
      </c>
      <c r="X296" s="12">
        <v>165.3</v>
      </c>
      <c r="Y296" s="12">
        <v>151.69999999999999</v>
      </c>
      <c r="Z296" s="12">
        <v>158.6</v>
      </c>
      <c r="AA296" s="12">
        <v>164.1</v>
      </c>
      <c r="AB296" s="12">
        <v>154.6</v>
      </c>
      <c r="AC296" s="12">
        <v>158</v>
      </c>
      <c r="AD296" s="12">
        <v>157.6</v>
      </c>
    </row>
    <row r="297" spans="1:30" ht="15" customHeight="1" x14ac:dyDescent="0.2">
      <c r="A297" s="3" t="s">
        <v>87</v>
      </c>
      <c r="B297" s="12">
        <v>2021</v>
      </c>
      <c r="C297" s="3" t="s">
        <v>93</v>
      </c>
      <c r="D297" s="12">
        <v>147.6</v>
      </c>
      <c r="E297" s="12">
        <v>202.5</v>
      </c>
      <c r="F297" s="12">
        <v>166.4</v>
      </c>
      <c r="G297" s="12">
        <v>156</v>
      </c>
      <c r="H297" s="12">
        <v>161.4</v>
      </c>
      <c r="I297" s="12">
        <v>168.8</v>
      </c>
      <c r="J297" s="12">
        <v>161.6</v>
      </c>
      <c r="K297" s="12">
        <v>162.80000000000001</v>
      </c>
      <c r="L297" s="12">
        <v>114.8</v>
      </c>
      <c r="M297" s="12">
        <v>162.80000000000001</v>
      </c>
      <c r="N297" s="12">
        <v>151.5</v>
      </c>
      <c r="O297" s="12">
        <v>171.4</v>
      </c>
      <c r="P297" s="12">
        <v>162</v>
      </c>
      <c r="Q297" s="12">
        <v>194.4</v>
      </c>
      <c r="R297" s="12">
        <v>155.9</v>
      </c>
      <c r="S297" s="12">
        <v>139.30000000000001</v>
      </c>
      <c r="T297" s="12">
        <v>153.4</v>
      </c>
      <c r="U297" s="12">
        <v>161.4</v>
      </c>
      <c r="V297" s="12">
        <v>154.9</v>
      </c>
      <c r="W297" s="12">
        <v>147.6</v>
      </c>
      <c r="X297" s="12">
        <v>157.5</v>
      </c>
      <c r="Y297" s="12">
        <v>142.1</v>
      </c>
      <c r="Z297" s="12">
        <v>149.1</v>
      </c>
      <c r="AA297" s="12">
        <v>157.6</v>
      </c>
      <c r="AB297" s="12">
        <v>156.6</v>
      </c>
      <c r="AC297" s="12">
        <v>150.5</v>
      </c>
      <c r="AD297" s="12">
        <v>158</v>
      </c>
    </row>
    <row r="298" spans="1:30" ht="15" customHeight="1" x14ac:dyDescent="0.2">
      <c r="A298" s="3" t="s">
        <v>89</v>
      </c>
      <c r="B298" s="12">
        <v>2021</v>
      </c>
      <c r="C298" s="3" t="s">
        <v>93</v>
      </c>
      <c r="D298" s="12">
        <v>144.30000000000001</v>
      </c>
      <c r="E298" s="12">
        <v>198</v>
      </c>
      <c r="F298" s="12">
        <v>164.6</v>
      </c>
      <c r="G298" s="12">
        <v>155.4</v>
      </c>
      <c r="H298" s="12">
        <v>170.1</v>
      </c>
      <c r="I298" s="12">
        <v>164.4</v>
      </c>
      <c r="J298" s="12">
        <v>144.1</v>
      </c>
      <c r="K298" s="12">
        <v>161.69999999999999</v>
      </c>
      <c r="L298" s="12">
        <v>113.1</v>
      </c>
      <c r="M298" s="12">
        <v>163.9</v>
      </c>
      <c r="N298" s="12">
        <v>157.6</v>
      </c>
      <c r="O298" s="12">
        <v>168.9</v>
      </c>
      <c r="P298" s="12">
        <v>158</v>
      </c>
      <c r="Q298" s="12">
        <v>188.8</v>
      </c>
      <c r="R298" s="12">
        <v>158.80000000000001</v>
      </c>
      <c r="S298" s="12">
        <v>148.5</v>
      </c>
      <c r="T298" s="12">
        <v>157.30000000000001</v>
      </c>
      <c r="U298" s="12">
        <v>161.4</v>
      </c>
      <c r="V298" s="12">
        <v>155.6</v>
      </c>
      <c r="W298" s="12">
        <v>151.80000000000001</v>
      </c>
      <c r="X298" s="12">
        <v>162.30000000000001</v>
      </c>
      <c r="Y298" s="12">
        <v>146.6</v>
      </c>
      <c r="Z298" s="12">
        <v>153.19999999999999</v>
      </c>
      <c r="AA298" s="12">
        <v>160.30000000000001</v>
      </c>
      <c r="AB298" s="12">
        <v>155.4</v>
      </c>
      <c r="AC298" s="12">
        <v>154.4</v>
      </c>
      <c r="AD298" s="12">
        <v>157.80000000000001</v>
      </c>
    </row>
    <row r="299" spans="1:30" ht="15" customHeight="1" x14ac:dyDescent="0.25">
      <c r="A299" s="3" t="s">
        <v>84</v>
      </c>
      <c r="B299" s="12">
        <v>2021</v>
      </c>
      <c r="C299" s="3" t="s">
        <v>95</v>
      </c>
      <c r="D299" s="12">
        <v>145.1</v>
      </c>
      <c r="E299" s="12">
        <v>198.5</v>
      </c>
      <c r="F299" s="12">
        <v>168.6</v>
      </c>
      <c r="G299" s="12">
        <v>155.80000000000001</v>
      </c>
      <c r="H299" s="12">
        <v>184.4</v>
      </c>
      <c r="I299" s="12">
        <v>162.30000000000001</v>
      </c>
      <c r="J299" s="12">
        <v>138.4</v>
      </c>
      <c r="K299" s="12">
        <v>165.1</v>
      </c>
      <c r="L299" s="12">
        <v>114.3</v>
      </c>
      <c r="M299" s="12">
        <v>169.7</v>
      </c>
      <c r="N299" s="12">
        <v>164.6</v>
      </c>
      <c r="O299" s="12">
        <v>169.8</v>
      </c>
      <c r="P299" s="12">
        <v>158.69999999999999</v>
      </c>
      <c r="Q299" s="12">
        <v>189.6</v>
      </c>
      <c r="R299" s="12">
        <v>165.3</v>
      </c>
      <c r="S299" s="12">
        <v>160.6</v>
      </c>
      <c r="T299" s="12">
        <v>164.5</v>
      </c>
      <c r="U299" s="13"/>
      <c r="V299" s="12">
        <v>161.69999999999999</v>
      </c>
      <c r="W299" s="12">
        <v>158.80000000000001</v>
      </c>
      <c r="X299" s="12">
        <v>169.1</v>
      </c>
      <c r="Y299" s="12">
        <v>153.19999999999999</v>
      </c>
      <c r="Z299" s="12">
        <v>160</v>
      </c>
      <c r="AA299" s="12">
        <v>167.6</v>
      </c>
      <c r="AB299" s="12">
        <v>159.30000000000001</v>
      </c>
      <c r="AC299" s="12">
        <v>161.1</v>
      </c>
      <c r="AD299" s="12">
        <v>161.1</v>
      </c>
    </row>
    <row r="300" spans="1:30" ht="15" customHeight="1" x14ac:dyDescent="0.2">
      <c r="A300" s="3" t="s">
        <v>87</v>
      </c>
      <c r="B300" s="12">
        <v>2021</v>
      </c>
      <c r="C300" s="3" t="s">
        <v>95</v>
      </c>
      <c r="D300" s="12">
        <v>148.80000000000001</v>
      </c>
      <c r="E300" s="12">
        <v>204.3</v>
      </c>
      <c r="F300" s="12">
        <v>173</v>
      </c>
      <c r="G300" s="12">
        <v>156.5</v>
      </c>
      <c r="H300" s="12">
        <v>168.8</v>
      </c>
      <c r="I300" s="12">
        <v>172.5</v>
      </c>
      <c r="J300" s="12">
        <v>166.5</v>
      </c>
      <c r="K300" s="12">
        <v>165.9</v>
      </c>
      <c r="L300" s="12">
        <v>115.9</v>
      </c>
      <c r="M300" s="12">
        <v>165.2</v>
      </c>
      <c r="N300" s="12">
        <v>152</v>
      </c>
      <c r="O300" s="12">
        <v>171.1</v>
      </c>
      <c r="P300" s="12">
        <v>164.2</v>
      </c>
      <c r="Q300" s="12">
        <v>198.2</v>
      </c>
      <c r="R300" s="12">
        <v>156.5</v>
      </c>
      <c r="S300" s="12">
        <v>140.19999999999999</v>
      </c>
      <c r="T300" s="12">
        <v>154.1</v>
      </c>
      <c r="U300" s="12">
        <v>161.6</v>
      </c>
      <c r="V300" s="12">
        <v>155.5</v>
      </c>
      <c r="W300" s="12">
        <v>150.1</v>
      </c>
      <c r="X300" s="12">
        <v>160.4</v>
      </c>
      <c r="Y300" s="12">
        <v>145</v>
      </c>
      <c r="Z300" s="12">
        <v>152.6</v>
      </c>
      <c r="AA300" s="12">
        <v>156.6</v>
      </c>
      <c r="AB300" s="12">
        <v>157.5</v>
      </c>
      <c r="AC300" s="12">
        <v>152.30000000000001</v>
      </c>
      <c r="AD300" s="12">
        <v>159.5</v>
      </c>
    </row>
    <row r="301" spans="1:30" ht="15" customHeight="1" x14ac:dyDescent="0.2">
      <c r="A301" s="3" t="s">
        <v>89</v>
      </c>
      <c r="B301" s="12">
        <v>2021</v>
      </c>
      <c r="C301" s="3" t="s">
        <v>95</v>
      </c>
      <c r="D301" s="12">
        <v>146.30000000000001</v>
      </c>
      <c r="E301" s="12">
        <v>200.5</v>
      </c>
      <c r="F301" s="12">
        <v>170.3</v>
      </c>
      <c r="G301" s="12">
        <v>156.1</v>
      </c>
      <c r="H301" s="12">
        <v>178.7</v>
      </c>
      <c r="I301" s="12">
        <v>167.1</v>
      </c>
      <c r="J301" s="12">
        <v>147.9</v>
      </c>
      <c r="K301" s="12">
        <v>165.4</v>
      </c>
      <c r="L301" s="12">
        <v>114.8</v>
      </c>
      <c r="M301" s="12">
        <v>168.2</v>
      </c>
      <c r="N301" s="12">
        <v>159.30000000000001</v>
      </c>
      <c r="O301" s="12">
        <v>170.4</v>
      </c>
      <c r="P301" s="12">
        <v>160.69999999999999</v>
      </c>
      <c r="Q301" s="12">
        <v>191.9</v>
      </c>
      <c r="R301" s="12">
        <v>161.80000000000001</v>
      </c>
      <c r="S301" s="12">
        <v>152.1</v>
      </c>
      <c r="T301" s="12">
        <v>160.4</v>
      </c>
      <c r="U301" s="12">
        <v>161.6</v>
      </c>
      <c r="V301" s="12">
        <v>159.4</v>
      </c>
      <c r="W301" s="12">
        <v>154.69999999999999</v>
      </c>
      <c r="X301" s="12">
        <v>165.8</v>
      </c>
      <c r="Y301" s="12">
        <v>148.9</v>
      </c>
      <c r="Z301" s="12">
        <v>155.80000000000001</v>
      </c>
      <c r="AA301" s="12">
        <v>161.19999999999999</v>
      </c>
      <c r="AB301" s="12">
        <v>158.6</v>
      </c>
      <c r="AC301" s="12">
        <v>156.80000000000001</v>
      </c>
      <c r="AD301" s="12">
        <v>160.4</v>
      </c>
    </row>
    <row r="302" spans="1:30" ht="15" customHeight="1" x14ac:dyDescent="0.25">
      <c r="A302" s="3" t="s">
        <v>84</v>
      </c>
      <c r="B302" s="12">
        <v>2021</v>
      </c>
      <c r="C302" s="3" t="s">
        <v>96</v>
      </c>
      <c r="D302" s="12">
        <v>145.6</v>
      </c>
      <c r="E302" s="12">
        <v>200.1</v>
      </c>
      <c r="F302" s="12">
        <v>179.3</v>
      </c>
      <c r="G302" s="12">
        <v>156.1</v>
      </c>
      <c r="H302" s="12">
        <v>190.4</v>
      </c>
      <c r="I302" s="12">
        <v>158.6</v>
      </c>
      <c r="J302" s="12">
        <v>144.69999999999999</v>
      </c>
      <c r="K302" s="12">
        <v>165.5</v>
      </c>
      <c r="L302" s="12">
        <v>114.6</v>
      </c>
      <c r="M302" s="12">
        <v>170</v>
      </c>
      <c r="N302" s="12">
        <v>165.5</v>
      </c>
      <c r="O302" s="12">
        <v>171.7</v>
      </c>
      <c r="P302" s="12">
        <v>160.5</v>
      </c>
      <c r="Q302" s="12">
        <v>189.1</v>
      </c>
      <c r="R302" s="12">
        <v>165.3</v>
      </c>
      <c r="S302" s="12">
        <v>159.9</v>
      </c>
      <c r="T302" s="12">
        <v>164.6</v>
      </c>
      <c r="U302" s="13"/>
      <c r="V302" s="12">
        <v>162.1</v>
      </c>
      <c r="W302" s="12">
        <v>159.19999999999999</v>
      </c>
      <c r="X302" s="12">
        <v>169.7</v>
      </c>
      <c r="Y302" s="12">
        <v>154.19999999999999</v>
      </c>
      <c r="Z302" s="12">
        <v>160.4</v>
      </c>
      <c r="AA302" s="12">
        <v>166.8</v>
      </c>
      <c r="AB302" s="12">
        <v>159.4</v>
      </c>
      <c r="AC302" s="12">
        <v>161.5</v>
      </c>
      <c r="AD302" s="12">
        <v>162.1</v>
      </c>
    </row>
    <row r="303" spans="1:30" ht="15" customHeight="1" x14ac:dyDescent="0.2">
      <c r="A303" s="3" t="s">
        <v>87</v>
      </c>
      <c r="B303" s="12">
        <v>2021</v>
      </c>
      <c r="C303" s="3" t="s">
        <v>96</v>
      </c>
      <c r="D303" s="12">
        <v>149.19999999999999</v>
      </c>
      <c r="E303" s="12">
        <v>205.5</v>
      </c>
      <c r="F303" s="12">
        <v>182.8</v>
      </c>
      <c r="G303" s="12">
        <v>156.5</v>
      </c>
      <c r="H303" s="12">
        <v>172.2</v>
      </c>
      <c r="I303" s="12">
        <v>171.5</v>
      </c>
      <c r="J303" s="12">
        <v>176.2</v>
      </c>
      <c r="K303" s="12">
        <v>166.9</v>
      </c>
      <c r="L303" s="12">
        <v>116.1</v>
      </c>
      <c r="M303" s="12">
        <v>165.5</v>
      </c>
      <c r="N303" s="12">
        <v>152.30000000000001</v>
      </c>
      <c r="O303" s="12">
        <v>173.3</v>
      </c>
      <c r="P303" s="12">
        <v>166.2</v>
      </c>
      <c r="Q303" s="12">
        <v>195.6</v>
      </c>
      <c r="R303" s="12">
        <v>157.30000000000001</v>
      </c>
      <c r="S303" s="12">
        <v>140.5</v>
      </c>
      <c r="T303" s="12">
        <v>154.80000000000001</v>
      </c>
      <c r="U303" s="12">
        <v>160.5</v>
      </c>
      <c r="V303" s="12">
        <v>156.1</v>
      </c>
      <c r="W303" s="12">
        <v>149.80000000000001</v>
      </c>
      <c r="X303" s="12">
        <v>160.80000000000001</v>
      </c>
      <c r="Y303" s="12">
        <v>147.5</v>
      </c>
      <c r="Z303" s="12">
        <v>150.69999999999999</v>
      </c>
      <c r="AA303" s="12">
        <v>158.1</v>
      </c>
      <c r="AB303" s="12">
        <v>158</v>
      </c>
      <c r="AC303" s="12">
        <v>153.4</v>
      </c>
      <c r="AD303" s="12">
        <v>160.4</v>
      </c>
    </row>
    <row r="304" spans="1:30" ht="15" customHeight="1" x14ac:dyDescent="0.2">
      <c r="A304" s="3" t="s">
        <v>89</v>
      </c>
      <c r="B304" s="12">
        <v>2021</v>
      </c>
      <c r="C304" s="3" t="s">
        <v>96</v>
      </c>
      <c r="D304" s="12">
        <v>146.69999999999999</v>
      </c>
      <c r="E304" s="12">
        <v>202</v>
      </c>
      <c r="F304" s="12">
        <v>180.7</v>
      </c>
      <c r="G304" s="12">
        <v>156.19999999999999</v>
      </c>
      <c r="H304" s="12">
        <v>183.7</v>
      </c>
      <c r="I304" s="12">
        <v>164.6</v>
      </c>
      <c r="J304" s="12">
        <v>155.4</v>
      </c>
      <c r="K304" s="12">
        <v>166</v>
      </c>
      <c r="L304" s="12">
        <v>115.1</v>
      </c>
      <c r="M304" s="12">
        <v>168.5</v>
      </c>
      <c r="N304" s="12">
        <v>160</v>
      </c>
      <c r="O304" s="12">
        <v>172.4</v>
      </c>
      <c r="P304" s="12">
        <v>162.6</v>
      </c>
      <c r="Q304" s="12">
        <v>190.8</v>
      </c>
      <c r="R304" s="12">
        <v>162.19999999999999</v>
      </c>
      <c r="S304" s="12">
        <v>151.80000000000001</v>
      </c>
      <c r="T304" s="12">
        <v>160.69999999999999</v>
      </c>
      <c r="U304" s="12">
        <v>160.5</v>
      </c>
      <c r="V304" s="12">
        <v>159.80000000000001</v>
      </c>
      <c r="W304" s="12">
        <v>154.80000000000001</v>
      </c>
      <c r="X304" s="12">
        <v>166.3</v>
      </c>
      <c r="Y304" s="12">
        <v>150.69999999999999</v>
      </c>
      <c r="Z304" s="12">
        <v>154.9</v>
      </c>
      <c r="AA304" s="12">
        <v>161.69999999999999</v>
      </c>
      <c r="AB304" s="12">
        <v>158.80000000000001</v>
      </c>
      <c r="AC304" s="12">
        <v>157.6</v>
      </c>
      <c r="AD304" s="12">
        <v>161.30000000000001</v>
      </c>
    </row>
    <row r="305" spans="1:30" ht="15" customHeight="1" x14ac:dyDescent="0.25">
      <c r="A305" s="3" t="s">
        <v>84</v>
      </c>
      <c r="B305" s="12">
        <v>2021</v>
      </c>
      <c r="C305" s="3" t="s">
        <v>98</v>
      </c>
      <c r="D305" s="12">
        <v>145.1</v>
      </c>
      <c r="E305" s="12">
        <v>204.5</v>
      </c>
      <c r="F305" s="12">
        <v>180.4</v>
      </c>
      <c r="G305" s="12">
        <v>157.1</v>
      </c>
      <c r="H305" s="12">
        <v>188.7</v>
      </c>
      <c r="I305" s="12">
        <v>157.69999999999999</v>
      </c>
      <c r="J305" s="12">
        <v>152.80000000000001</v>
      </c>
      <c r="K305" s="12">
        <v>163.6</v>
      </c>
      <c r="L305" s="12">
        <v>113.9</v>
      </c>
      <c r="M305" s="12">
        <v>169.7</v>
      </c>
      <c r="N305" s="12">
        <v>166.2</v>
      </c>
      <c r="O305" s="12">
        <v>171</v>
      </c>
      <c r="P305" s="12">
        <v>161.69999999999999</v>
      </c>
      <c r="Q305" s="12">
        <v>189.7</v>
      </c>
      <c r="R305" s="12">
        <v>166</v>
      </c>
      <c r="S305" s="12">
        <v>161.1</v>
      </c>
      <c r="T305" s="12">
        <v>165.3</v>
      </c>
      <c r="U305" s="13"/>
      <c r="V305" s="12">
        <v>162.5</v>
      </c>
      <c r="W305" s="12">
        <v>160.30000000000001</v>
      </c>
      <c r="X305" s="12">
        <v>170.4</v>
      </c>
      <c r="Y305" s="12">
        <v>157.1</v>
      </c>
      <c r="Z305" s="12">
        <v>160.69999999999999</v>
      </c>
      <c r="AA305" s="12">
        <v>167.2</v>
      </c>
      <c r="AB305" s="12">
        <v>160.4</v>
      </c>
      <c r="AC305" s="12">
        <v>162.80000000000001</v>
      </c>
      <c r="AD305" s="12">
        <v>163.19999999999999</v>
      </c>
    </row>
    <row r="306" spans="1:30" ht="15" customHeight="1" x14ac:dyDescent="0.2">
      <c r="A306" s="3" t="s">
        <v>87</v>
      </c>
      <c r="B306" s="12">
        <v>2021</v>
      </c>
      <c r="C306" s="3" t="s">
        <v>98</v>
      </c>
      <c r="D306" s="12">
        <v>149.1</v>
      </c>
      <c r="E306" s="12">
        <v>210.9</v>
      </c>
      <c r="F306" s="12">
        <v>185</v>
      </c>
      <c r="G306" s="12">
        <v>158.19999999999999</v>
      </c>
      <c r="H306" s="12">
        <v>170.6</v>
      </c>
      <c r="I306" s="12">
        <v>170.9</v>
      </c>
      <c r="J306" s="12">
        <v>186.4</v>
      </c>
      <c r="K306" s="12">
        <v>164.7</v>
      </c>
      <c r="L306" s="12">
        <v>115.7</v>
      </c>
      <c r="M306" s="12">
        <v>165.5</v>
      </c>
      <c r="N306" s="12">
        <v>153.4</v>
      </c>
      <c r="O306" s="12">
        <v>173.5</v>
      </c>
      <c r="P306" s="12">
        <v>167.9</v>
      </c>
      <c r="Q306" s="12">
        <v>195.5</v>
      </c>
      <c r="R306" s="12">
        <v>157.9</v>
      </c>
      <c r="S306" s="12">
        <v>141.9</v>
      </c>
      <c r="T306" s="12">
        <v>155.5</v>
      </c>
      <c r="U306" s="12">
        <v>161.5</v>
      </c>
      <c r="V306" s="12">
        <v>157.69999999999999</v>
      </c>
      <c r="W306" s="12">
        <v>150.69999999999999</v>
      </c>
      <c r="X306" s="12">
        <v>161.5</v>
      </c>
      <c r="Y306" s="12">
        <v>149.5</v>
      </c>
      <c r="Z306" s="12">
        <v>151.19999999999999</v>
      </c>
      <c r="AA306" s="12">
        <v>160.30000000000001</v>
      </c>
      <c r="AB306" s="12">
        <v>159.6</v>
      </c>
      <c r="AC306" s="12">
        <v>155</v>
      </c>
      <c r="AD306" s="12">
        <v>161.80000000000001</v>
      </c>
    </row>
    <row r="307" spans="1:30" ht="15" customHeight="1" x14ac:dyDescent="0.2">
      <c r="A307" s="3" t="s">
        <v>89</v>
      </c>
      <c r="B307" s="12">
        <v>2021</v>
      </c>
      <c r="C307" s="3" t="s">
        <v>98</v>
      </c>
      <c r="D307" s="12">
        <v>146.4</v>
      </c>
      <c r="E307" s="12">
        <v>206.8</v>
      </c>
      <c r="F307" s="12">
        <v>182.2</v>
      </c>
      <c r="G307" s="12">
        <v>157.5</v>
      </c>
      <c r="H307" s="12">
        <v>182.1</v>
      </c>
      <c r="I307" s="12">
        <v>163.9</v>
      </c>
      <c r="J307" s="12">
        <v>164.2</v>
      </c>
      <c r="K307" s="12">
        <v>164</v>
      </c>
      <c r="L307" s="12">
        <v>114.5</v>
      </c>
      <c r="M307" s="12">
        <v>168.3</v>
      </c>
      <c r="N307" s="12">
        <v>160.9</v>
      </c>
      <c r="O307" s="12">
        <v>172.2</v>
      </c>
      <c r="P307" s="12">
        <v>164</v>
      </c>
      <c r="Q307" s="12">
        <v>191.2</v>
      </c>
      <c r="R307" s="12">
        <v>162.80000000000001</v>
      </c>
      <c r="S307" s="12">
        <v>153.1</v>
      </c>
      <c r="T307" s="12">
        <v>161.4</v>
      </c>
      <c r="U307" s="12">
        <v>161.5</v>
      </c>
      <c r="V307" s="12">
        <v>160.69999999999999</v>
      </c>
      <c r="W307" s="12">
        <v>155.80000000000001</v>
      </c>
      <c r="X307" s="12">
        <v>167</v>
      </c>
      <c r="Y307" s="12">
        <v>153.1</v>
      </c>
      <c r="Z307" s="12">
        <v>155.30000000000001</v>
      </c>
      <c r="AA307" s="12">
        <v>163.19999999999999</v>
      </c>
      <c r="AB307" s="12">
        <v>160.1</v>
      </c>
      <c r="AC307" s="12">
        <v>159</v>
      </c>
      <c r="AD307" s="12">
        <v>162.5</v>
      </c>
    </row>
    <row r="308" spans="1:30" ht="15" customHeight="1" x14ac:dyDescent="0.25">
      <c r="A308" s="3" t="s">
        <v>84</v>
      </c>
      <c r="B308" s="12">
        <v>2021</v>
      </c>
      <c r="C308" s="3" t="s">
        <v>100</v>
      </c>
      <c r="D308" s="12">
        <v>144.9</v>
      </c>
      <c r="E308" s="12">
        <v>202.3</v>
      </c>
      <c r="F308" s="12">
        <v>176.5</v>
      </c>
      <c r="G308" s="12">
        <v>157.5</v>
      </c>
      <c r="H308" s="12">
        <v>190.9</v>
      </c>
      <c r="I308" s="12">
        <v>155.69999999999999</v>
      </c>
      <c r="J308" s="12">
        <v>153.9</v>
      </c>
      <c r="K308" s="12">
        <v>162.80000000000001</v>
      </c>
      <c r="L308" s="12">
        <v>115.2</v>
      </c>
      <c r="M308" s="12">
        <v>169.8</v>
      </c>
      <c r="N308" s="12">
        <v>167.6</v>
      </c>
      <c r="O308" s="12">
        <v>171.9</v>
      </c>
      <c r="P308" s="12">
        <v>161.80000000000001</v>
      </c>
      <c r="Q308" s="12">
        <v>190.2</v>
      </c>
      <c r="R308" s="12">
        <v>167</v>
      </c>
      <c r="S308" s="12">
        <v>162.6</v>
      </c>
      <c r="T308" s="12">
        <v>166.3</v>
      </c>
      <c r="U308" s="13"/>
      <c r="V308" s="12">
        <v>163.1</v>
      </c>
      <c r="W308" s="12">
        <v>160.9</v>
      </c>
      <c r="X308" s="12">
        <v>171.1</v>
      </c>
      <c r="Y308" s="12">
        <v>157.69999999999999</v>
      </c>
      <c r="Z308" s="12">
        <v>161.1</v>
      </c>
      <c r="AA308" s="12">
        <v>167.5</v>
      </c>
      <c r="AB308" s="12">
        <v>160.30000000000001</v>
      </c>
      <c r="AC308" s="12">
        <v>163.30000000000001</v>
      </c>
      <c r="AD308" s="12">
        <v>163.6</v>
      </c>
    </row>
    <row r="309" spans="1:30" ht="15" customHeight="1" x14ac:dyDescent="0.2">
      <c r="A309" s="3" t="s">
        <v>87</v>
      </c>
      <c r="B309" s="12">
        <v>2021</v>
      </c>
      <c r="C309" s="3" t="s">
        <v>100</v>
      </c>
      <c r="D309" s="12">
        <v>149.30000000000001</v>
      </c>
      <c r="E309" s="12">
        <v>207.4</v>
      </c>
      <c r="F309" s="12">
        <v>174.1</v>
      </c>
      <c r="G309" s="12">
        <v>159.19999999999999</v>
      </c>
      <c r="H309" s="12">
        <v>175</v>
      </c>
      <c r="I309" s="12">
        <v>161.30000000000001</v>
      </c>
      <c r="J309" s="12">
        <v>183.3</v>
      </c>
      <c r="K309" s="12">
        <v>164.5</v>
      </c>
      <c r="L309" s="12">
        <v>120.4</v>
      </c>
      <c r="M309" s="12">
        <v>166.2</v>
      </c>
      <c r="N309" s="12">
        <v>154.80000000000001</v>
      </c>
      <c r="O309" s="12">
        <v>175.1</v>
      </c>
      <c r="P309" s="12">
        <v>167.3</v>
      </c>
      <c r="Q309" s="12">
        <v>196.5</v>
      </c>
      <c r="R309" s="12">
        <v>159.80000000000001</v>
      </c>
      <c r="S309" s="12">
        <v>143.6</v>
      </c>
      <c r="T309" s="12">
        <v>157.30000000000001</v>
      </c>
      <c r="U309" s="12">
        <v>162.1</v>
      </c>
      <c r="V309" s="12">
        <v>160.69999999999999</v>
      </c>
      <c r="W309" s="12">
        <v>153.19999999999999</v>
      </c>
      <c r="X309" s="12">
        <v>162.80000000000001</v>
      </c>
      <c r="Y309" s="12">
        <v>150.4</v>
      </c>
      <c r="Z309" s="12">
        <v>153.69999999999999</v>
      </c>
      <c r="AA309" s="12">
        <v>160.4</v>
      </c>
      <c r="AB309" s="12">
        <v>159.6</v>
      </c>
      <c r="AC309" s="12">
        <v>156</v>
      </c>
      <c r="AD309" s="12">
        <v>162.30000000000001</v>
      </c>
    </row>
    <row r="310" spans="1:30" ht="15" customHeight="1" x14ac:dyDescent="0.2">
      <c r="A310" s="3" t="s">
        <v>89</v>
      </c>
      <c r="B310" s="12">
        <v>2021</v>
      </c>
      <c r="C310" s="3" t="s">
        <v>100</v>
      </c>
      <c r="D310" s="12">
        <v>146.6</v>
      </c>
      <c r="E310" s="12">
        <v>204</v>
      </c>
      <c r="F310" s="12">
        <v>172.8</v>
      </c>
      <c r="G310" s="12">
        <v>158.4</v>
      </c>
      <c r="H310" s="12">
        <v>188</v>
      </c>
      <c r="I310" s="12">
        <v>156.80000000000001</v>
      </c>
      <c r="J310" s="12">
        <v>162.19999999999999</v>
      </c>
      <c r="K310" s="12">
        <v>164.1</v>
      </c>
      <c r="L310" s="12">
        <v>119.7</v>
      </c>
      <c r="M310" s="12">
        <v>168.8</v>
      </c>
      <c r="N310" s="12">
        <v>162.69999999999999</v>
      </c>
      <c r="O310" s="12">
        <v>173.9</v>
      </c>
      <c r="P310" s="12">
        <v>164</v>
      </c>
      <c r="Q310" s="12">
        <v>192.1</v>
      </c>
      <c r="R310" s="12">
        <v>164.5</v>
      </c>
      <c r="S310" s="12">
        <v>155.30000000000001</v>
      </c>
      <c r="T310" s="12">
        <v>163.19999999999999</v>
      </c>
      <c r="U310" s="12">
        <v>162.1</v>
      </c>
      <c r="V310" s="12">
        <v>162.6</v>
      </c>
      <c r="W310" s="12">
        <v>157.5</v>
      </c>
      <c r="X310" s="12">
        <v>168.4</v>
      </c>
      <c r="Y310" s="12">
        <v>154</v>
      </c>
      <c r="Z310" s="12">
        <v>157.6</v>
      </c>
      <c r="AA310" s="12">
        <v>163.80000000000001</v>
      </c>
      <c r="AB310" s="12">
        <v>160</v>
      </c>
      <c r="AC310" s="12">
        <v>160</v>
      </c>
      <c r="AD310" s="12">
        <v>163.19999999999999</v>
      </c>
    </row>
    <row r="311" spans="1:30" ht="15" customHeight="1" x14ac:dyDescent="0.25">
      <c r="A311" s="3" t="s">
        <v>84</v>
      </c>
      <c r="B311" s="12">
        <v>2021</v>
      </c>
      <c r="C311" s="3" t="s">
        <v>102</v>
      </c>
      <c r="D311" s="12">
        <v>145.4</v>
      </c>
      <c r="E311" s="12">
        <v>202.1</v>
      </c>
      <c r="F311" s="12">
        <v>172</v>
      </c>
      <c r="G311" s="12">
        <v>158</v>
      </c>
      <c r="H311" s="12">
        <v>195.5</v>
      </c>
      <c r="I311" s="12">
        <v>152.69999999999999</v>
      </c>
      <c r="J311" s="12">
        <v>151.4</v>
      </c>
      <c r="K311" s="12">
        <v>163.9</v>
      </c>
      <c r="L311" s="12">
        <v>119.3</v>
      </c>
      <c r="M311" s="12">
        <v>170.1</v>
      </c>
      <c r="N311" s="12">
        <v>168.3</v>
      </c>
      <c r="O311" s="12">
        <v>172.8</v>
      </c>
      <c r="P311" s="12">
        <v>162.1</v>
      </c>
      <c r="Q311" s="12">
        <v>190.5</v>
      </c>
      <c r="R311" s="12">
        <v>167.7</v>
      </c>
      <c r="S311" s="12">
        <v>163.6</v>
      </c>
      <c r="T311" s="12">
        <v>167.1</v>
      </c>
      <c r="U311" s="13"/>
      <c r="V311" s="12">
        <v>163.69999999999999</v>
      </c>
      <c r="W311" s="12">
        <v>161.30000000000001</v>
      </c>
      <c r="X311" s="12">
        <v>171.9</v>
      </c>
      <c r="Y311" s="12">
        <v>157.80000000000001</v>
      </c>
      <c r="Z311" s="12">
        <v>162.69999999999999</v>
      </c>
      <c r="AA311" s="12">
        <v>168.5</v>
      </c>
      <c r="AB311" s="12">
        <v>160.19999999999999</v>
      </c>
      <c r="AC311" s="12">
        <v>163.80000000000001</v>
      </c>
      <c r="AD311" s="12">
        <v>164</v>
      </c>
    </row>
    <row r="312" spans="1:30" ht="15" customHeight="1" x14ac:dyDescent="0.2">
      <c r="A312" s="3" t="s">
        <v>87</v>
      </c>
      <c r="B312" s="12">
        <v>2021</v>
      </c>
      <c r="C312" s="3" t="s">
        <v>102</v>
      </c>
      <c r="D312" s="12">
        <v>149.30000000000001</v>
      </c>
      <c r="E312" s="12">
        <v>207.4</v>
      </c>
      <c r="F312" s="12">
        <v>174.1</v>
      </c>
      <c r="G312" s="12">
        <v>159.1</v>
      </c>
      <c r="H312" s="12">
        <v>175</v>
      </c>
      <c r="I312" s="12">
        <v>161.19999999999999</v>
      </c>
      <c r="J312" s="12">
        <v>183.5</v>
      </c>
      <c r="K312" s="12">
        <v>164.5</v>
      </c>
      <c r="L312" s="12">
        <v>120.4</v>
      </c>
      <c r="M312" s="12">
        <v>166.2</v>
      </c>
      <c r="N312" s="12">
        <v>154.80000000000001</v>
      </c>
      <c r="O312" s="12">
        <v>175.1</v>
      </c>
      <c r="P312" s="12">
        <v>167.3</v>
      </c>
      <c r="Q312" s="12">
        <v>196.5</v>
      </c>
      <c r="R312" s="12">
        <v>159.80000000000001</v>
      </c>
      <c r="S312" s="12">
        <v>143.6</v>
      </c>
      <c r="T312" s="12">
        <v>157.4</v>
      </c>
      <c r="U312" s="12">
        <v>162.1</v>
      </c>
      <c r="V312" s="12">
        <v>160.80000000000001</v>
      </c>
      <c r="W312" s="12">
        <v>153.30000000000001</v>
      </c>
      <c r="X312" s="12">
        <v>162.80000000000001</v>
      </c>
      <c r="Y312" s="12">
        <v>150.5</v>
      </c>
      <c r="Z312" s="12">
        <v>153.9</v>
      </c>
      <c r="AA312" s="12">
        <v>160.30000000000001</v>
      </c>
      <c r="AB312" s="12">
        <v>159.6</v>
      </c>
      <c r="AC312" s="12">
        <v>156</v>
      </c>
      <c r="AD312" s="12">
        <v>162.30000000000001</v>
      </c>
    </row>
    <row r="313" spans="1:30" ht="15" customHeight="1" x14ac:dyDescent="0.2">
      <c r="A313" s="3" t="s">
        <v>89</v>
      </c>
      <c r="B313" s="12">
        <v>2021</v>
      </c>
      <c r="C313" s="3" t="s">
        <v>102</v>
      </c>
      <c r="D313" s="12">
        <v>146.6</v>
      </c>
      <c r="E313" s="12">
        <v>204</v>
      </c>
      <c r="F313" s="12">
        <v>172.8</v>
      </c>
      <c r="G313" s="12">
        <v>158.4</v>
      </c>
      <c r="H313" s="12">
        <v>188</v>
      </c>
      <c r="I313" s="12">
        <v>156.69999999999999</v>
      </c>
      <c r="J313" s="12">
        <v>162.30000000000001</v>
      </c>
      <c r="K313" s="12">
        <v>164.1</v>
      </c>
      <c r="L313" s="12">
        <v>119.7</v>
      </c>
      <c r="M313" s="12">
        <v>168.8</v>
      </c>
      <c r="N313" s="12">
        <v>162.69999999999999</v>
      </c>
      <c r="O313" s="12">
        <v>173.9</v>
      </c>
      <c r="P313" s="12">
        <v>164</v>
      </c>
      <c r="Q313" s="12">
        <v>192.1</v>
      </c>
      <c r="R313" s="12">
        <v>164.6</v>
      </c>
      <c r="S313" s="12">
        <v>155.30000000000001</v>
      </c>
      <c r="T313" s="12">
        <v>163.30000000000001</v>
      </c>
      <c r="U313" s="12">
        <v>162.1</v>
      </c>
      <c r="V313" s="12">
        <v>162.6</v>
      </c>
      <c r="W313" s="12">
        <v>157.5</v>
      </c>
      <c r="X313" s="12">
        <v>168.4</v>
      </c>
      <c r="Y313" s="12">
        <v>154</v>
      </c>
      <c r="Z313" s="12">
        <v>157.69999999999999</v>
      </c>
      <c r="AA313" s="12">
        <v>163.69999999999999</v>
      </c>
      <c r="AB313" s="12">
        <v>160</v>
      </c>
      <c r="AC313" s="12">
        <v>160</v>
      </c>
      <c r="AD313" s="12">
        <v>163.19999999999999</v>
      </c>
    </row>
    <row r="314" spans="1:30" ht="15" customHeight="1" x14ac:dyDescent="0.25">
      <c r="A314" s="3" t="s">
        <v>84</v>
      </c>
      <c r="B314" s="12">
        <v>2021</v>
      </c>
      <c r="C314" s="3" t="s">
        <v>104</v>
      </c>
      <c r="D314" s="12">
        <v>146.1</v>
      </c>
      <c r="E314" s="12">
        <v>202.5</v>
      </c>
      <c r="F314" s="12">
        <v>170.1</v>
      </c>
      <c r="G314" s="12">
        <v>158.4</v>
      </c>
      <c r="H314" s="12">
        <v>198.8</v>
      </c>
      <c r="I314" s="12">
        <v>152.6</v>
      </c>
      <c r="J314" s="12">
        <v>170.4</v>
      </c>
      <c r="K314" s="12">
        <v>165.2</v>
      </c>
      <c r="L314" s="12">
        <v>121.6</v>
      </c>
      <c r="M314" s="12">
        <v>170.6</v>
      </c>
      <c r="N314" s="12">
        <v>168.8</v>
      </c>
      <c r="O314" s="12">
        <v>173.6</v>
      </c>
      <c r="P314" s="12">
        <v>165.5</v>
      </c>
      <c r="Q314" s="12">
        <v>191.2</v>
      </c>
      <c r="R314" s="12">
        <v>168.9</v>
      </c>
      <c r="S314" s="12">
        <v>164.8</v>
      </c>
      <c r="T314" s="12">
        <v>168.3</v>
      </c>
      <c r="U314" s="13"/>
      <c r="V314" s="12">
        <v>165.5</v>
      </c>
      <c r="W314" s="12">
        <v>162</v>
      </c>
      <c r="X314" s="12">
        <v>172.5</v>
      </c>
      <c r="Y314" s="12">
        <v>159.5</v>
      </c>
      <c r="Z314" s="12">
        <v>163.19999999999999</v>
      </c>
      <c r="AA314" s="12">
        <v>169</v>
      </c>
      <c r="AB314" s="12">
        <v>161.1</v>
      </c>
      <c r="AC314" s="12">
        <v>164.7</v>
      </c>
      <c r="AD314" s="12">
        <v>166.3</v>
      </c>
    </row>
    <row r="315" spans="1:30" ht="15" customHeight="1" x14ac:dyDescent="0.2">
      <c r="A315" s="3" t="s">
        <v>87</v>
      </c>
      <c r="B315" s="12">
        <v>2021</v>
      </c>
      <c r="C315" s="3" t="s">
        <v>104</v>
      </c>
      <c r="D315" s="12">
        <v>150.1</v>
      </c>
      <c r="E315" s="12">
        <v>208.4</v>
      </c>
      <c r="F315" s="12">
        <v>173</v>
      </c>
      <c r="G315" s="12">
        <v>159.19999999999999</v>
      </c>
      <c r="H315" s="12">
        <v>176.6</v>
      </c>
      <c r="I315" s="12">
        <v>159.30000000000001</v>
      </c>
      <c r="J315" s="12">
        <v>214.4</v>
      </c>
      <c r="K315" s="12">
        <v>165.3</v>
      </c>
      <c r="L315" s="12">
        <v>122.5</v>
      </c>
      <c r="M315" s="12">
        <v>166.8</v>
      </c>
      <c r="N315" s="12">
        <v>155.4</v>
      </c>
      <c r="O315" s="12">
        <v>175.9</v>
      </c>
      <c r="P315" s="12">
        <v>171.5</v>
      </c>
      <c r="Q315" s="12">
        <v>197</v>
      </c>
      <c r="R315" s="12">
        <v>160.80000000000001</v>
      </c>
      <c r="S315" s="12">
        <v>144.4</v>
      </c>
      <c r="T315" s="12">
        <v>158.30000000000001</v>
      </c>
      <c r="U315" s="12">
        <v>163.6</v>
      </c>
      <c r="V315" s="12">
        <v>162.19999999999999</v>
      </c>
      <c r="W315" s="12">
        <v>154.30000000000001</v>
      </c>
      <c r="X315" s="12">
        <v>163.5</v>
      </c>
      <c r="Y315" s="12">
        <v>152.19999999999999</v>
      </c>
      <c r="Z315" s="12">
        <v>155.1</v>
      </c>
      <c r="AA315" s="12">
        <v>160.30000000000001</v>
      </c>
      <c r="AB315" s="12">
        <v>160.30000000000001</v>
      </c>
      <c r="AC315" s="12">
        <v>157</v>
      </c>
      <c r="AD315" s="12">
        <v>164.6</v>
      </c>
    </row>
    <row r="316" spans="1:30" ht="15" customHeight="1" x14ac:dyDescent="0.2">
      <c r="A316" s="3" t="s">
        <v>89</v>
      </c>
      <c r="B316" s="12">
        <v>2021</v>
      </c>
      <c r="C316" s="3" t="s">
        <v>104</v>
      </c>
      <c r="D316" s="12">
        <v>147.4</v>
      </c>
      <c r="E316" s="12">
        <v>204.6</v>
      </c>
      <c r="F316" s="12">
        <v>171.2</v>
      </c>
      <c r="G316" s="12">
        <v>158.69999999999999</v>
      </c>
      <c r="H316" s="12">
        <v>190.6</v>
      </c>
      <c r="I316" s="12">
        <v>155.69999999999999</v>
      </c>
      <c r="J316" s="12">
        <v>185.3</v>
      </c>
      <c r="K316" s="12">
        <v>165.2</v>
      </c>
      <c r="L316" s="12">
        <v>121.9</v>
      </c>
      <c r="M316" s="12">
        <v>169.3</v>
      </c>
      <c r="N316" s="12">
        <v>163.19999999999999</v>
      </c>
      <c r="O316" s="12">
        <v>174.7</v>
      </c>
      <c r="P316" s="12">
        <v>167.7</v>
      </c>
      <c r="Q316" s="12">
        <v>192.7</v>
      </c>
      <c r="R316" s="12">
        <v>165.7</v>
      </c>
      <c r="S316" s="12">
        <v>156.30000000000001</v>
      </c>
      <c r="T316" s="12">
        <v>164.3</v>
      </c>
      <c r="U316" s="12">
        <v>163.6</v>
      </c>
      <c r="V316" s="12">
        <v>164.2</v>
      </c>
      <c r="W316" s="12">
        <v>158.4</v>
      </c>
      <c r="X316" s="12">
        <v>169.1</v>
      </c>
      <c r="Y316" s="12">
        <v>155.69999999999999</v>
      </c>
      <c r="Z316" s="12">
        <v>158.6</v>
      </c>
      <c r="AA316" s="12">
        <v>163.9</v>
      </c>
      <c r="AB316" s="12">
        <v>160.80000000000001</v>
      </c>
      <c r="AC316" s="12">
        <v>161</v>
      </c>
      <c r="AD316" s="12">
        <v>165.5</v>
      </c>
    </row>
    <row r="317" spans="1:30" ht="15" customHeight="1" x14ac:dyDescent="0.25">
      <c r="A317" s="3" t="s">
        <v>84</v>
      </c>
      <c r="B317" s="12">
        <v>2021</v>
      </c>
      <c r="C317" s="3" t="s">
        <v>107</v>
      </c>
      <c r="D317" s="12">
        <v>146.9</v>
      </c>
      <c r="E317" s="12">
        <v>199.8</v>
      </c>
      <c r="F317" s="12">
        <v>171.5</v>
      </c>
      <c r="G317" s="12">
        <v>159.1</v>
      </c>
      <c r="H317" s="12">
        <v>198.4</v>
      </c>
      <c r="I317" s="12">
        <v>153.19999999999999</v>
      </c>
      <c r="J317" s="12">
        <v>183.9</v>
      </c>
      <c r="K317" s="12">
        <v>165.4</v>
      </c>
      <c r="L317" s="12">
        <v>122.1</v>
      </c>
      <c r="M317" s="12">
        <v>170.8</v>
      </c>
      <c r="N317" s="12">
        <v>169.1</v>
      </c>
      <c r="O317" s="12">
        <v>174.3</v>
      </c>
      <c r="P317" s="12">
        <v>167.5</v>
      </c>
      <c r="Q317" s="12">
        <v>191.4</v>
      </c>
      <c r="R317" s="12">
        <v>170.4</v>
      </c>
      <c r="S317" s="12">
        <v>166</v>
      </c>
      <c r="T317" s="12">
        <v>169.8</v>
      </c>
      <c r="U317" s="13"/>
      <c r="V317" s="12">
        <v>165.3</v>
      </c>
      <c r="W317" s="12">
        <v>162.9</v>
      </c>
      <c r="X317" s="12">
        <v>173.4</v>
      </c>
      <c r="Y317" s="12">
        <v>158.9</v>
      </c>
      <c r="Z317" s="12">
        <v>163.80000000000001</v>
      </c>
      <c r="AA317" s="12">
        <v>169.3</v>
      </c>
      <c r="AB317" s="12">
        <v>162.4</v>
      </c>
      <c r="AC317" s="12">
        <v>165.2</v>
      </c>
      <c r="AD317" s="12">
        <v>167.6</v>
      </c>
    </row>
    <row r="318" spans="1:30" ht="15" customHeight="1" x14ac:dyDescent="0.2">
      <c r="A318" s="3" t="s">
        <v>87</v>
      </c>
      <c r="B318" s="12">
        <v>2021</v>
      </c>
      <c r="C318" s="3" t="s">
        <v>107</v>
      </c>
      <c r="D318" s="12">
        <v>151</v>
      </c>
      <c r="E318" s="12">
        <v>204.9</v>
      </c>
      <c r="F318" s="12">
        <v>175.4</v>
      </c>
      <c r="G318" s="12">
        <v>159.6</v>
      </c>
      <c r="H318" s="12">
        <v>175.8</v>
      </c>
      <c r="I318" s="12">
        <v>160.30000000000001</v>
      </c>
      <c r="J318" s="12">
        <v>229.1</v>
      </c>
      <c r="K318" s="12">
        <v>165.1</v>
      </c>
      <c r="L318" s="12">
        <v>123.1</v>
      </c>
      <c r="M318" s="12">
        <v>167.2</v>
      </c>
      <c r="N318" s="12">
        <v>156.1</v>
      </c>
      <c r="O318" s="12">
        <v>176.8</v>
      </c>
      <c r="P318" s="12">
        <v>173.5</v>
      </c>
      <c r="Q318" s="12">
        <v>197</v>
      </c>
      <c r="R318" s="12">
        <v>162.30000000000001</v>
      </c>
      <c r="S318" s="12">
        <v>145.30000000000001</v>
      </c>
      <c r="T318" s="12">
        <v>159.69999999999999</v>
      </c>
      <c r="U318" s="12">
        <v>164.2</v>
      </c>
      <c r="V318" s="12">
        <v>161.6</v>
      </c>
      <c r="W318" s="12">
        <v>155.19999999999999</v>
      </c>
      <c r="X318" s="12">
        <v>164.2</v>
      </c>
      <c r="Y318" s="12">
        <v>151.19999999999999</v>
      </c>
      <c r="Z318" s="12">
        <v>156.69999999999999</v>
      </c>
      <c r="AA318" s="12">
        <v>160.80000000000001</v>
      </c>
      <c r="AB318" s="12">
        <v>161.80000000000001</v>
      </c>
      <c r="AC318" s="12">
        <v>157.30000000000001</v>
      </c>
      <c r="AD318" s="12">
        <v>165.6</v>
      </c>
    </row>
    <row r="319" spans="1:30" ht="15" customHeight="1" x14ac:dyDescent="0.2">
      <c r="A319" s="3" t="s">
        <v>89</v>
      </c>
      <c r="B319" s="12">
        <v>2021</v>
      </c>
      <c r="C319" s="3" t="s">
        <v>107</v>
      </c>
      <c r="D319" s="12">
        <v>148.19999999999999</v>
      </c>
      <c r="E319" s="12">
        <v>201.6</v>
      </c>
      <c r="F319" s="12">
        <v>173</v>
      </c>
      <c r="G319" s="12">
        <v>159.30000000000001</v>
      </c>
      <c r="H319" s="12">
        <v>190.1</v>
      </c>
      <c r="I319" s="12">
        <v>156.5</v>
      </c>
      <c r="J319" s="12">
        <v>199.2</v>
      </c>
      <c r="K319" s="12">
        <v>165.3</v>
      </c>
      <c r="L319" s="12">
        <v>122.4</v>
      </c>
      <c r="M319" s="12">
        <v>169.6</v>
      </c>
      <c r="N319" s="12">
        <v>163.69999999999999</v>
      </c>
      <c r="O319" s="12">
        <v>175.5</v>
      </c>
      <c r="P319" s="12">
        <v>169.7</v>
      </c>
      <c r="Q319" s="12">
        <v>192.9</v>
      </c>
      <c r="R319" s="12">
        <v>167.2</v>
      </c>
      <c r="S319" s="12">
        <v>157.4</v>
      </c>
      <c r="T319" s="12">
        <v>165.8</v>
      </c>
      <c r="U319" s="12">
        <v>164.2</v>
      </c>
      <c r="V319" s="12">
        <v>163.9</v>
      </c>
      <c r="W319" s="12">
        <v>159.30000000000001</v>
      </c>
      <c r="X319" s="12">
        <v>169.9</v>
      </c>
      <c r="Y319" s="12">
        <v>154.80000000000001</v>
      </c>
      <c r="Z319" s="12">
        <v>159.80000000000001</v>
      </c>
      <c r="AA319" s="12">
        <v>164.3</v>
      </c>
      <c r="AB319" s="12">
        <v>162.19999999999999</v>
      </c>
      <c r="AC319" s="12">
        <v>161.4</v>
      </c>
      <c r="AD319" s="12">
        <v>166.7</v>
      </c>
    </row>
    <row r="320" spans="1:30" ht="15" customHeight="1" x14ac:dyDescent="0.25">
      <c r="A320" s="3" t="s">
        <v>84</v>
      </c>
      <c r="B320" s="12">
        <v>2021</v>
      </c>
      <c r="C320" s="3" t="s">
        <v>109</v>
      </c>
      <c r="D320" s="12">
        <v>147.4</v>
      </c>
      <c r="E320" s="12">
        <v>197</v>
      </c>
      <c r="F320" s="12">
        <v>176.5</v>
      </c>
      <c r="G320" s="12">
        <v>159.80000000000001</v>
      </c>
      <c r="H320" s="12">
        <v>195.8</v>
      </c>
      <c r="I320" s="12">
        <v>152</v>
      </c>
      <c r="J320" s="12">
        <v>172.3</v>
      </c>
      <c r="K320" s="12">
        <v>164.5</v>
      </c>
      <c r="L320" s="12">
        <v>120.6</v>
      </c>
      <c r="M320" s="12">
        <v>171.7</v>
      </c>
      <c r="N320" s="12">
        <v>169.7</v>
      </c>
      <c r="O320" s="12">
        <v>175.1</v>
      </c>
      <c r="P320" s="12">
        <v>165.8</v>
      </c>
      <c r="Q320" s="12">
        <v>190.8</v>
      </c>
      <c r="R320" s="12">
        <v>171.8</v>
      </c>
      <c r="S320" s="12">
        <v>167.3</v>
      </c>
      <c r="T320" s="12">
        <v>171.2</v>
      </c>
      <c r="U320" s="13"/>
      <c r="V320" s="12">
        <v>165.6</v>
      </c>
      <c r="W320" s="12">
        <v>163.9</v>
      </c>
      <c r="X320" s="12">
        <v>174</v>
      </c>
      <c r="Y320" s="12">
        <v>160.1</v>
      </c>
      <c r="Z320" s="12">
        <v>164.5</v>
      </c>
      <c r="AA320" s="12">
        <v>169.7</v>
      </c>
      <c r="AB320" s="12">
        <v>162.80000000000001</v>
      </c>
      <c r="AC320" s="12">
        <v>166</v>
      </c>
      <c r="AD320" s="12">
        <v>167</v>
      </c>
    </row>
    <row r="321" spans="1:30" ht="15" customHeight="1" x14ac:dyDescent="0.2">
      <c r="A321" s="3" t="s">
        <v>87</v>
      </c>
      <c r="B321" s="12">
        <v>2021</v>
      </c>
      <c r="C321" s="3" t="s">
        <v>109</v>
      </c>
      <c r="D321" s="12">
        <v>151.6</v>
      </c>
      <c r="E321" s="12">
        <v>202.2</v>
      </c>
      <c r="F321" s="12">
        <v>180</v>
      </c>
      <c r="G321" s="12">
        <v>160</v>
      </c>
      <c r="H321" s="12">
        <v>173.5</v>
      </c>
      <c r="I321" s="12">
        <v>158.30000000000001</v>
      </c>
      <c r="J321" s="12">
        <v>219.5</v>
      </c>
      <c r="K321" s="12">
        <v>164.2</v>
      </c>
      <c r="L321" s="12">
        <v>121.9</v>
      </c>
      <c r="M321" s="12">
        <v>168.2</v>
      </c>
      <c r="N321" s="12">
        <v>156.5</v>
      </c>
      <c r="O321" s="12">
        <v>178.2</v>
      </c>
      <c r="P321" s="12">
        <v>172.2</v>
      </c>
      <c r="Q321" s="12">
        <v>196.8</v>
      </c>
      <c r="R321" s="12">
        <v>163.30000000000001</v>
      </c>
      <c r="S321" s="12">
        <v>146.69999999999999</v>
      </c>
      <c r="T321" s="12">
        <v>160.69999999999999</v>
      </c>
      <c r="U321" s="12">
        <v>163.4</v>
      </c>
      <c r="V321" s="12">
        <v>161.69999999999999</v>
      </c>
      <c r="W321" s="12">
        <v>156</v>
      </c>
      <c r="X321" s="12">
        <v>165.1</v>
      </c>
      <c r="Y321" s="12">
        <v>151.80000000000001</v>
      </c>
      <c r="Z321" s="12">
        <v>157.6</v>
      </c>
      <c r="AA321" s="12">
        <v>160.6</v>
      </c>
      <c r="AB321" s="12">
        <v>162.4</v>
      </c>
      <c r="AC321" s="12">
        <v>157.80000000000001</v>
      </c>
      <c r="AD321" s="12">
        <v>165.2</v>
      </c>
    </row>
    <row r="322" spans="1:30" ht="15" customHeight="1" x14ac:dyDescent="0.2">
      <c r="A322" s="3" t="s">
        <v>89</v>
      </c>
      <c r="B322" s="12">
        <v>2021</v>
      </c>
      <c r="C322" s="3" t="s">
        <v>109</v>
      </c>
      <c r="D322" s="12">
        <v>148.69999999999999</v>
      </c>
      <c r="E322" s="12">
        <v>198.8</v>
      </c>
      <c r="F322" s="12">
        <v>177.9</v>
      </c>
      <c r="G322" s="12">
        <v>159.9</v>
      </c>
      <c r="H322" s="12">
        <v>187.6</v>
      </c>
      <c r="I322" s="12">
        <v>154.9</v>
      </c>
      <c r="J322" s="12">
        <v>188.3</v>
      </c>
      <c r="K322" s="12">
        <v>164.4</v>
      </c>
      <c r="L322" s="12">
        <v>121</v>
      </c>
      <c r="M322" s="12">
        <v>170.5</v>
      </c>
      <c r="N322" s="12">
        <v>164.2</v>
      </c>
      <c r="O322" s="12">
        <v>176.5</v>
      </c>
      <c r="P322" s="12">
        <v>168.2</v>
      </c>
      <c r="Q322" s="12">
        <v>192.4</v>
      </c>
      <c r="R322" s="12">
        <v>168.5</v>
      </c>
      <c r="S322" s="12">
        <v>158.69999999999999</v>
      </c>
      <c r="T322" s="12">
        <v>167</v>
      </c>
      <c r="U322" s="12">
        <v>163.4</v>
      </c>
      <c r="V322" s="12">
        <v>164.1</v>
      </c>
      <c r="W322" s="12">
        <v>160.19999999999999</v>
      </c>
      <c r="X322" s="12">
        <v>170.6</v>
      </c>
      <c r="Y322" s="12">
        <v>155.69999999999999</v>
      </c>
      <c r="Z322" s="12">
        <v>160.6</v>
      </c>
      <c r="AA322" s="12">
        <v>164.4</v>
      </c>
      <c r="AB322" s="12">
        <v>162.6</v>
      </c>
      <c r="AC322" s="12">
        <v>162</v>
      </c>
      <c r="AD322" s="12">
        <v>166.2</v>
      </c>
    </row>
    <row r="323" spans="1:30" ht="15" customHeight="1" x14ac:dyDescent="0.25">
      <c r="A323" s="3" t="s">
        <v>84</v>
      </c>
      <c r="B323" s="12">
        <v>2022</v>
      </c>
      <c r="C323" s="3" t="s">
        <v>85</v>
      </c>
      <c r="D323" s="12">
        <v>148.30000000000001</v>
      </c>
      <c r="E323" s="12">
        <v>196.9</v>
      </c>
      <c r="F323" s="12">
        <v>178</v>
      </c>
      <c r="G323" s="12">
        <v>160.5</v>
      </c>
      <c r="H323" s="12">
        <v>192.6</v>
      </c>
      <c r="I323" s="12">
        <v>151.19999999999999</v>
      </c>
      <c r="J323" s="12">
        <v>159.19999999999999</v>
      </c>
      <c r="K323" s="12">
        <v>164</v>
      </c>
      <c r="L323" s="12">
        <v>119.3</v>
      </c>
      <c r="M323" s="12">
        <v>173.3</v>
      </c>
      <c r="N323" s="12">
        <v>169.8</v>
      </c>
      <c r="O323" s="12">
        <v>175.8</v>
      </c>
      <c r="P323" s="12">
        <v>164.1</v>
      </c>
      <c r="Q323" s="12">
        <v>190.7</v>
      </c>
      <c r="R323" s="12">
        <v>173.2</v>
      </c>
      <c r="S323" s="12">
        <v>169.3</v>
      </c>
      <c r="T323" s="12">
        <v>172.7</v>
      </c>
      <c r="U323" s="13"/>
      <c r="V323" s="12">
        <v>165.8</v>
      </c>
      <c r="W323" s="12">
        <v>164.9</v>
      </c>
      <c r="X323" s="12">
        <v>174.7</v>
      </c>
      <c r="Y323" s="12">
        <v>160.80000000000001</v>
      </c>
      <c r="Z323" s="12">
        <v>164.9</v>
      </c>
      <c r="AA323" s="12">
        <v>169.9</v>
      </c>
      <c r="AB323" s="12">
        <v>163.19999999999999</v>
      </c>
      <c r="AC323" s="12">
        <v>166.6</v>
      </c>
      <c r="AD323" s="12">
        <v>166.4</v>
      </c>
    </row>
    <row r="324" spans="1:30" ht="15" customHeight="1" x14ac:dyDescent="0.2">
      <c r="A324" s="3" t="s">
        <v>87</v>
      </c>
      <c r="B324" s="12">
        <v>2022</v>
      </c>
      <c r="C324" s="3" t="s">
        <v>85</v>
      </c>
      <c r="D324" s="12">
        <v>152.19999999999999</v>
      </c>
      <c r="E324" s="12">
        <v>202.1</v>
      </c>
      <c r="F324" s="12">
        <v>180.1</v>
      </c>
      <c r="G324" s="12">
        <v>160.4</v>
      </c>
      <c r="H324" s="12">
        <v>171</v>
      </c>
      <c r="I324" s="12">
        <v>156.5</v>
      </c>
      <c r="J324" s="12">
        <v>203.6</v>
      </c>
      <c r="K324" s="12">
        <v>163.80000000000001</v>
      </c>
      <c r="L324" s="12">
        <v>121.3</v>
      </c>
      <c r="M324" s="12">
        <v>169.8</v>
      </c>
      <c r="N324" s="12">
        <v>156.6</v>
      </c>
      <c r="O324" s="12">
        <v>179</v>
      </c>
      <c r="P324" s="12">
        <v>170.3</v>
      </c>
      <c r="Q324" s="12">
        <v>196.4</v>
      </c>
      <c r="R324" s="12">
        <v>164.7</v>
      </c>
      <c r="S324" s="12">
        <v>148.5</v>
      </c>
      <c r="T324" s="12">
        <v>162.19999999999999</v>
      </c>
      <c r="U324" s="12">
        <v>164.5</v>
      </c>
      <c r="V324" s="12">
        <v>161.6</v>
      </c>
      <c r="W324" s="12">
        <v>156.80000000000001</v>
      </c>
      <c r="X324" s="12">
        <v>166.1</v>
      </c>
      <c r="Y324" s="12">
        <v>152.69999999999999</v>
      </c>
      <c r="Z324" s="12">
        <v>158.4</v>
      </c>
      <c r="AA324" s="12">
        <v>161</v>
      </c>
      <c r="AB324" s="12">
        <v>162.80000000000001</v>
      </c>
      <c r="AC324" s="12">
        <v>158.6</v>
      </c>
      <c r="AD324" s="12">
        <v>165</v>
      </c>
    </row>
    <row r="325" spans="1:30" ht="15" customHeight="1" x14ac:dyDescent="0.2">
      <c r="A325" s="3" t="s">
        <v>89</v>
      </c>
      <c r="B325" s="12">
        <v>2022</v>
      </c>
      <c r="C325" s="3" t="s">
        <v>85</v>
      </c>
      <c r="D325" s="12">
        <v>149.5</v>
      </c>
      <c r="E325" s="12">
        <v>198.7</v>
      </c>
      <c r="F325" s="12">
        <v>178.8</v>
      </c>
      <c r="G325" s="12">
        <v>160.5</v>
      </c>
      <c r="H325" s="12">
        <v>184.7</v>
      </c>
      <c r="I325" s="12">
        <v>153.69999999999999</v>
      </c>
      <c r="J325" s="12">
        <v>174.3</v>
      </c>
      <c r="K325" s="12">
        <v>163.9</v>
      </c>
      <c r="L325" s="12">
        <v>120</v>
      </c>
      <c r="M325" s="12">
        <v>172.1</v>
      </c>
      <c r="N325" s="12">
        <v>164.3</v>
      </c>
      <c r="O325" s="12">
        <v>177.3</v>
      </c>
      <c r="P325" s="12">
        <v>166.4</v>
      </c>
      <c r="Q325" s="12">
        <v>192.2</v>
      </c>
      <c r="R325" s="12">
        <v>169.9</v>
      </c>
      <c r="S325" s="12">
        <v>160.69999999999999</v>
      </c>
      <c r="T325" s="12">
        <v>168.5</v>
      </c>
      <c r="U325" s="12">
        <v>164.5</v>
      </c>
      <c r="V325" s="12">
        <v>164.2</v>
      </c>
      <c r="W325" s="12">
        <v>161.1</v>
      </c>
      <c r="X325" s="12">
        <v>171.4</v>
      </c>
      <c r="Y325" s="12">
        <v>156.5</v>
      </c>
      <c r="Z325" s="12">
        <v>161.19999999999999</v>
      </c>
      <c r="AA325" s="12">
        <v>164.7</v>
      </c>
      <c r="AB325" s="12">
        <v>163</v>
      </c>
      <c r="AC325" s="12">
        <v>162.69999999999999</v>
      </c>
      <c r="AD325" s="12">
        <v>165.7</v>
      </c>
    </row>
    <row r="326" spans="1:30" ht="15" customHeight="1" x14ac:dyDescent="0.25">
      <c r="A326" s="3" t="s">
        <v>84</v>
      </c>
      <c r="B326" s="12">
        <v>2022</v>
      </c>
      <c r="C326" s="3" t="s">
        <v>90</v>
      </c>
      <c r="D326" s="12">
        <v>148.80000000000001</v>
      </c>
      <c r="E326" s="12">
        <v>198.1</v>
      </c>
      <c r="F326" s="12">
        <v>175.5</v>
      </c>
      <c r="G326" s="12">
        <v>160.69999999999999</v>
      </c>
      <c r="H326" s="12">
        <v>192.6</v>
      </c>
      <c r="I326" s="12">
        <v>151.4</v>
      </c>
      <c r="J326" s="12">
        <v>155.19999999999999</v>
      </c>
      <c r="K326" s="12">
        <v>163.9</v>
      </c>
      <c r="L326" s="12">
        <v>118.1</v>
      </c>
      <c r="M326" s="12">
        <v>175.4</v>
      </c>
      <c r="N326" s="12">
        <v>170.5</v>
      </c>
      <c r="O326" s="12">
        <v>176.3</v>
      </c>
      <c r="P326" s="12">
        <v>163.9</v>
      </c>
      <c r="Q326" s="12">
        <v>191.5</v>
      </c>
      <c r="R326" s="12">
        <v>174.1</v>
      </c>
      <c r="S326" s="12">
        <v>171</v>
      </c>
      <c r="T326" s="12">
        <v>173.7</v>
      </c>
      <c r="U326" s="13"/>
      <c r="V326" s="12">
        <v>167.4</v>
      </c>
      <c r="W326" s="12">
        <v>165.7</v>
      </c>
      <c r="X326" s="12">
        <v>175.3</v>
      </c>
      <c r="Y326" s="12">
        <v>161.19999999999999</v>
      </c>
      <c r="Z326" s="12">
        <v>165.5</v>
      </c>
      <c r="AA326" s="12">
        <v>170.3</v>
      </c>
      <c r="AB326" s="12">
        <v>164.5</v>
      </c>
      <c r="AC326" s="12">
        <v>167.3</v>
      </c>
      <c r="AD326" s="12">
        <v>166.7</v>
      </c>
    </row>
    <row r="327" spans="1:30" ht="15" customHeight="1" x14ac:dyDescent="0.2">
      <c r="A327" s="3" t="s">
        <v>87</v>
      </c>
      <c r="B327" s="12">
        <v>2022</v>
      </c>
      <c r="C327" s="3" t="s">
        <v>90</v>
      </c>
      <c r="D327" s="12">
        <v>152.5</v>
      </c>
      <c r="E327" s="12">
        <v>205.2</v>
      </c>
      <c r="F327" s="12">
        <v>176.4</v>
      </c>
      <c r="G327" s="12">
        <v>160.6</v>
      </c>
      <c r="H327" s="12">
        <v>171.5</v>
      </c>
      <c r="I327" s="12">
        <v>156.4</v>
      </c>
      <c r="J327" s="12">
        <v>198</v>
      </c>
      <c r="K327" s="12">
        <v>163.19999999999999</v>
      </c>
      <c r="L327" s="12">
        <v>120.6</v>
      </c>
      <c r="M327" s="12">
        <v>172.2</v>
      </c>
      <c r="N327" s="12">
        <v>156.69999999999999</v>
      </c>
      <c r="O327" s="12">
        <v>180</v>
      </c>
      <c r="P327" s="12">
        <v>170.2</v>
      </c>
      <c r="Q327" s="12">
        <v>196.5</v>
      </c>
      <c r="R327" s="12">
        <v>165.7</v>
      </c>
      <c r="S327" s="12">
        <v>150.4</v>
      </c>
      <c r="T327" s="12">
        <v>163.4</v>
      </c>
      <c r="U327" s="12">
        <v>165.5</v>
      </c>
      <c r="V327" s="12">
        <v>163</v>
      </c>
      <c r="W327" s="12">
        <v>157.4</v>
      </c>
      <c r="X327" s="12">
        <v>167.2</v>
      </c>
      <c r="Y327" s="12">
        <v>153.1</v>
      </c>
      <c r="Z327" s="12">
        <v>159.5</v>
      </c>
      <c r="AA327" s="12">
        <v>162</v>
      </c>
      <c r="AB327" s="12">
        <v>164.2</v>
      </c>
      <c r="AC327" s="12">
        <v>159.4</v>
      </c>
      <c r="AD327" s="12">
        <v>165.5</v>
      </c>
    </row>
    <row r="328" spans="1:30" ht="15" customHeight="1" x14ac:dyDescent="0.2">
      <c r="A328" s="3" t="s">
        <v>89</v>
      </c>
      <c r="B328" s="12">
        <v>2022</v>
      </c>
      <c r="C328" s="3" t="s">
        <v>90</v>
      </c>
      <c r="D328" s="12">
        <v>150</v>
      </c>
      <c r="E328" s="12">
        <v>200.6</v>
      </c>
      <c r="F328" s="12">
        <v>175.8</v>
      </c>
      <c r="G328" s="12">
        <v>160.69999999999999</v>
      </c>
      <c r="H328" s="12">
        <v>184.9</v>
      </c>
      <c r="I328" s="12">
        <v>153.69999999999999</v>
      </c>
      <c r="J328" s="12">
        <v>169.7</v>
      </c>
      <c r="K328" s="12">
        <v>163.69999999999999</v>
      </c>
      <c r="L328" s="12">
        <v>118.9</v>
      </c>
      <c r="M328" s="12">
        <v>174.3</v>
      </c>
      <c r="N328" s="12">
        <v>164.7</v>
      </c>
      <c r="O328" s="12">
        <v>178</v>
      </c>
      <c r="P328" s="12">
        <v>166.2</v>
      </c>
      <c r="Q328" s="12">
        <v>192.8</v>
      </c>
      <c r="R328" s="12">
        <v>170.8</v>
      </c>
      <c r="S328" s="12">
        <v>162.4</v>
      </c>
      <c r="T328" s="12">
        <v>169.6</v>
      </c>
      <c r="U328" s="12">
        <v>165.5</v>
      </c>
      <c r="V328" s="12">
        <v>165.7</v>
      </c>
      <c r="W328" s="12">
        <v>161.80000000000001</v>
      </c>
      <c r="X328" s="12">
        <v>172.2</v>
      </c>
      <c r="Y328" s="12">
        <v>156.9</v>
      </c>
      <c r="Z328" s="12">
        <v>162.1</v>
      </c>
      <c r="AA328" s="12">
        <v>165.4</v>
      </c>
      <c r="AB328" s="12">
        <v>164.4</v>
      </c>
      <c r="AC328" s="12">
        <v>163.5</v>
      </c>
      <c r="AD328" s="12">
        <v>166.1</v>
      </c>
    </row>
    <row r="329" spans="1:30" ht="15" customHeight="1" x14ac:dyDescent="0.25">
      <c r="A329" s="3" t="s">
        <v>84</v>
      </c>
      <c r="B329" s="12">
        <v>2022</v>
      </c>
      <c r="C329" s="3" t="s">
        <v>92</v>
      </c>
      <c r="D329" s="12">
        <v>150.19999999999999</v>
      </c>
      <c r="E329" s="12">
        <v>208</v>
      </c>
      <c r="F329" s="12">
        <v>167.9</v>
      </c>
      <c r="G329" s="12">
        <v>162</v>
      </c>
      <c r="H329" s="12">
        <v>203.1</v>
      </c>
      <c r="I329" s="12">
        <v>155.9</v>
      </c>
      <c r="J329" s="12">
        <v>155.80000000000001</v>
      </c>
      <c r="K329" s="12">
        <v>164.2</v>
      </c>
      <c r="L329" s="12">
        <v>118.1</v>
      </c>
      <c r="M329" s="12">
        <v>178.7</v>
      </c>
      <c r="N329" s="12">
        <v>171.2</v>
      </c>
      <c r="O329" s="12">
        <v>177.4</v>
      </c>
      <c r="P329" s="12">
        <v>166.6</v>
      </c>
      <c r="Q329" s="12">
        <v>192.3</v>
      </c>
      <c r="R329" s="12">
        <v>175.4</v>
      </c>
      <c r="S329" s="12">
        <v>173.2</v>
      </c>
      <c r="T329" s="12">
        <v>175.1</v>
      </c>
      <c r="U329" s="13"/>
      <c r="V329" s="12">
        <v>168.9</v>
      </c>
      <c r="W329" s="12">
        <v>166.5</v>
      </c>
      <c r="X329" s="12">
        <v>176</v>
      </c>
      <c r="Y329" s="12">
        <v>162</v>
      </c>
      <c r="Z329" s="12">
        <v>166.6</v>
      </c>
      <c r="AA329" s="12">
        <v>170.6</v>
      </c>
      <c r="AB329" s="12">
        <v>167.4</v>
      </c>
      <c r="AC329" s="12">
        <v>168.3</v>
      </c>
      <c r="AD329" s="12">
        <v>168.7</v>
      </c>
    </row>
    <row r="330" spans="1:30" ht="15" customHeight="1" x14ac:dyDescent="0.2">
      <c r="A330" s="3" t="s">
        <v>87</v>
      </c>
      <c r="B330" s="12">
        <v>2022</v>
      </c>
      <c r="C330" s="3" t="s">
        <v>92</v>
      </c>
      <c r="D330" s="12">
        <v>153.69999999999999</v>
      </c>
      <c r="E330" s="12">
        <v>215.8</v>
      </c>
      <c r="F330" s="12">
        <v>167.7</v>
      </c>
      <c r="G330" s="12">
        <v>162.6</v>
      </c>
      <c r="H330" s="12">
        <v>180</v>
      </c>
      <c r="I330" s="12">
        <v>159.6</v>
      </c>
      <c r="J330" s="12">
        <v>188.4</v>
      </c>
      <c r="K330" s="12">
        <v>163.4</v>
      </c>
      <c r="L330" s="12">
        <v>120.3</v>
      </c>
      <c r="M330" s="12">
        <v>174.7</v>
      </c>
      <c r="N330" s="12">
        <v>157.1</v>
      </c>
      <c r="O330" s="12">
        <v>181.5</v>
      </c>
      <c r="P330" s="12">
        <v>171.5</v>
      </c>
      <c r="Q330" s="12">
        <v>197.5</v>
      </c>
      <c r="R330" s="12">
        <v>167.1</v>
      </c>
      <c r="S330" s="12">
        <v>152.6</v>
      </c>
      <c r="T330" s="12">
        <v>164.9</v>
      </c>
      <c r="U330" s="12">
        <v>165.3</v>
      </c>
      <c r="V330" s="12">
        <v>164.5</v>
      </c>
      <c r="W330" s="12">
        <v>158.6</v>
      </c>
      <c r="X330" s="12">
        <v>168.2</v>
      </c>
      <c r="Y330" s="12">
        <v>154.19999999999999</v>
      </c>
      <c r="Z330" s="12">
        <v>160.80000000000001</v>
      </c>
      <c r="AA330" s="12">
        <v>162.69999999999999</v>
      </c>
      <c r="AB330" s="12">
        <v>166.8</v>
      </c>
      <c r="AC330" s="12">
        <v>160.6</v>
      </c>
      <c r="AD330" s="12">
        <v>166.5</v>
      </c>
    </row>
    <row r="331" spans="1:30" ht="15" customHeight="1" x14ac:dyDescent="0.2">
      <c r="A331" s="3" t="s">
        <v>89</v>
      </c>
      <c r="B331" s="12">
        <v>2022</v>
      </c>
      <c r="C331" s="3" t="s">
        <v>92</v>
      </c>
      <c r="D331" s="12">
        <v>151.30000000000001</v>
      </c>
      <c r="E331" s="12">
        <v>210.7</v>
      </c>
      <c r="F331" s="12">
        <v>167.8</v>
      </c>
      <c r="G331" s="12">
        <v>162.19999999999999</v>
      </c>
      <c r="H331" s="12">
        <v>194.6</v>
      </c>
      <c r="I331" s="12">
        <v>157.6</v>
      </c>
      <c r="J331" s="12">
        <v>166.9</v>
      </c>
      <c r="K331" s="12">
        <v>163.9</v>
      </c>
      <c r="L331" s="12">
        <v>118.8</v>
      </c>
      <c r="M331" s="12">
        <v>177.4</v>
      </c>
      <c r="N331" s="12">
        <v>165.3</v>
      </c>
      <c r="O331" s="12">
        <v>179.3</v>
      </c>
      <c r="P331" s="12">
        <v>168.4</v>
      </c>
      <c r="Q331" s="12">
        <v>193.7</v>
      </c>
      <c r="R331" s="12">
        <v>172.1</v>
      </c>
      <c r="S331" s="12">
        <v>164.6</v>
      </c>
      <c r="T331" s="12">
        <v>171.1</v>
      </c>
      <c r="U331" s="12">
        <v>165.3</v>
      </c>
      <c r="V331" s="12">
        <v>167.2</v>
      </c>
      <c r="W331" s="12">
        <v>162.80000000000001</v>
      </c>
      <c r="X331" s="12">
        <v>173</v>
      </c>
      <c r="Y331" s="12">
        <v>157.9</v>
      </c>
      <c r="Z331" s="12">
        <v>163.30000000000001</v>
      </c>
      <c r="AA331" s="12">
        <v>166</v>
      </c>
      <c r="AB331" s="12">
        <v>167.2</v>
      </c>
      <c r="AC331" s="12">
        <v>164.6</v>
      </c>
      <c r="AD331" s="12">
        <v>167.7</v>
      </c>
    </row>
    <row r="332" spans="1:30" ht="15" customHeight="1" x14ac:dyDescent="0.25">
      <c r="A332" s="3" t="s">
        <v>84</v>
      </c>
      <c r="B332" s="12">
        <v>2022</v>
      </c>
      <c r="C332" s="3" t="s">
        <v>93</v>
      </c>
      <c r="D332" s="12">
        <v>151.80000000000001</v>
      </c>
      <c r="E332" s="12">
        <v>209.7</v>
      </c>
      <c r="F332" s="12">
        <v>164.5</v>
      </c>
      <c r="G332" s="12">
        <v>163.80000000000001</v>
      </c>
      <c r="H332" s="12">
        <v>207.4</v>
      </c>
      <c r="I332" s="12">
        <v>169.7</v>
      </c>
      <c r="J332" s="12">
        <v>153.6</v>
      </c>
      <c r="K332" s="12">
        <v>165.1</v>
      </c>
      <c r="L332" s="12">
        <v>118.2</v>
      </c>
      <c r="M332" s="12">
        <v>182.9</v>
      </c>
      <c r="N332" s="12">
        <v>172.4</v>
      </c>
      <c r="O332" s="12">
        <v>178.9</v>
      </c>
      <c r="P332" s="12">
        <v>168.6</v>
      </c>
      <c r="Q332" s="12">
        <v>192.8</v>
      </c>
      <c r="R332" s="12">
        <v>177.5</v>
      </c>
      <c r="S332" s="12">
        <v>175.1</v>
      </c>
      <c r="T332" s="12">
        <v>177.1</v>
      </c>
      <c r="U332" s="13"/>
      <c r="V332" s="12">
        <v>173.3</v>
      </c>
      <c r="W332" s="12">
        <v>167.7</v>
      </c>
      <c r="X332" s="12">
        <v>177</v>
      </c>
      <c r="Y332" s="12">
        <v>166.2</v>
      </c>
      <c r="Z332" s="12">
        <v>167.2</v>
      </c>
      <c r="AA332" s="12">
        <v>170.9</v>
      </c>
      <c r="AB332" s="12">
        <v>169</v>
      </c>
      <c r="AC332" s="12">
        <v>170.2</v>
      </c>
      <c r="AD332" s="12">
        <v>170.8</v>
      </c>
    </row>
    <row r="333" spans="1:30" ht="15" customHeight="1" x14ac:dyDescent="0.2">
      <c r="A333" s="3" t="s">
        <v>87</v>
      </c>
      <c r="B333" s="12">
        <v>2022</v>
      </c>
      <c r="C333" s="3" t="s">
        <v>93</v>
      </c>
      <c r="D333" s="12">
        <v>155.4</v>
      </c>
      <c r="E333" s="12">
        <v>215.8</v>
      </c>
      <c r="F333" s="12">
        <v>164.6</v>
      </c>
      <c r="G333" s="12">
        <v>164.2</v>
      </c>
      <c r="H333" s="12">
        <v>186</v>
      </c>
      <c r="I333" s="12">
        <v>175.9</v>
      </c>
      <c r="J333" s="12">
        <v>190.7</v>
      </c>
      <c r="K333" s="12">
        <v>164</v>
      </c>
      <c r="L333" s="12">
        <v>120.5</v>
      </c>
      <c r="M333" s="12">
        <v>178</v>
      </c>
      <c r="N333" s="12">
        <v>157.5</v>
      </c>
      <c r="O333" s="12">
        <v>183.3</v>
      </c>
      <c r="P333" s="12">
        <v>174.5</v>
      </c>
      <c r="Q333" s="12">
        <v>197.1</v>
      </c>
      <c r="R333" s="12">
        <v>168.4</v>
      </c>
      <c r="S333" s="12">
        <v>154.5</v>
      </c>
      <c r="T333" s="12">
        <v>166.3</v>
      </c>
      <c r="U333" s="12">
        <v>167</v>
      </c>
      <c r="V333" s="12">
        <v>170.5</v>
      </c>
      <c r="W333" s="12">
        <v>159.80000000000001</v>
      </c>
      <c r="X333" s="12">
        <v>169</v>
      </c>
      <c r="Y333" s="12">
        <v>159.30000000000001</v>
      </c>
      <c r="Z333" s="12">
        <v>162.19999999999999</v>
      </c>
      <c r="AA333" s="12">
        <v>164</v>
      </c>
      <c r="AB333" s="12">
        <v>168.4</v>
      </c>
      <c r="AC333" s="12">
        <v>163.1</v>
      </c>
      <c r="AD333" s="12">
        <v>169.2</v>
      </c>
    </row>
    <row r="334" spans="1:30" ht="15" customHeight="1" x14ac:dyDescent="0.2">
      <c r="A334" s="3" t="s">
        <v>89</v>
      </c>
      <c r="B334" s="12">
        <v>2022</v>
      </c>
      <c r="C334" s="3" t="s">
        <v>93</v>
      </c>
      <c r="D334" s="12">
        <v>152.9</v>
      </c>
      <c r="E334" s="12">
        <v>211.8</v>
      </c>
      <c r="F334" s="12">
        <v>164.5</v>
      </c>
      <c r="G334" s="12">
        <v>163.9</v>
      </c>
      <c r="H334" s="12">
        <v>199.5</v>
      </c>
      <c r="I334" s="12">
        <v>172.6</v>
      </c>
      <c r="J334" s="12">
        <v>166.2</v>
      </c>
      <c r="K334" s="12">
        <v>164.7</v>
      </c>
      <c r="L334" s="12">
        <v>119</v>
      </c>
      <c r="M334" s="12">
        <v>181.3</v>
      </c>
      <c r="N334" s="12">
        <v>166.2</v>
      </c>
      <c r="O334" s="12">
        <v>180.9</v>
      </c>
      <c r="P334" s="12">
        <v>170.8</v>
      </c>
      <c r="Q334" s="12">
        <v>193.9</v>
      </c>
      <c r="R334" s="12">
        <v>173.9</v>
      </c>
      <c r="S334" s="12">
        <v>166.5</v>
      </c>
      <c r="T334" s="12">
        <v>172.8</v>
      </c>
      <c r="U334" s="12">
        <v>167</v>
      </c>
      <c r="V334" s="12">
        <v>172.2</v>
      </c>
      <c r="W334" s="12">
        <v>164</v>
      </c>
      <c r="X334" s="12">
        <v>174</v>
      </c>
      <c r="Y334" s="12">
        <v>162.6</v>
      </c>
      <c r="Z334" s="12">
        <v>164.4</v>
      </c>
      <c r="AA334" s="12">
        <v>166.9</v>
      </c>
      <c r="AB334" s="12">
        <v>168.8</v>
      </c>
      <c r="AC334" s="12">
        <v>166.8</v>
      </c>
      <c r="AD334" s="12">
        <v>170.1</v>
      </c>
    </row>
    <row r="335" spans="1:30" ht="15" customHeight="1" x14ac:dyDescent="0.25">
      <c r="A335" s="3" t="s">
        <v>84</v>
      </c>
      <c r="B335" s="12">
        <v>2022</v>
      </c>
      <c r="C335" s="3" t="s">
        <v>95</v>
      </c>
      <c r="D335" s="12">
        <v>152.9</v>
      </c>
      <c r="E335" s="12">
        <v>214.7</v>
      </c>
      <c r="F335" s="12">
        <v>161.4</v>
      </c>
      <c r="G335" s="12">
        <v>164.6</v>
      </c>
      <c r="H335" s="12">
        <v>209.9</v>
      </c>
      <c r="I335" s="12">
        <v>168</v>
      </c>
      <c r="J335" s="12">
        <v>160.4</v>
      </c>
      <c r="K335" s="12">
        <v>165</v>
      </c>
      <c r="L335" s="12">
        <v>118.9</v>
      </c>
      <c r="M335" s="12">
        <v>186.6</v>
      </c>
      <c r="N335" s="12">
        <v>173.2</v>
      </c>
      <c r="O335" s="12">
        <v>180.4</v>
      </c>
      <c r="P335" s="12">
        <v>170.8</v>
      </c>
      <c r="Q335" s="12">
        <v>192.9</v>
      </c>
      <c r="R335" s="12">
        <v>179.3</v>
      </c>
      <c r="S335" s="12">
        <v>177.2</v>
      </c>
      <c r="T335" s="12">
        <v>179</v>
      </c>
      <c r="U335" s="13"/>
      <c r="V335" s="12">
        <v>175.3</v>
      </c>
      <c r="W335" s="12">
        <v>168.9</v>
      </c>
      <c r="X335" s="12">
        <v>177.7</v>
      </c>
      <c r="Y335" s="12">
        <v>167.1</v>
      </c>
      <c r="Z335" s="12">
        <v>167.6</v>
      </c>
      <c r="AA335" s="12">
        <v>171.8</v>
      </c>
      <c r="AB335" s="12">
        <v>168.5</v>
      </c>
      <c r="AC335" s="12">
        <v>170.9</v>
      </c>
      <c r="AD335" s="12">
        <v>172.5</v>
      </c>
    </row>
    <row r="336" spans="1:30" ht="15" customHeight="1" x14ac:dyDescent="0.2">
      <c r="A336" s="3" t="s">
        <v>87</v>
      </c>
      <c r="B336" s="12">
        <v>2022</v>
      </c>
      <c r="C336" s="3" t="s">
        <v>95</v>
      </c>
      <c r="D336" s="12">
        <v>156.69999999999999</v>
      </c>
      <c r="E336" s="12">
        <v>221.2</v>
      </c>
      <c r="F336" s="12">
        <v>164.1</v>
      </c>
      <c r="G336" s="12">
        <v>165.4</v>
      </c>
      <c r="H336" s="12">
        <v>189.5</v>
      </c>
      <c r="I336" s="12">
        <v>174.5</v>
      </c>
      <c r="J336" s="12">
        <v>203.2</v>
      </c>
      <c r="K336" s="12">
        <v>164.1</v>
      </c>
      <c r="L336" s="12">
        <v>121.2</v>
      </c>
      <c r="M336" s="12">
        <v>181.4</v>
      </c>
      <c r="N336" s="12">
        <v>158.5</v>
      </c>
      <c r="O336" s="12">
        <v>184.9</v>
      </c>
      <c r="P336" s="12">
        <v>177.5</v>
      </c>
      <c r="Q336" s="12">
        <v>197.5</v>
      </c>
      <c r="R336" s="12">
        <v>170</v>
      </c>
      <c r="S336" s="12">
        <v>155.9</v>
      </c>
      <c r="T336" s="12">
        <v>167.8</v>
      </c>
      <c r="U336" s="12">
        <v>167.5</v>
      </c>
      <c r="V336" s="12">
        <v>173.5</v>
      </c>
      <c r="W336" s="12">
        <v>161.1</v>
      </c>
      <c r="X336" s="12">
        <v>170.1</v>
      </c>
      <c r="Y336" s="12">
        <v>159.4</v>
      </c>
      <c r="Z336" s="12">
        <v>163.19999999999999</v>
      </c>
      <c r="AA336" s="12">
        <v>165.2</v>
      </c>
      <c r="AB336" s="12">
        <v>168.2</v>
      </c>
      <c r="AC336" s="12">
        <v>163.80000000000001</v>
      </c>
      <c r="AD336" s="12">
        <v>170.8</v>
      </c>
    </row>
    <row r="337" spans="1:30" ht="15" customHeight="1" x14ac:dyDescent="0.2">
      <c r="A337" s="3" t="s">
        <v>89</v>
      </c>
      <c r="B337" s="12">
        <v>2022</v>
      </c>
      <c r="C337" s="3" t="s">
        <v>95</v>
      </c>
      <c r="D337" s="12">
        <v>154.1</v>
      </c>
      <c r="E337" s="12">
        <v>217</v>
      </c>
      <c r="F337" s="12">
        <v>162.4</v>
      </c>
      <c r="G337" s="12">
        <v>164.9</v>
      </c>
      <c r="H337" s="12">
        <v>202.4</v>
      </c>
      <c r="I337" s="12">
        <v>171</v>
      </c>
      <c r="J337" s="12">
        <v>174.9</v>
      </c>
      <c r="K337" s="12">
        <v>164.7</v>
      </c>
      <c r="L337" s="12">
        <v>119.7</v>
      </c>
      <c r="M337" s="12">
        <v>184.9</v>
      </c>
      <c r="N337" s="12">
        <v>167.1</v>
      </c>
      <c r="O337" s="12">
        <v>182.5</v>
      </c>
      <c r="P337" s="12">
        <v>173.3</v>
      </c>
      <c r="Q337" s="12">
        <v>194.1</v>
      </c>
      <c r="R337" s="12">
        <v>175.6</v>
      </c>
      <c r="S337" s="12">
        <v>168.4</v>
      </c>
      <c r="T337" s="12">
        <v>174.6</v>
      </c>
      <c r="U337" s="12">
        <v>167.5</v>
      </c>
      <c r="V337" s="12">
        <v>174.6</v>
      </c>
      <c r="W337" s="12">
        <v>165.2</v>
      </c>
      <c r="X337" s="12">
        <v>174.8</v>
      </c>
      <c r="Y337" s="12">
        <v>163</v>
      </c>
      <c r="Z337" s="12">
        <v>165.1</v>
      </c>
      <c r="AA337" s="12">
        <v>167.9</v>
      </c>
      <c r="AB337" s="12">
        <v>168.4</v>
      </c>
      <c r="AC337" s="12">
        <v>167.5</v>
      </c>
      <c r="AD337" s="12">
        <v>171.7</v>
      </c>
    </row>
    <row r="338" spans="1:30" ht="15" customHeight="1" x14ac:dyDescent="0.25">
      <c r="A338" s="3" t="s">
        <v>84</v>
      </c>
      <c r="B338" s="12">
        <v>2022</v>
      </c>
      <c r="C338" s="3" t="s">
        <v>96</v>
      </c>
      <c r="D338" s="12">
        <v>153.80000000000001</v>
      </c>
      <c r="E338" s="12">
        <v>217.2</v>
      </c>
      <c r="F338" s="12">
        <v>169.6</v>
      </c>
      <c r="G338" s="12">
        <v>165.4</v>
      </c>
      <c r="H338" s="12">
        <v>208.1</v>
      </c>
      <c r="I338" s="12">
        <v>165.8</v>
      </c>
      <c r="J338" s="12">
        <v>167.3</v>
      </c>
      <c r="K338" s="12">
        <v>164.6</v>
      </c>
      <c r="L338" s="12">
        <v>119.1</v>
      </c>
      <c r="M338" s="12">
        <v>188.9</v>
      </c>
      <c r="N338" s="12">
        <v>174.2</v>
      </c>
      <c r="O338" s="12">
        <v>181.9</v>
      </c>
      <c r="P338" s="12">
        <v>172.4</v>
      </c>
      <c r="Q338" s="12">
        <v>192.9</v>
      </c>
      <c r="R338" s="12">
        <v>180.7</v>
      </c>
      <c r="S338" s="12">
        <v>178.7</v>
      </c>
      <c r="T338" s="12">
        <v>180.4</v>
      </c>
      <c r="U338" s="13"/>
      <c r="V338" s="12">
        <v>176.7</v>
      </c>
      <c r="W338" s="12">
        <v>170.3</v>
      </c>
      <c r="X338" s="12">
        <v>178.2</v>
      </c>
      <c r="Y338" s="12">
        <v>165.5</v>
      </c>
      <c r="Z338" s="12">
        <v>168</v>
      </c>
      <c r="AA338" s="12">
        <v>172.6</v>
      </c>
      <c r="AB338" s="12">
        <v>169.5</v>
      </c>
      <c r="AC338" s="12">
        <v>171</v>
      </c>
      <c r="AD338" s="12">
        <v>173.6</v>
      </c>
    </row>
    <row r="339" spans="1:30" ht="15" customHeight="1" x14ac:dyDescent="0.2">
      <c r="A339" s="3" t="s">
        <v>87</v>
      </c>
      <c r="B339" s="12">
        <v>2022</v>
      </c>
      <c r="C339" s="3" t="s">
        <v>96</v>
      </c>
      <c r="D339" s="12">
        <v>157.5</v>
      </c>
      <c r="E339" s="12">
        <v>223.4</v>
      </c>
      <c r="F339" s="12">
        <v>172.8</v>
      </c>
      <c r="G339" s="12">
        <v>166.4</v>
      </c>
      <c r="H339" s="12">
        <v>188.6</v>
      </c>
      <c r="I339" s="12">
        <v>174.1</v>
      </c>
      <c r="J339" s="12">
        <v>211.5</v>
      </c>
      <c r="K339" s="12">
        <v>163.6</v>
      </c>
      <c r="L339" s="12">
        <v>121.4</v>
      </c>
      <c r="M339" s="12">
        <v>183.5</v>
      </c>
      <c r="N339" s="12">
        <v>159.1</v>
      </c>
      <c r="O339" s="12">
        <v>186.3</v>
      </c>
      <c r="P339" s="12">
        <v>179.3</v>
      </c>
      <c r="Q339" s="12">
        <v>198.3</v>
      </c>
      <c r="R339" s="12">
        <v>171.6</v>
      </c>
      <c r="S339" s="12">
        <v>157.4</v>
      </c>
      <c r="T339" s="12">
        <v>169.4</v>
      </c>
      <c r="U339" s="12">
        <v>166.8</v>
      </c>
      <c r="V339" s="12">
        <v>174.9</v>
      </c>
      <c r="W339" s="12">
        <v>162.1</v>
      </c>
      <c r="X339" s="12">
        <v>170.9</v>
      </c>
      <c r="Y339" s="12">
        <v>157.19999999999999</v>
      </c>
      <c r="Z339" s="12">
        <v>164.1</v>
      </c>
      <c r="AA339" s="12">
        <v>166.5</v>
      </c>
      <c r="AB339" s="12">
        <v>169.2</v>
      </c>
      <c r="AC339" s="12">
        <v>163.80000000000001</v>
      </c>
      <c r="AD339" s="12">
        <v>171.4</v>
      </c>
    </row>
    <row r="340" spans="1:30" ht="15" customHeight="1" x14ac:dyDescent="0.2">
      <c r="A340" s="3" t="s">
        <v>89</v>
      </c>
      <c r="B340" s="12">
        <v>2022</v>
      </c>
      <c r="C340" s="3" t="s">
        <v>96</v>
      </c>
      <c r="D340" s="12">
        <v>155</v>
      </c>
      <c r="E340" s="12">
        <v>219.4</v>
      </c>
      <c r="F340" s="12">
        <v>170.8</v>
      </c>
      <c r="G340" s="12">
        <v>165.8</v>
      </c>
      <c r="H340" s="12">
        <v>200.9</v>
      </c>
      <c r="I340" s="12">
        <v>169.7</v>
      </c>
      <c r="J340" s="12">
        <v>182.3</v>
      </c>
      <c r="K340" s="12">
        <v>164.3</v>
      </c>
      <c r="L340" s="12">
        <v>119.9</v>
      </c>
      <c r="M340" s="12">
        <v>187.1</v>
      </c>
      <c r="N340" s="12">
        <v>167.9</v>
      </c>
      <c r="O340" s="12">
        <v>183.9</v>
      </c>
      <c r="P340" s="12">
        <v>174.9</v>
      </c>
      <c r="Q340" s="12">
        <v>194.3</v>
      </c>
      <c r="R340" s="12">
        <v>177.1</v>
      </c>
      <c r="S340" s="12">
        <v>169.9</v>
      </c>
      <c r="T340" s="12">
        <v>176</v>
      </c>
      <c r="U340" s="12">
        <v>166.8</v>
      </c>
      <c r="V340" s="12">
        <v>176</v>
      </c>
      <c r="W340" s="12">
        <v>166.4</v>
      </c>
      <c r="X340" s="12">
        <v>175.4</v>
      </c>
      <c r="Y340" s="12">
        <v>161.1</v>
      </c>
      <c r="Z340" s="12">
        <v>165.8</v>
      </c>
      <c r="AA340" s="12">
        <v>169</v>
      </c>
      <c r="AB340" s="12">
        <v>169.4</v>
      </c>
      <c r="AC340" s="12">
        <v>167.5</v>
      </c>
      <c r="AD340" s="12">
        <v>172.6</v>
      </c>
    </row>
    <row r="341" spans="1:30" ht="15" customHeight="1" x14ac:dyDescent="0.25">
      <c r="A341" s="3" t="s">
        <v>84</v>
      </c>
      <c r="B341" s="12">
        <v>2022</v>
      </c>
      <c r="C341" s="3" t="s">
        <v>98</v>
      </c>
      <c r="D341" s="12">
        <v>155.19999999999999</v>
      </c>
      <c r="E341" s="12">
        <v>210.8</v>
      </c>
      <c r="F341" s="12">
        <v>174.3</v>
      </c>
      <c r="G341" s="12">
        <v>166.3</v>
      </c>
      <c r="H341" s="12">
        <v>202.2</v>
      </c>
      <c r="I341" s="12">
        <v>169.6</v>
      </c>
      <c r="J341" s="12">
        <v>168.6</v>
      </c>
      <c r="K341" s="12">
        <v>164.4</v>
      </c>
      <c r="L341" s="12">
        <v>119.2</v>
      </c>
      <c r="M341" s="12">
        <v>191.8</v>
      </c>
      <c r="N341" s="12">
        <v>174.5</v>
      </c>
      <c r="O341" s="12">
        <v>183.1</v>
      </c>
      <c r="P341" s="12">
        <v>172.5</v>
      </c>
      <c r="Q341" s="12">
        <v>193.2</v>
      </c>
      <c r="R341" s="12">
        <v>182</v>
      </c>
      <c r="S341" s="12">
        <v>180.3</v>
      </c>
      <c r="T341" s="12">
        <v>181.7</v>
      </c>
      <c r="U341" s="13"/>
      <c r="V341" s="12">
        <v>179.6</v>
      </c>
      <c r="W341" s="12">
        <v>171.3</v>
      </c>
      <c r="X341" s="12">
        <v>178.8</v>
      </c>
      <c r="Y341" s="12">
        <v>166.3</v>
      </c>
      <c r="Z341" s="12">
        <v>168.6</v>
      </c>
      <c r="AA341" s="12">
        <v>174.7</v>
      </c>
      <c r="AB341" s="12">
        <v>169.7</v>
      </c>
      <c r="AC341" s="12">
        <v>171.8</v>
      </c>
      <c r="AD341" s="12">
        <v>174.3</v>
      </c>
    </row>
    <row r="342" spans="1:30" ht="15" customHeight="1" x14ac:dyDescent="0.2">
      <c r="A342" s="3" t="s">
        <v>87</v>
      </c>
      <c r="B342" s="12">
        <v>2022</v>
      </c>
      <c r="C342" s="3" t="s">
        <v>98</v>
      </c>
      <c r="D342" s="12">
        <v>159.30000000000001</v>
      </c>
      <c r="E342" s="12">
        <v>217.1</v>
      </c>
      <c r="F342" s="12">
        <v>176.6</v>
      </c>
      <c r="G342" s="12">
        <v>167.1</v>
      </c>
      <c r="H342" s="12">
        <v>184.8</v>
      </c>
      <c r="I342" s="12">
        <v>179.5</v>
      </c>
      <c r="J342" s="12">
        <v>208.5</v>
      </c>
      <c r="K342" s="12">
        <v>164</v>
      </c>
      <c r="L342" s="12">
        <v>121.5</v>
      </c>
      <c r="M342" s="12">
        <v>186.3</v>
      </c>
      <c r="N342" s="12">
        <v>159.80000000000001</v>
      </c>
      <c r="O342" s="12">
        <v>187.7</v>
      </c>
      <c r="P342" s="12">
        <v>179.4</v>
      </c>
      <c r="Q342" s="12">
        <v>198.6</v>
      </c>
      <c r="R342" s="12">
        <v>172.7</v>
      </c>
      <c r="S342" s="12">
        <v>158.69999999999999</v>
      </c>
      <c r="T342" s="12">
        <v>170.6</v>
      </c>
      <c r="U342" s="12">
        <v>167.8</v>
      </c>
      <c r="V342" s="12">
        <v>179.5</v>
      </c>
      <c r="W342" s="12">
        <v>163.1</v>
      </c>
      <c r="X342" s="12">
        <v>171.7</v>
      </c>
      <c r="Y342" s="12">
        <v>157.4</v>
      </c>
      <c r="Z342" s="12">
        <v>164.6</v>
      </c>
      <c r="AA342" s="12">
        <v>169.1</v>
      </c>
      <c r="AB342" s="12">
        <v>169.8</v>
      </c>
      <c r="AC342" s="12">
        <v>164.7</v>
      </c>
      <c r="AD342" s="12">
        <v>172.3</v>
      </c>
    </row>
    <row r="343" spans="1:30" ht="15" customHeight="1" x14ac:dyDescent="0.2">
      <c r="A343" s="3" t="s">
        <v>89</v>
      </c>
      <c r="B343" s="12">
        <v>2022</v>
      </c>
      <c r="C343" s="3" t="s">
        <v>98</v>
      </c>
      <c r="D343" s="12">
        <v>156.5</v>
      </c>
      <c r="E343" s="12">
        <v>213</v>
      </c>
      <c r="F343" s="12">
        <v>175.2</v>
      </c>
      <c r="G343" s="12">
        <v>166.6</v>
      </c>
      <c r="H343" s="12">
        <v>195.8</v>
      </c>
      <c r="I343" s="12">
        <v>174.2</v>
      </c>
      <c r="J343" s="12">
        <v>182.1</v>
      </c>
      <c r="K343" s="12">
        <v>164.3</v>
      </c>
      <c r="L343" s="12">
        <v>120</v>
      </c>
      <c r="M343" s="12">
        <v>190</v>
      </c>
      <c r="N343" s="12">
        <v>168.4</v>
      </c>
      <c r="O343" s="12">
        <v>185.2</v>
      </c>
      <c r="P343" s="12">
        <v>175</v>
      </c>
      <c r="Q343" s="12">
        <v>194.6</v>
      </c>
      <c r="R343" s="12">
        <v>178.3</v>
      </c>
      <c r="S343" s="12">
        <v>171.3</v>
      </c>
      <c r="T343" s="12">
        <v>177.3</v>
      </c>
      <c r="U343" s="12">
        <v>167.8</v>
      </c>
      <c r="V343" s="12">
        <v>179.6</v>
      </c>
      <c r="W343" s="12">
        <v>167.4</v>
      </c>
      <c r="X343" s="12">
        <v>176.1</v>
      </c>
      <c r="Y343" s="12">
        <v>161.6</v>
      </c>
      <c r="Z343" s="12">
        <v>166.3</v>
      </c>
      <c r="AA343" s="12">
        <v>171.4</v>
      </c>
      <c r="AB343" s="12">
        <v>169.7</v>
      </c>
      <c r="AC343" s="12">
        <v>168.4</v>
      </c>
      <c r="AD343" s="12">
        <v>173.4</v>
      </c>
    </row>
    <row r="344" spans="1:30" ht="15" customHeight="1" x14ac:dyDescent="0.25">
      <c r="A344" s="3" t="s">
        <v>84</v>
      </c>
      <c r="B344" s="12">
        <v>2022</v>
      </c>
      <c r="C344" s="3" t="s">
        <v>100</v>
      </c>
      <c r="D344" s="12">
        <v>159.5</v>
      </c>
      <c r="E344" s="12">
        <v>204.1</v>
      </c>
      <c r="F344" s="12">
        <v>168.3</v>
      </c>
      <c r="G344" s="12">
        <v>167.9</v>
      </c>
      <c r="H344" s="12">
        <v>198.1</v>
      </c>
      <c r="I344" s="12">
        <v>169.2</v>
      </c>
      <c r="J344" s="12">
        <v>173.1</v>
      </c>
      <c r="K344" s="12">
        <v>167.1</v>
      </c>
      <c r="L344" s="12">
        <v>120.2</v>
      </c>
      <c r="M344" s="12">
        <v>195.6</v>
      </c>
      <c r="N344" s="12">
        <v>174.8</v>
      </c>
      <c r="O344" s="12">
        <v>184</v>
      </c>
      <c r="P344" s="12">
        <v>173.9</v>
      </c>
      <c r="Q344" s="12">
        <v>193.7</v>
      </c>
      <c r="R344" s="12">
        <v>183.2</v>
      </c>
      <c r="S344" s="12">
        <v>181.7</v>
      </c>
      <c r="T344" s="12">
        <v>183</v>
      </c>
      <c r="U344" s="13"/>
      <c r="V344" s="12">
        <v>179.1</v>
      </c>
      <c r="W344" s="12">
        <v>172.3</v>
      </c>
      <c r="X344" s="12">
        <v>179.4</v>
      </c>
      <c r="Y344" s="12">
        <v>166.6</v>
      </c>
      <c r="Z344" s="12">
        <v>169.3</v>
      </c>
      <c r="AA344" s="12">
        <v>175.7</v>
      </c>
      <c r="AB344" s="12">
        <v>171.1</v>
      </c>
      <c r="AC344" s="12">
        <v>172.6</v>
      </c>
      <c r="AD344" s="12">
        <v>175.3</v>
      </c>
    </row>
    <row r="345" spans="1:30" ht="15" customHeight="1" x14ac:dyDescent="0.2">
      <c r="A345" s="3" t="s">
        <v>87</v>
      </c>
      <c r="B345" s="12">
        <v>2022</v>
      </c>
      <c r="C345" s="3" t="s">
        <v>100</v>
      </c>
      <c r="D345" s="12">
        <v>162.1</v>
      </c>
      <c r="E345" s="12">
        <v>210.9</v>
      </c>
      <c r="F345" s="12">
        <v>170.6</v>
      </c>
      <c r="G345" s="12">
        <v>168.4</v>
      </c>
      <c r="H345" s="12">
        <v>182.5</v>
      </c>
      <c r="I345" s="12">
        <v>177.1</v>
      </c>
      <c r="J345" s="12">
        <v>213.1</v>
      </c>
      <c r="K345" s="12">
        <v>167.3</v>
      </c>
      <c r="L345" s="12">
        <v>122.2</v>
      </c>
      <c r="M345" s="12">
        <v>189.7</v>
      </c>
      <c r="N345" s="12">
        <v>160.5</v>
      </c>
      <c r="O345" s="12">
        <v>188.9</v>
      </c>
      <c r="P345" s="12">
        <v>180.4</v>
      </c>
      <c r="Q345" s="12">
        <v>198.7</v>
      </c>
      <c r="R345" s="12">
        <v>173.7</v>
      </c>
      <c r="S345" s="12">
        <v>160</v>
      </c>
      <c r="T345" s="12">
        <v>171.6</v>
      </c>
      <c r="U345" s="12">
        <v>169</v>
      </c>
      <c r="V345" s="12">
        <v>178.4</v>
      </c>
      <c r="W345" s="12">
        <v>164.2</v>
      </c>
      <c r="X345" s="12">
        <v>172.6</v>
      </c>
      <c r="Y345" s="12">
        <v>157.69999999999999</v>
      </c>
      <c r="Z345" s="12">
        <v>165.1</v>
      </c>
      <c r="AA345" s="12">
        <v>169.9</v>
      </c>
      <c r="AB345" s="12">
        <v>171.4</v>
      </c>
      <c r="AC345" s="12">
        <v>165.4</v>
      </c>
      <c r="AD345" s="12">
        <v>173.1</v>
      </c>
    </row>
    <row r="346" spans="1:30" ht="15" customHeight="1" x14ac:dyDescent="0.2">
      <c r="A346" s="3" t="s">
        <v>89</v>
      </c>
      <c r="B346" s="12">
        <v>2022</v>
      </c>
      <c r="C346" s="3" t="s">
        <v>100</v>
      </c>
      <c r="D346" s="12">
        <v>160.30000000000001</v>
      </c>
      <c r="E346" s="12">
        <v>206.5</v>
      </c>
      <c r="F346" s="12">
        <v>169.2</v>
      </c>
      <c r="G346" s="12">
        <v>168.1</v>
      </c>
      <c r="H346" s="12">
        <v>192.4</v>
      </c>
      <c r="I346" s="12">
        <v>172.9</v>
      </c>
      <c r="J346" s="12">
        <v>186.7</v>
      </c>
      <c r="K346" s="12">
        <v>167.2</v>
      </c>
      <c r="L346" s="12">
        <v>120.9</v>
      </c>
      <c r="M346" s="12">
        <v>193.6</v>
      </c>
      <c r="N346" s="12">
        <v>168.8</v>
      </c>
      <c r="O346" s="12">
        <v>186.3</v>
      </c>
      <c r="P346" s="12">
        <v>176.3</v>
      </c>
      <c r="Q346" s="12">
        <v>195</v>
      </c>
      <c r="R346" s="12">
        <v>179.5</v>
      </c>
      <c r="S346" s="12">
        <v>172.7</v>
      </c>
      <c r="T346" s="12">
        <v>178.5</v>
      </c>
      <c r="U346" s="12">
        <v>169</v>
      </c>
      <c r="V346" s="12">
        <v>178.8</v>
      </c>
      <c r="W346" s="12">
        <v>168.5</v>
      </c>
      <c r="X346" s="12">
        <v>176.8</v>
      </c>
      <c r="Y346" s="12">
        <v>161.9</v>
      </c>
      <c r="Z346" s="12">
        <v>166.9</v>
      </c>
      <c r="AA346" s="12">
        <v>172.3</v>
      </c>
      <c r="AB346" s="12">
        <v>171.2</v>
      </c>
      <c r="AC346" s="12">
        <v>169.1</v>
      </c>
      <c r="AD346" s="12">
        <v>174.3</v>
      </c>
    </row>
    <row r="347" spans="1:30" ht="15" customHeight="1" x14ac:dyDescent="0.25">
      <c r="A347" s="3" t="s">
        <v>84</v>
      </c>
      <c r="B347" s="12">
        <v>2022</v>
      </c>
      <c r="C347" s="3" t="s">
        <v>102</v>
      </c>
      <c r="D347" s="12">
        <v>162.9</v>
      </c>
      <c r="E347" s="12">
        <v>206.7</v>
      </c>
      <c r="F347" s="12">
        <v>169</v>
      </c>
      <c r="G347" s="12">
        <v>169.5</v>
      </c>
      <c r="H347" s="12">
        <v>194.1</v>
      </c>
      <c r="I347" s="12">
        <v>164.1</v>
      </c>
      <c r="J347" s="12">
        <v>176.9</v>
      </c>
      <c r="K347" s="12">
        <v>169</v>
      </c>
      <c r="L347" s="12">
        <v>120.8</v>
      </c>
      <c r="M347" s="12">
        <v>199.1</v>
      </c>
      <c r="N347" s="12">
        <v>175.4</v>
      </c>
      <c r="O347" s="12">
        <v>184.8</v>
      </c>
      <c r="P347" s="12">
        <v>175.5</v>
      </c>
      <c r="Q347" s="12">
        <v>194.5</v>
      </c>
      <c r="R347" s="12">
        <v>184.7</v>
      </c>
      <c r="S347" s="12">
        <v>183.3</v>
      </c>
      <c r="T347" s="12">
        <v>184.5</v>
      </c>
      <c r="U347" s="13"/>
      <c r="V347" s="12">
        <v>179.7</v>
      </c>
      <c r="W347" s="12">
        <v>173.6</v>
      </c>
      <c r="X347" s="12">
        <v>180.2</v>
      </c>
      <c r="Y347" s="12">
        <v>166.9</v>
      </c>
      <c r="Z347" s="12">
        <v>170</v>
      </c>
      <c r="AA347" s="12">
        <v>176.2</v>
      </c>
      <c r="AB347" s="12">
        <v>170.8</v>
      </c>
      <c r="AC347" s="12">
        <v>173.1</v>
      </c>
      <c r="AD347" s="12">
        <v>176.4</v>
      </c>
    </row>
    <row r="348" spans="1:30" ht="15" customHeight="1" x14ac:dyDescent="0.2">
      <c r="A348" s="3" t="s">
        <v>87</v>
      </c>
      <c r="B348" s="12">
        <v>2022</v>
      </c>
      <c r="C348" s="3" t="s">
        <v>102</v>
      </c>
      <c r="D348" s="12">
        <v>164.9</v>
      </c>
      <c r="E348" s="12">
        <v>213.7</v>
      </c>
      <c r="F348" s="12">
        <v>170.9</v>
      </c>
      <c r="G348" s="12">
        <v>170.1</v>
      </c>
      <c r="H348" s="12">
        <v>179.3</v>
      </c>
      <c r="I348" s="12">
        <v>167.5</v>
      </c>
      <c r="J348" s="12">
        <v>220.8</v>
      </c>
      <c r="K348" s="12">
        <v>169.2</v>
      </c>
      <c r="L348" s="12">
        <v>123.1</v>
      </c>
      <c r="M348" s="12">
        <v>193.6</v>
      </c>
      <c r="N348" s="12">
        <v>161.1</v>
      </c>
      <c r="O348" s="12">
        <v>190.4</v>
      </c>
      <c r="P348" s="12">
        <v>181.8</v>
      </c>
      <c r="Q348" s="12">
        <v>199.7</v>
      </c>
      <c r="R348" s="12">
        <v>175</v>
      </c>
      <c r="S348" s="12">
        <v>161.69999999999999</v>
      </c>
      <c r="T348" s="12">
        <v>173</v>
      </c>
      <c r="U348" s="12">
        <v>169.5</v>
      </c>
      <c r="V348" s="12">
        <v>179.2</v>
      </c>
      <c r="W348" s="12">
        <v>165</v>
      </c>
      <c r="X348" s="12">
        <v>173.8</v>
      </c>
      <c r="Y348" s="12">
        <v>158.19999999999999</v>
      </c>
      <c r="Z348" s="12">
        <v>165.8</v>
      </c>
      <c r="AA348" s="12">
        <v>170.9</v>
      </c>
      <c r="AB348" s="12">
        <v>171.1</v>
      </c>
      <c r="AC348" s="12">
        <v>166.1</v>
      </c>
      <c r="AD348" s="12">
        <v>174.1</v>
      </c>
    </row>
    <row r="349" spans="1:30" ht="15" customHeight="1" x14ac:dyDescent="0.2">
      <c r="A349" s="3" t="s">
        <v>89</v>
      </c>
      <c r="B349" s="12">
        <v>2022</v>
      </c>
      <c r="C349" s="3" t="s">
        <v>102</v>
      </c>
      <c r="D349" s="12">
        <v>163.5</v>
      </c>
      <c r="E349" s="12">
        <v>209.2</v>
      </c>
      <c r="F349" s="12">
        <v>169.7</v>
      </c>
      <c r="G349" s="12">
        <v>169.7</v>
      </c>
      <c r="H349" s="12">
        <v>188.7</v>
      </c>
      <c r="I349" s="12">
        <v>165.7</v>
      </c>
      <c r="J349" s="12">
        <v>191.8</v>
      </c>
      <c r="K349" s="12">
        <v>169.1</v>
      </c>
      <c r="L349" s="12">
        <v>121.6</v>
      </c>
      <c r="M349" s="12">
        <v>197.3</v>
      </c>
      <c r="N349" s="12">
        <v>169.4</v>
      </c>
      <c r="O349" s="12">
        <v>187.4</v>
      </c>
      <c r="P349" s="12">
        <v>177.8</v>
      </c>
      <c r="Q349" s="12">
        <v>195.9</v>
      </c>
      <c r="R349" s="12">
        <v>180.9</v>
      </c>
      <c r="S349" s="12">
        <v>174.3</v>
      </c>
      <c r="T349" s="12">
        <v>179.9</v>
      </c>
      <c r="U349" s="12">
        <v>169.5</v>
      </c>
      <c r="V349" s="12">
        <v>179.5</v>
      </c>
      <c r="W349" s="12">
        <v>169.5</v>
      </c>
      <c r="X349" s="12">
        <v>177.8</v>
      </c>
      <c r="Y349" s="12">
        <v>162.30000000000001</v>
      </c>
      <c r="Z349" s="12">
        <v>167.6</v>
      </c>
      <c r="AA349" s="12">
        <v>173.1</v>
      </c>
      <c r="AB349" s="12">
        <v>170.9</v>
      </c>
      <c r="AC349" s="12">
        <v>169.7</v>
      </c>
      <c r="AD349" s="12">
        <v>175.3</v>
      </c>
    </row>
    <row r="350" spans="1:30" ht="15" customHeight="1" x14ac:dyDescent="0.25">
      <c r="A350" s="3" t="s">
        <v>84</v>
      </c>
      <c r="B350" s="12">
        <v>2022</v>
      </c>
      <c r="C350" s="3" t="s">
        <v>104</v>
      </c>
      <c r="D350" s="12">
        <v>164.7</v>
      </c>
      <c r="E350" s="12">
        <v>208.8</v>
      </c>
      <c r="F350" s="12">
        <v>170.3</v>
      </c>
      <c r="G350" s="12">
        <v>170.9</v>
      </c>
      <c r="H350" s="12">
        <v>191.6</v>
      </c>
      <c r="I350" s="12">
        <v>162.19999999999999</v>
      </c>
      <c r="J350" s="12">
        <v>184.8</v>
      </c>
      <c r="K350" s="12">
        <v>169.7</v>
      </c>
      <c r="L350" s="12">
        <v>121.1</v>
      </c>
      <c r="M350" s="12">
        <v>201.6</v>
      </c>
      <c r="N350" s="12">
        <v>175.8</v>
      </c>
      <c r="O350" s="12">
        <v>185.6</v>
      </c>
      <c r="P350" s="12">
        <v>177.4</v>
      </c>
      <c r="Q350" s="12">
        <v>194.9</v>
      </c>
      <c r="R350" s="12">
        <v>186.1</v>
      </c>
      <c r="S350" s="12">
        <v>184.4</v>
      </c>
      <c r="T350" s="12">
        <v>185.9</v>
      </c>
      <c r="U350" s="13"/>
      <c r="V350" s="12">
        <v>180.8</v>
      </c>
      <c r="W350" s="12">
        <v>174.4</v>
      </c>
      <c r="X350" s="12">
        <v>181.2</v>
      </c>
      <c r="Y350" s="12">
        <v>167.4</v>
      </c>
      <c r="Z350" s="12">
        <v>170.6</v>
      </c>
      <c r="AA350" s="12">
        <v>176.5</v>
      </c>
      <c r="AB350" s="12">
        <v>172</v>
      </c>
      <c r="AC350" s="12">
        <v>173.9</v>
      </c>
      <c r="AD350" s="12">
        <v>177.9</v>
      </c>
    </row>
    <row r="351" spans="1:30" ht="15" customHeight="1" x14ac:dyDescent="0.2">
      <c r="A351" s="3" t="s">
        <v>87</v>
      </c>
      <c r="B351" s="12">
        <v>2022</v>
      </c>
      <c r="C351" s="3" t="s">
        <v>104</v>
      </c>
      <c r="D351" s="12">
        <v>166.4</v>
      </c>
      <c r="E351" s="12">
        <v>214.9</v>
      </c>
      <c r="F351" s="12">
        <v>171.9</v>
      </c>
      <c r="G351" s="12">
        <v>171</v>
      </c>
      <c r="H351" s="12">
        <v>177.7</v>
      </c>
      <c r="I351" s="12">
        <v>165.7</v>
      </c>
      <c r="J351" s="12">
        <v>228.6</v>
      </c>
      <c r="K351" s="12">
        <v>169.9</v>
      </c>
      <c r="L351" s="12">
        <v>123.4</v>
      </c>
      <c r="M351" s="12">
        <v>196.4</v>
      </c>
      <c r="N351" s="12">
        <v>161.6</v>
      </c>
      <c r="O351" s="12">
        <v>191.5</v>
      </c>
      <c r="P351" s="12">
        <v>183.3</v>
      </c>
      <c r="Q351" s="12">
        <v>200.1</v>
      </c>
      <c r="R351" s="12">
        <v>175.5</v>
      </c>
      <c r="S351" s="12">
        <v>162.6</v>
      </c>
      <c r="T351" s="12">
        <v>173.6</v>
      </c>
      <c r="U351" s="12">
        <v>171.2</v>
      </c>
      <c r="V351" s="12">
        <v>180</v>
      </c>
      <c r="W351" s="12">
        <v>166</v>
      </c>
      <c r="X351" s="12">
        <v>174.7</v>
      </c>
      <c r="Y351" s="12">
        <v>158.80000000000001</v>
      </c>
      <c r="Z351" s="12">
        <v>166.3</v>
      </c>
      <c r="AA351" s="12">
        <v>171.2</v>
      </c>
      <c r="AB351" s="12">
        <v>172.3</v>
      </c>
      <c r="AC351" s="12">
        <v>166.8</v>
      </c>
      <c r="AD351" s="12">
        <v>175.3</v>
      </c>
    </row>
    <row r="352" spans="1:30" ht="15" customHeight="1" x14ac:dyDescent="0.2">
      <c r="A352" s="3" t="s">
        <v>89</v>
      </c>
      <c r="B352" s="12">
        <v>2022</v>
      </c>
      <c r="C352" s="3" t="s">
        <v>104</v>
      </c>
      <c r="D352" s="12">
        <v>165.2</v>
      </c>
      <c r="E352" s="12">
        <v>210.9</v>
      </c>
      <c r="F352" s="12">
        <v>170.9</v>
      </c>
      <c r="G352" s="12">
        <v>170.9</v>
      </c>
      <c r="H352" s="12">
        <v>186.5</v>
      </c>
      <c r="I352" s="12">
        <v>163.80000000000001</v>
      </c>
      <c r="J352" s="12">
        <v>199.7</v>
      </c>
      <c r="K352" s="12">
        <v>169.8</v>
      </c>
      <c r="L352" s="12">
        <v>121.9</v>
      </c>
      <c r="M352" s="12">
        <v>199.9</v>
      </c>
      <c r="N352" s="12">
        <v>169.9</v>
      </c>
      <c r="O352" s="12">
        <v>188.3</v>
      </c>
      <c r="P352" s="12">
        <v>179.6</v>
      </c>
      <c r="Q352" s="12">
        <v>196.3</v>
      </c>
      <c r="R352" s="12">
        <v>181.9</v>
      </c>
      <c r="S352" s="12">
        <v>175.3</v>
      </c>
      <c r="T352" s="12">
        <v>181</v>
      </c>
      <c r="U352" s="12">
        <v>171.2</v>
      </c>
      <c r="V352" s="12">
        <v>180.5</v>
      </c>
      <c r="W352" s="12">
        <v>170.4</v>
      </c>
      <c r="X352" s="12">
        <v>178.7</v>
      </c>
      <c r="Y352" s="12">
        <v>162.9</v>
      </c>
      <c r="Z352" s="12">
        <v>168.2</v>
      </c>
      <c r="AA352" s="12">
        <v>173.4</v>
      </c>
      <c r="AB352" s="12">
        <v>172.1</v>
      </c>
      <c r="AC352" s="12">
        <v>170.5</v>
      </c>
      <c r="AD352" s="12">
        <v>176.7</v>
      </c>
    </row>
    <row r="353" spans="1:30" ht="15" customHeight="1" x14ac:dyDescent="0.25">
      <c r="A353" s="3" t="s">
        <v>84</v>
      </c>
      <c r="B353" s="12">
        <v>2022</v>
      </c>
      <c r="C353" s="3" t="s">
        <v>107</v>
      </c>
      <c r="D353" s="12">
        <v>166.9</v>
      </c>
      <c r="E353" s="12">
        <v>207.2</v>
      </c>
      <c r="F353" s="12">
        <v>180.2</v>
      </c>
      <c r="G353" s="12">
        <v>172.3</v>
      </c>
      <c r="H353" s="12">
        <v>194</v>
      </c>
      <c r="I353" s="12">
        <v>159.1</v>
      </c>
      <c r="J353" s="12">
        <v>171.6</v>
      </c>
      <c r="K353" s="12">
        <v>170.2</v>
      </c>
      <c r="L353" s="12">
        <v>121.5</v>
      </c>
      <c r="M353" s="12">
        <v>204.8</v>
      </c>
      <c r="N353" s="12">
        <v>176.4</v>
      </c>
      <c r="O353" s="12">
        <v>186.9</v>
      </c>
      <c r="P353" s="12">
        <v>176.6</v>
      </c>
      <c r="Q353" s="12">
        <v>195.5</v>
      </c>
      <c r="R353" s="12">
        <v>187.2</v>
      </c>
      <c r="S353" s="12">
        <v>185.2</v>
      </c>
      <c r="T353" s="12">
        <v>186.9</v>
      </c>
      <c r="U353" s="13"/>
      <c r="V353" s="12">
        <v>181.9</v>
      </c>
      <c r="W353" s="12">
        <v>175.5</v>
      </c>
      <c r="X353" s="12">
        <v>182.3</v>
      </c>
      <c r="Y353" s="12">
        <v>167.5</v>
      </c>
      <c r="Z353" s="12">
        <v>170.8</v>
      </c>
      <c r="AA353" s="12">
        <v>176.9</v>
      </c>
      <c r="AB353" s="12">
        <v>173.4</v>
      </c>
      <c r="AC353" s="12">
        <v>174.6</v>
      </c>
      <c r="AD353" s="12">
        <v>177.8</v>
      </c>
    </row>
    <row r="354" spans="1:30" ht="15" customHeight="1" x14ac:dyDescent="0.2">
      <c r="A354" s="3" t="s">
        <v>87</v>
      </c>
      <c r="B354" s="12">
        <v>2022</v>
      </c>
      <c r="C354" s="3" t="s">
        <v>107</v>
      </c>
      <c r="D354" s="12">
        <v>168.4</v>
      </c>
      <c r="E354" s="12">
        <v>213.4</v>
      </c>
      <c r="F354" s="12">
        <v>183.2</v>
      </c>
      <c r="G354" s="12">
        <v>172.3</v>
      </c>
      <c r="H354" s="12">
        <v>180</v>
      </c>
      <c r="I354" s="12">
        <v>162.6</v>
      </c>
      <c r="J354" s="12">
        <v>205.5</v>
      </c>
      <c r="K354" s="12">
        <v>171</v>
      </c>
      <c r="L354" s="12">
        <v>123.4</v>
      </c>
      <c r="M354" s="12">
        <v>198.8</v>
      </c>
      <c r="N354" s="12">
        <v>162.1</v>
      </c>
      <c r="O354" s="12">
        <v>192.4</v>
      </c>
      <c r="P354" s="12">
        <v>181.3</v>
      </c>
      <c r="Q354" s="12">
        <v>200.6</v>
      </c>
      <c r="R354" s="12">
        <v>176.7</v>
      </c>
      <c r="S354" s="12">
        <v>163.5</v>
      </c>
      <c r="T354" s="12">
        <v>174.7</v>
      </c>
      <c r="U354" s="12">
        <v>171.8</v>
      </c>
      <c r="V354" s="12">
        <v>180.3</v>
      </c>
      <c r="W354" s="12">
        <v>166.9</v>
      </c>
      <c r="X354" s="12">
        <v>175.8</v>
      </c>
      <c r="Y354" s="12">
        <v>158.9</v>
      </c>
      <c r="Z354" s="12">
        <v>166.7</v>
      </c>
      <c r="AA354" s="12">
        <v>171.5</v>
      </c>
      <c r="AB354" s="12">
        <v>173.8</v>
      </c>
      <c r="AC354" s="12">
        <v>167.4</v>
      </c>
      <c r="AD354" s="12">
        <v>174.1</v>
      </c>
    </row>
    <row r="355" spans="1:30" ht="15" customHeight="1" x14ac:dyDescent="0.2">
      <c r="A355" s="3" t="s">
        <v>89</v>
      </c>
      <c r="B355" s="12">
        <v>2022</v>
      </c>
      <c r="C355" s="3" t="s">
        <v>107</v>
      </c>
      <c r="D355" s="12">
        <v>167.4</v>
      </c>
      <c r="E355" s="12">
        <v>209.4</v>
      </c>
      <c r="F355" s="12">
        <v>181.4</v>
      </c>
      <c r="G355" s="12">
        <v>172.3</v>
      </c>
      <c r="H355" s="12">
        <v>188.9</v>
      </c>
      <c r="I355" s="12">
        <v>160.69999999999999</v>
      </c>
      <c r="J355" s="12">
        <v>183.1</v>
      </c>
      <c r="K355" s="12">
        <v>170.5</v>
      </c>
      <c r="L355" s="12">
        <v>122.1</v>
      </c>
      <c r="M355" s="12">
        <v>202.8</v>
      </c>
      <c r="N355" s="12">
        <v>170.4</v>
      </c>
      <c r="O355" s="12">
        <v>189.5</v>
      </c>
      <c r="P355" s="12">
        <v>178.3</v>
      </c>
      <c r="Q355" s="12">
        <v>196.9</v>
      </c>
      <c r="R355" s="12">
        <v>183.1</v>
      </c>
      <c r="S355" s="12">
        <v>176.2</v>
      </c>
      <c r="T355" s="12">
        <v>182.1</v>
      </c>
      <c r="U355" s="12">
        <v>171.8</v>
      </c>
      <c r="V355" s="12">
        <v>181.3</v>
      </c>
      <c r="W355" s="12">
        <v>171.4</v>
      </c>
      <c r="X355" s="12">
        <v>179.8</v>
      </c>
      <c r="Y355" s="12">
        <v>163</v>
      </c>
      <c r="Z355" s="12">
        <v>168.5</v>
      </c>
      <c r="AA355" s="12">
        <v>173.7</v>
      </c>
      <c r="AB355" s="12">
        <v>173.6</v>
      </c>
      <c r="AC355" s="12">
        <v>171.1</v>
      </c>
      <c r="AD355" s="12">
        <v>176.5</v>
      </c>
    </row>
    <row r="356" spans="1:30" ht="15" customHeight="1" x14ac:dyDescent="0.25">
      <c r="A356" s="3" t="s">
        <v>84</v>
      </c>
      <c r="B356" s="12">
        <v>2022</v>
      </c>
      <c r="C356" s="3" t="s">
        <v>109</v>
      </c>
      <c r="D356" s="12">
        <v>168.8</v>
      </c>
      <c r="E356" s="12">
        <v>206.9</v>
      </c>
      <c r="F356" s="12">
        <v>189.1</v>
      </c>
      <c r="G356" s="12">
        <v>173.4</v>
      </c>
      <c r="H356" s="12">
        <v>193.9</v>
      </c>
      <c r="I356" s="12">
        <v>156.69999999999999</v>
      </c>
      <c r="J356" s="12">
        <v>150.19999999999999</v>
      </c>
      <c r="K356" s="12">
        <v>170.5</v>
      </c>
      <c r="L356" s="12">
        <v>121.2</v>
      </c>
      <c r="M356" s="12">
        <v>207.5</v>
      </c>
      <c r="N356" s="12">
        <v>176.8</v>
      </c>
      <c r="O356" s="12">
        <v>187.7</v>
      </c>
      <c r="P356" s="12">
        <v>174.4</v>
      </c>
      <c r="Q356" s="12">
        <v>195.9</v>
      </c>
      <c r="R356" s="12">
        <v>188.1</v>
      </c>
      <c r="S356" s="12">
        <v>185.9</v>
      </c>
      <c r="T356" s="12">
        <v>187.8</v>
      </c>
      <c r="U356" s="13"/>
      <c r="V356" s="12">
        <v>182.8</v>
      </c>
      <c r="W356" s="12">
        <v>176.4</v>
      </c>
      <c r="X356" s="12">
        <v>183.5</v>
      </c>
      <c r="Y356" s="12">
        <v>167.8</v>
      </c>
      <c r="Z356" s="12">
        <v>171.2</v>
      </c>
      <c r="AA356" s="12">
        <v>177.3</v>
      </c>
      <c r="AB356" s="12">
        <v>175.7</v>
      </c>
      <c r="AC356" s="12">
        <v>175.5</v>
      </c>
      <c r="AD356" s="12">
        <v>177.1</v>
      </c>
    </row>
    <row r="357" spans="1:30" ht="15" customHeight="1" x14ac:dyDescent="0.2">
      <c r="A357" s="3" t="s">
        <v>87</v>
      </c>
      <c r="B357" s="12">
        <v>2022</v>
      </c>
      <c r="C357" s="3" t="s">
        <v>109</v>
      </c>
      <c r="D357" s="12">
        <v>170.2</v>
      </c>
      <c r="E357" s="12">
        <v>212.9</v>
      </c>
      <c r="F357" s="12">
        <v>191.9</v>
      </c>
      <c r="G357" s="12">
        <v>173.9</v>
      </c>
      <c r="H357" s="12">
        <v>179.1</v>
      </c>
      <c r="I357" s="12">
        <v>159.5</v>
      </c>
      <c r="J357" s="12">
        <v>178.7</v>
      </c>
      <c r="K357" s="12">
        <v>171.3</v>
      </c>
      <c r="L357" s="12">
        <v>123.1</v>
      </c>
      <c r="M357" s="12">
        <v>200.5</v>
      </c>
      <c r="N357" s="12">
        <v>162.80000000000001</v>
      </c>
      <c r="O357" s="12">
        <v>193.3</v>
      </c>
      <c r="P357" s="12">
        <v>178.6</v>
      </c>
      <c r="Q357" s="12">
        <v>201.1</v>
      </c>
      <c r="R357" s="12">
        <v>177.7</v>
      </c>
      <c r="S357" s="12">
        <v>164.5</v>
      </c>
      <c r="T357" s="12">
        <v>175.7</v>
      </c>
      <c r="U357" s="12">
        <v>170.7</v>
      </c>
      <c r="V357" s="12">
        <v>180.6</v>
      </c>
      <c r="W357" s="12">
        <v>167.3</v>
      </c>
      <c r="X357" s="12">
        <v>177.2</v>
      </c>
      <c r="Y357" s="12">
        <v>159.4</v>
      </c>
      <c r="Z357" s="12">
        <v>167.1</v>
      </c>
      <c r="AA357" s="12">
        <v>171.8</v>
      </c>
      <c r="AB357" s="12">
        <v>176</v>
      </c>
      <c r="AC357" s="12">
        <v>168.2</v>
      </c>
      <c r="AD357" s="12">
        <v>174.1</v>
      </c>
    </row>
    <row r="358" spans="1:30" ht="15" customHeight="1" x14ac:dyDescent="0.2">
      <c r="A358" s="3" t="s">
        <v>89</v>
      </c>
      <c r="B358" s="12">
        <v>2022</v>
      </c>
      <c r="C358" s="3" t="s">
        <v>109</v>
      </c>
      <c r="D358" s="12">
        <v>169.2</v>
      </c>
      <c r="E358" s="12">
        <v>209</v>
      </c>
      <c r="F358" s="12">
        <v>190.2</v>
      </c>
      <c r="G358" s="12">
        <v>173.6</v>
      </c>
      <c r="H358" s="12">
        <v>188.5</v>
      </c>
      <c r="I358" s="12">
        <v>158</v>
      </c>
      <c r="J358" s="12">
        <v>159.9</v>
      </c>
      <c r="K358" s="12">
        <v>170.8</v>
      </c>
      <c r="L358" s="12">
        <v>121.8</v>
      </c>
      <c r="M358" s="12">
        <v>205.2</v>
      </c>
      <c r="N358" s="12">
        <v>171</v>
      </c>
      <c r="O358" s="12">
        <v>190.3</v>
      </c>
      <c r="P358" s="12">
        <v>175.9</v>
      </c>
      <c r="Q358" s="12">
        <v>197.3</v>
      </c>
      <c r="R358" s="12">
        <v>184</v>
      </c>
      <c r="S358" s="12">
        <v>177</v>
      </c>
      <c r="T358" s="12">
        <v>183</v>
      </c>
      <c r="U358" s="12">
        <v>170.7</v>
      </c>
      <c r="V358" s="12">
        <v>182</v>
      </c>
      <c r="W358" s="12">
        <v>172.1</v>
      </c>
      <c r="X358" s="12">
        <v>181.1</v>
      </c>
      <c r="Y358" s="12">
        <v>163.4</v>
      </c>
      <c r="Z358" s="12">
        <v>168.9</v>
      </c>
      <c r="AA358" s="12">
        <v>174.1</v>
      </c>
      <c r="AB358" s="12">
        <v>175.8</v>
      </c>
      <c r="AC358" s="12">
        <v>172</v>
      </c>
      <c r="AD358" s="12">
        <v>175.7</v>
      </c>
    </row>
    <row r="359" spans="1:30" ht="15" customHeight="1" x14ac:dyDescent="0.25">
      <c r="A359" s="3" t="s">
        <v>84</v>
      </c>
      <c r="B359" s="12">
        <v>2023</v>
      </c>
      <c r="C359" s="3" t="s">
        <v>85</v>
      </c>
      <c r="D359" s="12">
        <v>174</v>
      </c>
      <c r="E359" s="12">
        <v>208.3</v>
      </c>
      <c r="F359" s="12">
        <v>192.9</v>
      </c>
      <c r="G359" s="12">
        <v>174.3</v>
      </c>
      <c r="H359" s="12">
        <v>192.6</v>
      </c>
      <c r="I359" s="12">
        <v>156.30000000000001</v>
      </c>
      <c r="J359" s="12">
        <v>142.9</v>
      </c>
      <c r="K359" s="12">
        <v>170.7</v>
      </c>
      <c r="L359" s="12">
        <v>120.3</v>
      </c>
      <c r="M359" s="12">
        <v>210.5</v>
      </c>
      <c r="N359" s="12">
        <v>176.9</v>
      </c>
      <c r="O359" s="12">
        <v>188.5</v>
      </c>
      <c r="P359" s="12">
        <v>175</v>
      </c>
      <c r="Q359" s="12">
        <v>196.9</v>
      </c>
      <c r="R359" s="12">
        <v>189</v>
      </c>
      <c r="S359" s="12">
        <v>186.3</v>
      </c>
      <c r="T359" s="12">
        <v>188.6</v>
      </c>
      <c r="U359" s="13"/>
      <c r="V359" s="12">
        <v>183.2</v>
      </c>
      <c r="W359" s="12">
        <v>177.2</v>
      </c>
      <c r="X359" s="12">
        <v>184.7</v>
      </c>
      <c r="Y359" s="12">
        <v>168.2</v>
      </c>
      <c r="Z359" s="12">
        <v>171.8</v>
      </c>
      <c r="AA359" s="12">
        <v>177.8</v>
      </c>
      <c r="AB359" s="12">
        <v>178.4</v>
      </c>
      <c r="AC359" s="12">
        <v>176.5</v>
      </c>
      <c r="AD359" s="12">
        <v>177.8</v>
      </c>
    </row>
    <row r="360" spans="1:30" ht="15" customHeight="1" x14ac:dyDescent="0.2">
      <c r="A360" s="3" t="s">
        <v>87</v>
      </c>
      <c r="B360" s="12">
        <v>2023</v>
      </c>
      <c r="C360" s="3" t="s">
        <v>85</v>
      </c>
      <c r="D360" s="12">
        <v>173.3</v>
      </c>
      <c r="E360" s="12">
        <v>215.2</v>
      </c>
      <c r="F360" s="12">
        <v>197</v>
      </c>
      <c r="G360" s="12">
        <v>175.2</v>
      </c>
      <c r="H360" s="12">
        <v>178</v>
      </c>
      <c r="I360" s="12">
        <v>160.5</v>
      </c>
      <c r="J360" s="12">
        <v>175.3</v>
      </c>
      <c r="K360" s="12">
        <v>171.2</v>
      </c>
      <c r="L360" s="12">
        <v>122.7</v>
      </c>
      <c r="M360" s="12">
        <v>204.3</v>
      </c>
      <c r="N360" s="12">
        <v>163.69999999999999</v>
      </c>
      <c r="O360" s="12">
        <v>194.3</v>
      </c>
      <c r="P360" s="12">
        <v>179.5</v>
      </c>
      <c r="Q360" s="12">
        <v>201.6</v>
      </c>
      <c r="R360" s="12">
        <v>178.7</v>
      </c>
      <c r="S360" s="12">
        <v>165.3</v>
      </c>
      <c r="T360" s="12">
        <v>176.6</v>
      </c>
      <c r="U360" s="12">
        <v>172.1</v>
      </c>
      <c r="V360" s="12">
        <v>180.1</v>
      </c>
      <c r="W360" s="12">
        <v>168</v>
      </c>
      <c r="X360" s="12">
        <v>178.5</v>
      </c>
      <c r="Y360" s="12">
        <v>159.5</v>
      </c>
      <c r="Z360" s="12">
        <v>167.8</v>
      </c>
      <c r="AA360" s="12">
        <v>171.8</v>
      </c>
      <c r="AB360" s="12">
        <v>178.8</v>
      </c>
      <c r="AC360" s="12">
        <v>168.9</v>
      </c>
      <c r="AD360" s="12">
        <v>174.9</v>
      </c>
    </row>
    <row r="361" spans="1:30" ht="15" customHeight="1" x14ac:dyDescent="0.2">
      <c r="A361" s="3" t="s">
        <v>89</v>
      </c>
      <c r="B361" s="12">
        <v>2023</v>
      </c>
      <c r="C361" s="3" t="s">
        <v>85</v>
      </c>
      <c r="D361" s="12">
        <v>173.8</v>
      </c>
      <c r="E361" s="12">
        <v>210.7</v>
      </c>
      <c r="F361" s="12">
        <v>194.5</v>
      </c>
      <c r="G361" s="12">
        <v>174.6</v>
      </c>
      <c r="H361" s="12">
        <v>187.2</v>
      </c>
      <c r="I361" s="12">
        <v>158.30000000000001</v>
      </c>
      <c r="J361" s="12">
        <v>153.9</v>
      </c>
      <c r="K361" s="12">
        <v>170.9</v>
      </c>
      <c r="L361" s="12">
        <v>121.1</v>
      </c>
      <c r="M361" s="12">
        <v>208.4</v>
      </c>
      <c r="N361" s="12">
        <v>171.4</v>
      </c>
      <c r="O361" s="12">
        <v>191.2</v>
      </c>
      <c r="P361" s="12">
        <v>176.7</v>
      </c>
      <c r="Q361" s="12">
        <v>198.2</v>
      </c>
      <c r="R361" s="12">
        <v>184.9</v>
      </c>
      <c r="S361" s="12">
        <v>177.6</v>
      </c>
      <c r="T361" s="12">
        <v>183.8</v>
      </c>
      <c r="U361" s="12">
        <v>172.1</v>
      </c>
      <c r="V361" s="12">
        <v>182</v>
      </c>
      <c r="W361" s="12">
        <v>172.9</v>
      </c>
      <c r="X361" s="12">
        <v>182.3</v>
      </c>
      <c r="Y361" s="12">
        <v>163.6</v>
      </c>
      <c r="Z361" s="12">
        <v>169.5</v>
      </c>
      <c r="AA361" s="12">
        <v>174.3</v>
      </c>
      <c r="AB361" s="12">
        <v>178.6</v>
      </c>
      <c r="AC361" s="12">
        <v>172.8</v>
      </c>
      <c r="AD361" s="12">
        <v>176.5</v>
      </c>
    </row>
    <row r="362" spans="1:30" ht="15" customHeight="1" x14ac:dyDescent="0.25">
      <c r="A362" s="3" t="s">
        <v>84</v>
      </c>
      <c r="B362" s="12">
        <v>2023</v>
      </c>
      <c r="C362" s="3" t="s">
        <v>90</v>
      </c>
      <c r="D362" s="12">
        <v>174.2</v>
      </c>
      <c r="E362" s="12">
        <v>205.2</v>
      </c>
      <c r="F362" s="12">
        <v>173.9</v>
      </c>
      <c r="G362" s="12">
        <v>177</v>
      </c>
      <c r="H362" s="12">
        <v>183.4</v>
      </c>
      <c r="I362" s="12">
        <v>167.2</v>
      </c>
      <c r="J362" s="12">
        <v>140.9</v>
      </c>
      <c r="K362" s="12">
        <v>170.4</v>
      </c>
      <c r="L362" s="12">
        <v>119.1</v>
      </c>
      <c r="M362" s="12">
        <v>212.1</v>
      </c>
      <c r="N362" s="12">
        <v>177.6</v>
      </c>
      <c r="O362" s="12">
        <v>189.9</v>
      </c>
      <c r="P362" s="12">
        <v>174.8</v>
      </c>
      <c r="Q362" s="12">
        <v>198.3</v>
      </c>
      <c r="R362" s="12">
        <v>190</v>
      </c>
      <c r="S362" s="12">
        <v>187</v>
      </c>
      <c r="T362" s="12">
        <v>189.6</v>
      </c>
      <c r="U362" s="13"/>
      <c r="V362" s="12">
        <v>181.6</v>
      </c>
      <c r="W362" s="12">
        <v>178.6</v>
      </c>
      <c r="X362" s="12">
        <v>186.6</v>
      </c>
      <c r="Y362" s="12">
        <v>169</v>
      </c>
      <c r="Z362" s="12">
        <v>172.8</v>
      </c>
      <c r="AA362" s="12">
        <v>178.5</v>
      </c>
      <c r="AB362" s="12">
        <v>180.7</v>
      </c>
      <c r="AC362" s="12">
        <v>177.9</v>
      </c>
      <c r="AD362" s="12">
        <v>178</v>
      </c>
    </row>
    <row r="363" spans="1:30" ht="15" customHeight="1" x14ac:dyDescent="0.2">
      <c r="A363" s="3" t="s">
        <v>87</v>
      </c>
      <c r="B363" s="12">
        <v>2023</v>
      </c>
      <c r="C363" s="3" t="s">
        <v>90</v>
      </c>
      <c r="D363" s="12">
        <v>174.7</v>
      </c>
      <c r="E363" s="12">
        <v>212.2</v>
      </c>
      <c r="F363" s="12">
        <v>177.2</v>
      </c>
      <c r="G363" s="12">
        <v>177.9</v>
      </c>
      <c r="H363" s="12">
        <v>172.2</v>
      </c>
      <c r="I363" s="12">
        <v>172.1</v>
      </c>
      <c r="J363" s="12">
        <v>175.8</v>
      </c>
      <c r="K363" s="12">
        <v>172.2</v>
      </c>
      <c r="L363" s="12">
        <v>121.9</v>
      </c>
      <c r="M363" s="12">
        <v>204.8</v>
      </c>
      <c r="N363" s="12">
        <v>164.9</v>
      </c>
      <c r="O363" s="12">
        <v>196.6</v>
      </c>
      <c r="P363" s="12">
        <v>180.7</v>
      </c>
      <c r="Q363" s="12">
        <v>202.7</v>
      </c>
      <c r="R363" s="12">
        <v>180.3</v>
      </c>
      <c r="S363" s="12">
        <v>167</v>
      </c>
      <c r="T363" s="12">
        <v>178.2</v>
      </c>
      <c r="U363" s="12">
        <v>173.5</v>
      </c>
      <c r="V363" s="12">
        <v>182.8</v>
      </c>
      <c r="W363" s="12">
        <v>169.2</v>
      </c>
      <c r="X363" s="12">
        <v>180.8</v>
      </c>
      <c r="Y363" s="12">
        <v>159.80000000000001</v>
      </c>
      <c r="Z363" s="12">
        <v>168.4</v>
      </c>
      <c r="AA363" s="12">
        <v>172.5</v>
      </c>
      <c r="AB363" s="12">
        <v>181.4</v>
      </c>
      <c r="AC363" s="12">
        <v>170</v>
      </c>
      <c r="AD363" s="12">
        <v>176.3</v>
      </c>
    </row>
    <row r="364" spans="1:30" ht="15" customHeight="1" x14ac:dyDescent="0.2">
      <c r="A364" s="3" t="s">
        <v>89</v>
      </c>
      <c r="B364" s="12">
        <v>2023</v>
      </c>
      <c r="C364" s="3" t="s">
        <v>90</v>
      </c>
      <c r="D364" s="12">
        <v>174.4</v>
      </c>
      <c r="E364" s="12">
        <v>207.7</v>
      </c>
      <c r="F364" s="12">
        <v>175.2</v>
      </c>
      <c r="G364" s="12">
        <v>177.3</v>
      </c>
      <c r="H364" s="12">
        <v>179.3</v>
      </c>
      <c r="I364" s="12">
        <v>169.5</v>
      </c>
      <c r="J364" s="12">
        <v>152.69999999999999</v>
      </c>
      <c r="K364" s="12">
        <v>171</v>
      </c>
      <c r="L364" s="12">
        <v>120</v>
      </c>
      <c r="M364" s="12">
        <v>209.7</v>
      </c>
      <c r="N364" s="12">
        <v>172.3</v>
      </c>
      <c r="O364" s="12">
        <v>193</v>
      </c>
      <c r="P364" s="12">
        <v>177</v>
      </c>
      <c r="Q364" s="12">
        <v>199.5</v>
      </c>
      <c r="R364" s="12">
        <v>186.2</v>
      </c>
      <c r="S364" s="12">
        <v>178.7</v>
      </c>
      <c r="T364" s="12">
        <v>185.1</v>
      </c>
      <c r="U364" s="12">
        <v>173.5</v>
      </c>
      <c r="V364" s="12">
        <v>182.1</v>
      </c>
      <c r="W364" s="12">
        <v>174.2</v>
      </c>
      <c r="X364" s="12">
        <v>184.4</v>
      </c>
      <c r="Y364" s="12">
        <v>164.2</v>
      </c>
      <c r="Z364" s="12">
        <v>170.3</v>
      </c>
      <c r="AA364" s="12">
        <v>175</v>
      </c>
      <c r="AB364" s="12">
        <v>181</v>
      </c>
      <c r="AC364" s="12">
        <v>174.1</v>
      </c>
      <c r="AD364" s="12">
        <v>177.2</v>
      </c>
    </row>
    <row r="365" spans="1:30" ht="15" customHeight="1" x14ac:dyDescent="0.25">
      <c r="A365" s="3" t="s">
        <v>84</v>
      </c>
      <c r="B365" s="12">
        <v>2023</v>
      </c>
      <c r="C365" s="3" t="s">
        <v>92</v>
      </c>
      <c r="D365" s="12">
        <v>174.3</v>
      </c>
      <c r="E365" s="12">
        <v>205.2</v>
      </c>
      <c r="F365" s="12">
        <v>173.9</v>
      </c>
      <c r="G365" s="12">
        <v>177</v>
      </c>
      <c r="H365" s="12">
        <v>183.3</v>
      </c>
      <c r="I365" s="12">
        <v>167.2</v>
      </c>
      <c r="J365" s="12">
        <v>140.9</v>
      </c>
      <c r="K365" s="12">
        <v>170.5</v>
      </c>
      <c r="L365" s="12">
        <v>119.1</v>
      </c>
      <c r="M365" s="12">
        <v>212.1</v>
      </c>
      <c r="N365" s="12">
        <v>177.6</v>
      </c>
      <c r="O365" s="12">
        <v>189.9</v>
      </c>
      <c r="P365" s="12">
        <v>174.8</v>
      </c>
      <c r="Q365" s="12">
        <v>198.4</v>
      </c>
      <c r="R365" s="12">
        <v>190</v>
      </c>
      <c r="S365" s="12">
        <v>187</v>
      </c>
      <c r="T365" s="12">
        <v>189.6</v>
      </c>
      <c r="U365" s="13"/>
      <c r="V365" s="12">
        <v>181.4</v>
      </c>
      <c r="W365" s="12">
        <v>178.6</v>
      </c>
      <c r="X365" s="12">
        <v>186.6</v>
      </c>
      <c r="Y365" s="12">
        <v>169</v>
      </c>
      <c r="Z365" s="12">
        <v>172.8</v>
      </c>
      <c r="AA365" s="12">
        <v>178.5</v>
      </c>
      <c r="AB365" s="12">
        <v>180.7</v>
      </c>
      <c r="AC365" s="12">
        <v>177.9</v>
      </c>
      <c r="AD365" s="12">
        <v>178</v>
      </c>
    </row>
    <row r="366" spans="1:30" ht="15" customHeight="1" x14ac:dyDescent="0.2">
      <c r="A366" s="3" t="s">
        <v>87</v>
      </c>
      <c r="B366" s="12">
        <v>2023</v>
      </c>
      <c r="C366" s="3" t="s">
        <v>92</v>
      </c>
      <c r="D366" s="12">
        <v>174.7</v>
      </c>
      <c r="E366" s="12">
        <v>212.2</v>
      </c>
      <c r="F366" s="12">
        <v>177.2</v>
      </c>
      <c r="G366" s="12">
        <v>177.9</v>
      </c>
      <c r="H366" s="12">
        <v>172.2</v>
      </c>
      <c r="I366" s="12">
        <v>172.1</v>
      </c>
      <c r="J366" s="12">
        <v>175.9</v>
      </c>
      <c r="K366" s="12">
        <v>172.2</v>
      </c>
      <c r="L366" s="12">
        <v>121.9</v>
      </c>
      <c r="M366" s="12">
        <v>204.8</v>
      </c>
      <c r="N366" s="12">
        <v>164.9</v>
      </c>
      <c r="O366" s="12">
        <v>196.6</v>
      </c>
      <c r="P366" s="12">
        <v>180.8</v>
      </c>
      <c r="Q366" s="12">
        <v>202.7</v>
      </c>
      <c r="R366" s="12">
        <v>180.2</v>
      </c>
      <c r="S366" s="12">
        <v>167</v>
      </c>
      <c r="T366" s="12">
        <v>178.2</v>
      </c>
      <c r="U366" s="12">
        <v>173.5</v>
      </c>
      <c r="V366" s="12">
        <v>182.6</v>
      </c>
      <c r="W366" s="12">
        <v>169.2</v>
      </c>
      <c r="X366" s="12">
        <v>180.8</v>
      </c>
      <c r="Y366" s="12">
        <v>159.80000000000001</v>
      </c>
      <c r="Z366" s="12">
        <v>168.4</v>
      </c>
      <c r="AA366" s="12">
        <v>172.5</v>
      </c>
      <c r="AB366" s="12">
        <v>181.5</v>
      </c>
      <c r="AC366" s="12">
        <v>170</v>
      </c>
      <c r="AD366" s="12">
        <v>176.3</v>
      </c>
    </row>
    <row r="367" spans="1:30" ht="15" customHeight="1" x14ac:dyDescent="0.2">
      <c r="A367" s="3" t="s">
        <v>89</v>
      </c>
      <c r="B367" s="12">
        <v>2023</v>
      </c>
      <c r="C367" s="3" t="s">
        <v>92</v>
      </c>
      <c r="D367" s="12">
        <v>174.4</v>
      </c>
      <c r="E367" s="12">
        <v>207.7</v>
      </c>
      <c r="F367" s="12">
        <v>175.2</v>
      </c>
      <c r="G367" s="12">
        <v>177.3</v>
      </c>
      <c r="H367" s="12">
        <v>179.2</v>
      </c>
      <c r="I367" s="12">
        <v>169.5</v>
      </c>
      <c r="J367" s="12">
        <v>152.80000000000001</v>
      </c>
      <c r="K367" s="12">
        <v>171.1</v>
      </c>
      <c r="L367" s="12">
        <v>120</v>
      </c>
      <c r="M367" s="12">
        <v>209.7</v>
      </c>
      <c r="N367" s="12">
        <v>172.3</v>
      </c>
      <c r="O367" s="12">
        <v>193</v>
      </c>
      <c r="P367" s="12">
        <v>177</v>
      </c>
      <c r="Q367" s="12">
        <v>199.5</v>
      </c>
      <c r="R367" s="12">
        <v>186.1</v>
      </c>
      <c r="S367" s="12">
        <v>178.7</v>
      </c>
      <c r="T367" s="12">
        <v>185.1</v>
      </c>
      <c r="U367" s="12">
        <v>173.5</v>
      </c>
      <c r="V367" s="12">
        <v>181.9</v>
      </c>
      <c r="W367" s="12">
        <v>174.2</v>
      </c>
      <c r="X367" s="12">
        <v>184.4</v>
      </c>
      <c r="Y367" s="12">
        <v>164.2</v>
      </c>
      <c r="Z367" s="12">
        <v>170.3</v>
      </c>
      <c r="AA367" s="12">
        <v>175</v>
      </c>
      <c r="AB367" s="12">
        <v>181</v>
      </c>
      <c r="AC367" s="12">
        <v>174.1</v>
      </c>
      <c r="AD367" s="12">
        <v>177.2</v>
      </c>
    </row>
    <row r="368" spans="1:30" ht="15" customHeight="1" x14ac:dyDescent="0.25">
      <c r="A368" s="3" t="s">
        <v>84</v>
      </c>
      <c r="B368" s="12">
        <v>2023</v>
      </c>
      <c r="C368" s="3" t="s">
        <v>93</v>
      </c>
      <c r="D368" s="12">
        <v>173.3</v>
      </c>
      <c r="E368" s="12">
        <v>206.9</v>
      </c>
      <c r="F368" s="12">
        <v>167.9</v>
      </c>
      <c r="G368" s="12">
        <v>178.2</v>
      </c>
      <c r="H368" s="12">
        <v>178.5</v>
      </c>
      <c r="I368" s="12">
        <v>173.7</v>
      </c>
      <c r="J368" s="12">
        <v>142.80000000000001</v>
      </c>
      <c r="K368" s="12">
        <v>172.8</v>
      </c>
      <c r="L368" s="12">
        <v>120.4</v>
      </c>
      <c r="M368" s="12">
        <v>215.5</v>
      </c>
      <c r="N368" s="12">
        <v>178.2</v>
      </c>
      <c r="O368" s="12">
        <v>190.5</v>
      </c>
      <c r="P368" s="12">
        <v>175.5</v>
      </c>
      <c r="Q368" s="12">
        <v>199.5</v>
      </c>
      <c r="R368" s="12">
        <v>190.7</v>
      </c>
      <c r="S368" s="12">
        <v>187.3</v>
      </c>
      <c r="T368" s="12">
        <v>190.2</v>
      </c>
      <c r="U368" s="13"/>
      <c r="V368" s="12">
        <v>181.5</v>
      </c>
      <c r="W368" s="12">
        <v>179.1</v>
      </c>
      <c r="X368" s="12">
        <v>187.2</v>
      </c>
      <c r="Y368" s="12">
        <v>169.4</v>
      </c>
      <c r="Z368" s="12">
        <v>173.2</v>
      </c>
      <c r="AA368" s="12">
        <v>179.4</v>
      </c>
      <c r="AB368" s="12">
        <v>183.8</v>
      </c>
      <c r="AC368" s="12">
        <v>178.9</v>
      </c>
      <c r="AD368" s="12">
        <v>178.8</v>
      </c>
    </row>
    <row r="369" spans="1:30" ht="15" customHeight="1" x14ac:dyDescent="0.2">
      <c r="A369" s="3" t="s">
        <v>87</v>
      </c>
      <c r="B369" s="12">
        <v>2023</v>
      </c>
      <c r="C369" s="3" t="s">
        <v>93</v>
      </c>
      <c r="D369" s="12">
        <v>174.8</v>
      </c>
      <c r="E369" s="12">
        <v>213.7</v>
      </c>
      <c r="F369" s="12">
        <v>172.4</v>
      </c>
      <c r="G369" s="12">
        <v>178.8</v>
      </c>
      <c r="H369" s="12">
        <v>168.7</v>
      </c>
      <c r="I369" s="12">
        <v>179.2</v>
      </c>
      <c r="J369" s="12">
        <v>179.9</v>
      </c>
      <c r="K369" s="12">
        <v>174.7</v>
      </c>
      <c r="L369" s="12">
        <v>123.1</v>
      </c>
      <c r="M369" s="12">
        <v>207.8</v>
      </c>
      <c r="N369" s="12">
        <v>165.5</v>
      </c>
      <c r="O369" s="12">
        <v>197</v>
      </c>
      <c r="P369" s="12">
        <v>182.1</v>
      </c>
      <c r="Q369" s="12">
        <v>203.5</v>
      </c>
      <c r="R369" s="12">
        <v>181</v>
      </c>
      <c r="S369" s="12">
        <v>167.7</v>
      </c>
      <c r="T369" s="12">
        <v>178.9</v>
      </c>
      <c r="U369" s="12">
        <v>175.2</v>
      </c>
      <c r="V369" s="12">
        <v>182.1</v>
      </c>
      <c r="W369" s="12">
        <v>169.6</v>
      </c>
      <c r="X369" s="12">
        <v>181.5</v>
      </c>
      <c r="Y369" s="12">
        <v>160.1</v>
      </c>
      <c r="Z369" s="12">
        <v>168.8</v>
      </c>
      <c r="AA369" s="12">
        <v>174.2</v>
      </c>
      <c r="AB369" s="12">
        <v>184.4</v>
      </c>
      <c r="AC369" s="12">
        <v>170.9</v>
      </c>
      <c r="AD369" s="12">
        <v>177.4</v>
      </c>
    </row>
    <row r="370" spans="1:30" ht="15" customHeight="1" x14ac:dyDescent="0.2">
      <c r="A370" s="3" t="s">
        <v>89</v>
      </c>
      <c r="B370" s="12">
        <v>2023</v>
      </c>
      <c r="C370" s="3" t="s">
        <v>93</v>
      </c>
      <c r="D370" s="12">
        <v>173.8</v>
      </c>
      <c r="E370" s="12">
        <v>209.3</v>
      </c>
      <c r="F370" s="12">
        <v>169.6</v>
      </c>
      <c r="G370" s="12">
        <v>178.4</v>
      </c>
      <c r="H370" s="12">
        <v>174.9</v>
      </c>
      <c r="I370" s="12">
        <v>176.3</v>
      </c>
      <c r="J370" s="12">
        <v>155.4</v>
      </c>
      <c r="K370" s="12">
        <v>173.4</v>
      </c>
      <c r="L370" s="12">
        <v>121.3</v>
      </c>
      <c r="M370" s="12">
        <v>212.9</v>
      </c>
      <c r="N370" s="12">
        <v>172.9</v>
      </c>
      <c r="O370" s="12">
        <v>193.5</v>
      </c>
      <c r="P370" s="12">
        <v>177.9</v>
      </c>
      <c r="Q370" s="12">
        <v>200.6</v>
      </c>
      <c r="R370" s="12">
        <v>186.9</v>
      </c>
      <c r="S370" s="12">
        <v>179.2</v>
      </c>
      <c r="T370" s="12">
        <v>185.7</v>
      </c>
      <c r="U370" s="12">
        <v>175.2</v>
      </c>
      <c r="V370" s="12">
        <v>181.7</v>
      </c>
      <c r="W370" s="12">
        <v>174.6</v>
      </c>
      <c r="X370" s="12">
        <v>185</v>
      </c>
      <c r="Y370" s="12">
        <v>164.5</v>
      </c>
      <c r="Z370" s="12">
        <v>170.7</v>
      </c>
      <c r="AA370" s="12">
        <v>176.4</v>
      </c>
      <c r="AB370" s="12">
        <v>184</v>
      </c>
      <c r="AC370" s="12">
        <v>175</v>
      </c>
      <c r="AD370" s="12">
        <v>178.1</v>
      </c>
    </row>
    <row r="371" spans="1:30" ht="15" customHeight="1" x14ac:dyDescent="0.25">
      <c r="A371" s="3" t="s">
        <v>84</v>
      </c>
      <c r="B371" s="12">
        <v>2023</v>
      </c>
      <c r="C371" s="3" t="s">
        <v>95</v>
      </c>
      <c r="D371" s="12">
        <v>173.2</v>
      </c>
      <c r="E371" s="12">
        <v>211.5</v>
      </c>
      <c r="F371" s="12">
        <v>171</v>
      </c>
      <c r="G371" s="12">
        <v>179.6</v>
      </c>
      <c r="H371" s="12">
        <v>173.3</v>
      </c>
      <c r="I371" s="12">
        <v>169</v>
      </c>
      <c r="J371" s="12">
        <v>148.69999999999999</v>
      </c>
      <c r="K371" s="12">
        <v>174.9</v>
      </c>
      <c r="L371" s="12">
        <v>121.9</v>
      </c>
      <c r="M371" s="12">
        <v>221</v>
      </c>
      <c r="N371" s="12">
        <v>178.7</v>
      </c>
      <c r="O371" s="12">
        <v>191.1</v>
      </c>
      <c r="P371" s="12">
        <v>176.8</v>
      </c>
      <c r="Q371" s="12">
        <v>199.9</v>
      </c>
      <c r="R371" s="12">
        <v>191.2</v>
      </c>
      <c r="S371" s="12">
        <v>187.9</v>
      </c>
      <c r="T371" s="12">
        <v>190.8</v>
      </c>
      <c r="U371" s="13"/>
      <c r="V371" s="12">
        <v>182.5</v>
      </c>
      <c r="W371" s="12">
        <v>179.8</v>
      </c>
      <c r="X371" s="12">
        <v>187.8</v>
      </c>
      <c r="Y371" s="12">
        <v>169.7</v>
      </c>
      <c r="Z371" s="12">
        <v>173.8</v>
      </c>
      <c r="AA371" s="12">
        <v>180.3</v>
      </c>
      <c r="AB371" s="12">
        <v>184.9</v>
      </c>
      <c r="AC371" s="12">
        <v>179.5</v>
      </c>
      <c r="AD371" s="12">
        <v>179.8</v>
      </c>
    </row>
    <row r="372" spans="1:30" ht="15" customHeight="1" x14ac:dyDescent="0.2">
      <c r="A372" s="3" t="s">
        <v>87</v>
      </c>
      <c r="B372" s="12">
        <v>2023</v>
      </c>
      <c r="C372" s="3" t="s">
        <v>95</v>
      </c>
      <c r="D372" s="12">
        <v>174.7</v>
      </c>
      <c r="E372" s="12">
        <v>219.4</v>
      </c>
      <c r="F372" s="12">
        <v>176.7</v>
      </c>
      <c r="G372" s="12">
        <v>179.4</v>
      </c>
      <c r="H372" s="12">
        <v>164.4</v>
      </c>
      <c r="I372" s="12">
        <v>175.8</v>
      </c>
      <c r="J372" s="12">
        <v>185</v>
      </c>
      <c r="K372" s="12">
        <v>176.9</v>
      </c>
      <c r="L372" s="12">
        <v>124.2</v>
      </c>
      <c r="M372" s="12">
        <v>211.9</v>
      </c>
      <c r="N372" s="12">
        <v>165.9</v>
      </c>
      <c r="O372" s="12">
        <v>197.7</v>
      </c>
      <c r="P372" s="12">
        <v>183.1</v>
      </c>
      <c r="Q372" s="12">
        <v>204.2</v>
      </c>
      <c r="R372" s="12">
        <v>181.3</v>
      </c>
      <c r="S372" s="12">
        <v>168.1</v>
      </c>
      <c r="T372" s="12">
        <v>179.3</v>
      </c>
      <c r="U372" s="12">
        <v>175.6</v>
      </c>
      <c r="V372" s="12">
        <v>183.4</v>
      </c>
      <c r="W372" s="12">
        <v>170.1</v>
      </c>
      <c r="X372" s="12">
        <v>182.2</v>
      </c>
      <c r="Y372" s="12">
        <v>160.4</v>
      </c>
      <c r="Z372" s="12">
        <v>169.2</v>
      </c>
      <c r="AA372" s="12">
        <v>174.8</v>
      </c>
      <c r="AB372" s="12">
        <v>185.6</v>
      </c>
      <c r="AC372" s="12">
        <v>171.6</v>
      </c>
      <c r="AD372" s="12">
        <v>178.2</v>
      </c>
    </row>
    <row r="373" spans="1:30" ht="15" customHeight="1" x14ac:dyDescent="0.2">
      <c r="A373" s="3" t="s">
        <v>89</v>
      </c>
      <c r="B373" s="12">
        <v>2023</v>
      </c>
      <c r="C373" s="3" t="s">
        <v>95</v>
      </c>
      <c r="D373" s="12">
        <v>173.7</v>
      </c>
      <c r="E373" s="12">
        <v>214.3</v>
      </c>
      <c r="F373" s="12">
        <v>173.2</v>
      </c>
      <c r="G373" s="12">
        <v>179.5</v>
      </c>
      <c r="H373" s="12">
        <v>170</v>
      </c>
      <c r="I373" s="12">
        <v>172.2</v>
      </c>
      <c r="J373" s="12">
        <v>161</v>
      </c>
      <c r="K373" s="12">
        <v>175.6</v>
      </c>
      <c r="L373" s="12">
        <v>122.7</v>
      </c>
      <c r="M373" s="12">
        <v>218</v>
      </c>
      <c r="N373" s="12">
        <v>173.4</v>
      </c>
      <c r="O373" s="12">
        <v>194.2</v>
      </c>
      <c r="P373" s="12">
        <v>179.1</v>
      </c>
      <c r="Q373" s="12">
        <v>201</v>
      </c>
      <c r="R373" s="12">
        <v>187.3</v>
      </c>
      <c r="S373" s="12">
        <v>179.7</v>
      </c>
      <c r="T373" s="12">
        <v>186.2</v>
      </c>
      <c r="U373" s="12">
        <v>175.6</v>
      </c>
      <c r="V373" s="12">
        <v>182.8</v>
      </c>
      <c r="W373" s="12">
        <v>175.2</v>
      </c>
      <c r="X373" s="12">
        <v>185.7</v>
      </c>
      <c r="Y373" s="12">
        <v>164.8</v>
      </c>
      <c r="Z373" s="12">
        <v>171.2</v>
      </c>
      <c r="AA373" s="12">
        <v>177.1</v>
      </c>
      <c r="AB373" s="12">
        <v>185.2</v>
      </c>
      <c r="AC373" s="12">
        <v>175.7</v>
      </c>
      <c r="AD373" s="12">
        <v>179.1</v>
      </c>
    </row>
  </sheetData>
  <hyperlinks>
    <hyperlink ref="AE2" r:id="rId1" location="'Dashboard'!A1" xr:uid="{00000000-0004-0000-03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1"/>
  <sheetViews>
    <sheetView showGridLines="0" topLeftCell="A6" zoomScale="90" zoomScaleNormal="90" workbookViewId="0">
      <selection activeCell="E19" sqref="E19"/>
    </sheetView>
  </sheetViews>
  <sheetFormatPr defaultColWidth="8.7109375" defaultRowHeight="15" customHeight="1" x14ac:dyDescent="0.2"/>
  <cols>
    <col min="1" max="1" width="24" customWidth="1"/>
    <col min="2" max="2" width="28" customWidth="1"/>
    <col min="3" max="3" width="44" customWidth="1"/>
    <col min="4" max="4" width="30" customWidth="1"/>
  </cols>
  <sheetData>
    <row r="1" spans="1:5" ht="24" customHeight="1" x14ac:dyDescent="0.2">
      <c r="A1" s="140" t="s">
        <v>219</v>
      </c>
      <c r="B1" s="115"/>
      <c r="C1" s="115"/>
      <c r="D1" s="115"/>
    </row>
    <row r="2" spans="1:5" ht="15" customHeight="1" x14ac:dyDescent="0.2">
      <c r="E2" s="10" t="s">
        <v>86</v>
      </c>
    </row>
    <row r="3" spans="1:5" ht="15" customHeight="1" x14ac:dyDescent="0.2">
      <c r="A3" s="9" t="s">
        <v>220</v>
      </c>
      <c r="B3" s="9" t="s">
        <v>221</v>
      </c>
      <c r="C3" s="9" t="s">
        <v>222</v>
      </c>
      <c r="D3" s="9" t="s">
        <v>223</v>
      </c>
    </row>
    <row r="4" spans="1:5" ht="15" customHeight="1" x14ac:dyDescent="0.2">
      <c r="A4" s="15" t="s">
        <v>224</v>
      </c>
      <c r="B4" s="15">
        <v>372</v>
      </c>
      <c r="C4" s="15" t="s">
        <v>225</v>
      </c>
      <c r="D4" s="15">
        <v>372</v>
      </c>
    </row>
    <row r="5" spans="1:5" ht="15" customHeight="1" x14ac:dyDescent="0.2">
      <c r="A5" s="15" t="s">
        <v>226</v>
      </c>
      <c r="B5" s="15">
        <v>30</v>
      </c>
      <c r="C5" s="15" t="s">
        <v>227</v>
      </c>
      <c r="D5" s="15">
        <v>30</v>
      </c>
    </row>
    <row r="6" spans="1:5" ht="15" customHeight="1" x14ac:dyDescent="0.2">
      <c r="A6" s="15" t="s">
        <v>228</v>
      </c>
      <c r="B6" s="15">
        <v>0</v>
      </c>
      <c r="C6" s="15" t="s">
        <v>229</v>
      </c>
      <c r="D6" s="15">
        <v>0</v>
      </c>
    </row>
    <row r="7" spans="1:5" ht="15" customHeight="1" x14ac:dyDescent="0.2">
      <c r="A7" s="15" t="s">
        <v>230</v>
      </c>
      <c r="B7" s="15" t="s">
        <v>231</v>
      </c>
      <c r="C7" s="15" t="s">
        <v>232</v>
      </c>
      <c r="D7" s="15" t="s">
        <v>233</v>
      </c>
    </row>
    <row r="8" spans="1:5" ht="15" customHeight="1" x14ac:dyDescent="0.2">
      <c r="A8" s="15" t="s">
        <v>234</v>
      </c>
      <c r="B8" s="15" t="s">
        <v>235</v>
      </c>
      <c r="C8" s="15" t="s">
        <v>236</v>
      </c>
      <c r="D8" s="15" t="s">
        <v>237</v>
      </c>
    </row>
    <row r="9" spans="1:5" ht="27.75" customHeight="1" x14ac:dyDescent="0.2">
      <c r="A9" s="15" t="s">
        <v>238</v>
      </c>
      <c r="B9" s="15">
        <v>4</v>
      </c>
      <c r="C9" s="15" t="s">
        <v>239</v>
      </c>
      <c r="D9" s="15" t="s">
        <v>240</v>
      </c>
    </row>
    <row r="10" spans="1:5" ht="27.75" customHeight="1" x14ac:dyDescent="0.2">
      <c r="A10" s="15" t="s">
        <v>241</v>
      </c>
      <c r="B10" s="15" t="s">
        <v>242</v>
      </c>
      <c r="C10" s="15" t="s">
        <v>243</v>
      </c>
      <c r="D10" s="15" t="s">
        <v>244</v>
      </c>
    </row>
    <row r="13" spans="1:5" ht="15" customHeight="1" x14ac:dyDescent="0.2">
      <c r="A13" s="16" t="s">
        <v>245</v>
      </c>
    </row>
    <row r="14" spans="1:5" ht="15" customHeight="1" x14ac:dyDescent="0.2">
      <c r="A14" s="141" t="s">
        <v>722</v>
      </c>
      <c r="B14" s="115"/>
      <c r="C14" s="115"/>
      <c r="D14" s="115"/>
    </row>
    <row r="15" spans="1:5" ht="15" customHeight="1" x14ac:dyDescent="0.2">
      <c r="A15" s="115"/>
      <c r="B15" s="115"/>
      <c r="C15" s="115"/>
      <c r="D15" s="115"/>
    </row>
    <row r="16" spans="1:5" ht="15" customHeight="1" x14ac:dyDescent="0.2">
      <c r="A16" s="115"/>
      <c r="B16" s="115"/>
      <c r="C16" s="115"/>
      <c r="D16" s="115"/>
    </row>
    <row r="18" spans="1:4" ht="15" customHeight="1" x14ac:dyDescent="0.2">
      <c r="A18" s="16" t="s">
        <v>246</v>
      </c>
    </row>
    <row r="19" spans="1:4" ht="15" customHeight="1" x14ac:dyDescent="0.2">
      <c r="A19" s="18" t="s">
        <v>247</v>
      </c>
      <c r="B19" s="141" t="s">
        <v>248</v>
      </c>
      <c r="C19" s="115"/>
      <c r="D19" s="115"/>
    </row>
    <row r="20" spans="1:4" ht="15" customHeight="1" x14ac:dyDescent="0.2">
      <c r="A20" s="18" t="s">
        <v>249</v>
      </c>
      <c r="B20" s="141" t="s">
        <v>250</v>
      </c>
      <c r="C20" s="115"/>
      <c r="D20" s="115"/>
    </row>
    <row r="21" spans="1:4" ht="27.75" customHeight="1" x14ac:dyDescent="0.2">
      <c r="A21" s="18" t="s">
        <v>251</v>
      </c>
      <c r="B21" s="148" t="s">
        <v>724</v>
      </c>
      <c r="C21" s="115"/>
      <c r="D21" s="115"/>
    </row>
  </sheetData>
  <mergeCells count="5">
    <mergeCell ref="A1:D1"/>
    <mergeCell ref="B19:D19"/>
    <mergeCell ref="B21:D21"/>
    <mergeCell ref="A14:D16"/>
    <mergeCell ref="B20:D20"/>
  </mergeCells>
  <hyperlinks>
    <hyperlink ref="E2" r:id="rId1" location="'Dashboard'!A1" xr:uid="{00000000-0004-0000-0400-000000000000}"/>
  </hyperlinks>
  <pageMargins left="0.7" right="0.7" top="0.75" bottom="0.7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30"/>
  <sheetViews>
    <sheetView showGridLines="0" zoomScale="90" zoomScaleNormal="90" workbookViewId="0">
      <pane ySplit="4" topLeftCell="A8" activePane="bottomLeft" state="frozen"/>
      <selection pane="bottomLeft" activeCell="B28" sqref="B28"/>
    </sheetView>
  </sheetViews>
  <sheetFormatPr defaultColWidth="8.7109375" defaultRowHeight="15" customHeight="1" x14ac:dyDescent="0.2"/>
  <cols>
    <col min="1" max="1" width="38" customWidth="1"/>
    <col min="2" max="2" width="30" customWidth="1"/>
    <col min="3" max="3" width="34" customWidth="1"/>
  </cols>
  <sheetData>
    <row r="1" spans="1:4" ht="24" customHeight="1" x14ac:dyDescent="0.2">
      <c r="A1" s="77" t="s">
        <v>252</v>
      </c>
      <c r="B1" s="9" t="s">
        <v>253</v>
      </c>
      <c r="C1" s="9" t="s">
        <v>254</v>
      </c>
    </row>
    <row r="2" spans="1:4" ht="15" customHeight="1" x14ac:dyDescent="0.2">
      <c r="A2" s="3" t="s">
        <v>57</v>
      </c>
      <c r="B2" s="3" t="s">
        <v>255</v>
      </c>
      <c r="C2" s="3" t="s">
        <v>256</v>
      </c>
      <c r="D2" s="10" t="s">
        <v>86</v>
      </c>
    </row>
    <row r="3" spans="1:4" ht="15" customHeight="1" x14ac:dyDescent="0.2">
      <c r="A3" s="3" t="s">
        <v>58</v>
      </c>
      <c r="B3" s="3" t="s">
        <v>255</v>
      </c>
      <c r="C3" s="3" t="s">
        <v>256</v>
      </c>
    </row>
    <row r="4" spans="1:4" ht="15" customHeight="1" x14ac:dyDescent="0.2">
      <c r="A4" s="3" t="s">
        <v>59</v>
      </c>
      <c r="B4" s="3" t="s">
        <v>255</v>
      </c>
      <c r="C4" s="3" t="s">
        <v>256</v>
      </c>
    </row>
    <row r="5" spans="1:4" ht="15" customHeight="1" x14ac:dyDescent="0.2">
      <c r="A5" s="3" t="s">
        <v>60</v>
      </c>
      <c r="B5" s="3" t="s">
        <v>255</v>
      </c>
      <c r="C5" s="3" t="s">
        <v>256</v>
      </c>
    </row>
    <row r="6" spans="1:4" ht="15" customHeight="1" x14ac:dyDescent="0.2">
      <c r="A6" s="3" t="s">
        <v>61</v>
      </c>
      <c r="B6" s="3" t="s">
        <v>255</v>
      </c>
      <c r="C6" s="3" t="s">
        <v>256</v>
      </c>
    </row>
    <row r="7" spans="1:4" ht="15" customHeight="1" x14ac:dyDescent="0.2">
      <c r="A7" s="3" t="s">
        <v>62</v>
      </c>
      <c r="B7" s="3" t="s">
        <v>255</v>
      </c>
      <c r="C7" s="3" t="s">
        <v>256</v>
      </c>
    </row>
    <row r="8" spans="1:4" ht="15" customHeight="1" x14ac:dyDescent="0.2">
      <c r="A8" s="3" t="s">
        <v>63</v>
      </c>
      <c r="B8" s="3" t="s">
        <v>255</v>
      </c>
      <c r="C8" s="3" t="s">
        <v>256</v>
      </c>
    </row>
    <row r="9" spans="1:4" ht="15" customHeight="1" x14ac:dyDescent="0.2">
      <c r="A9" s="3" t="s">
        <v>64</v>
      </c>
      <c r="B9" s="3" t="s">
        <v>255</v>
      </c>
      <c r="C9" s="3" t="s">
        <v>256</v>
      </c>
    </row>
    <row r="10" spans="1:4" ht="15" customHeight="1" x14ac:dyDescent="0.2">
      <c r="A10" s="3" t="s">
        <v>65</v>
      </c>
      <c r="B10" s="3" t="s">
        <v>255</v>
      </c>
      <c r="C10" s="3" t="s">
        <v>256</v>
      </c>
    </row>
    <row r="11" spans="1:4" ht="15" customHeight="1" x14ac:dyDescent="0.2">
      <c r="A11" s="3" t="s">
        <v>66</v>
      </c>
      <c r="B11" s="3" t="s">
        <v>255</v>
      </c>
      <c r="C11" s="3" t="s">
        <v>256</v>
      </c>
    </row>
    <row r="12" spans="1:4" ht="15" customHeight="1" x14ac:dyDescent="0.2">
      <c r="A12" s="3" t="s">
        <v>67</v>
      </c>
      <c r="B12" s="3" t="s">
        <v>255</v>
      </c>
      <c r="C12" s="3" t="s">
        <v>256</v>
      </c>
    </row>
    <row r="13" spans="1:4" ht="15" customHeight="1" x14ac:dyDescent="0.2">
      <c r="A13" s="3" t="s">
        <v>68</v>
      </c>
      <c r="B13" s="3" t="s">
        <v>255</v>
      </c>
      <c r="C13" s="3" t="s">
        <v>256</v>
      </c>
    </row>
    <row r="14" spans="1:4" ht="15" customHeight="1" x14ac:dyDescent="0.2">
      <c r="A14" s="3" t="s">
        <v>70</v>
      </c>
      <c r="B14" s="3" t="s">
        <v>257</v>
      </c>
      <c r="C14" s="3" t="s">
        <v>258</v>
      </c>
    </row>
    <row r="15" spans="1:4" ht="15" customHeight="1" x14ac:dyDescent="0.2">
      <c r="A15" s="3" t="s">
        <v>71</v>
      </c>
      <c r="B15" s="3" t="s">
        <v>259</v>
      </c>
      <c r="C15" s="3" t="s">
        <v>260</v>
      </c>
    </row>
    <row r="16" spans="1:4" ht="15" customHeight="1" x14ac:dyDescent="0.2">
      <c r="A16" s="3" t="s">
        <v>72</v>
      </c>
      <c r="B16" s="3" t="s">
        <v>259</v>
      </c>
      <c r="C16" s="3" t="s">
        <v>260</v>
      </c>
    </row>
    <row r="17" spans="1:3" ht="15" customHeight="1" x14ac:dyDescent="0.2">
      <c r="A17" s="3" t="s">
        <v>74</v>
      </c>
      <c r="B17" s="3" t="s">
        <v>74</v>
      </c>
      <c r="C17" s="3" t="s">
        <v>258</v>
      </c>
    </row>
    <row r="18" spans="1:3" ht="15" customHeight="1" x14ac:dyDescent="0.2">
      <c r="A18" s="3" t="s">
        <v>75</v>
      </c>
      <c r="B18" s="3" t="s">
        <v>261</v>
      </c>
      <c r="C18" s="3" t="s">
        <v>262</v>
      </c>
    </row>
    <row r="19" spans="1:3" ht="15" customHeight="1" x14ac:dyDescent="0.2">
      <c r="A19" s="3" t="s">
        <v>76</v>
      </c>
      <c r="B19" s="3" t="s">
        <v>263</v>
      </c>
      <c r="C19" s="3" t="s">
        <v>264</v>
      </c>
    </row>
    <row r="20" spans="1:3" ht="15" customHeight="1" x14ac:dyDescent="0.2">
      <c r="A20" s="3" t="s">
        <v>77</v>
      </c>
      <c r="B20" s="3" t="s">
        <v>77</v>
      </c>
      <c r="C20" s="3" t="s">
        <v>264</v>
      </c>
    </row>
    <row r="21" spans="1:3" ht="15" customHeight="1" x14ac:dyDescent="0.2">
      <c r="A21" s="3" t="s">
        <v>78</v>
      </c>
      <c r="B21" s="3" t="s">
        <v>265</v>
      </c>
      <c r="C21" s="3" t="s">
        <v>264</v>
      </c>
    </row>
    <row r="22" spans="1:3" ht="15" customHeight="1" x14ac:dyDescent="0.2">
      <c r="A22" s="3" t="s">
        <v>79</v>
      </c>
      <c r="B22" s="3" t="s">
        <v>266</v>
      </c>
      <c r="C22" s="3" t="s">
        <v>264</v>
      </c>
    </row>
    <row r="23" spans="1:3" ht="15" customHeight="1" x14ac:dyDescent="0.2">
      <c r="A23" s="3" t="s">
        <v>80</v>
      </c>
      <c r="B23" s="3" t="s">
        <v>80</v>
      </c>
      <c r="C23" s="3" t="s">
        <v>264</v>
      </c>
    </row>
    <row r="24" spans="1:3" ht="15" customHeight="1" x14ac:dyDescent="0.2">
      <c r="A24" s="3" t="s">
        <v>81</v>
      </c>
      <c r="B24" s="3" t="s">
        <v>267</v>
      </c>
      <c r="C24" s="3" t="s">
        <v>264</v>
      </c>
    </row>
    <row r="27" spans="1:3" ht="15" customHeight="1" x14ac:dyDescent="0.2">
      <c r="A27" s="165" t="s">
        <v>725</v>
      </c>
    </row>
    <row r="28" spans="1:3" ht="41.25" customHeight="1" x14ac:dyDescent="0.2">
      <c r="A28" s="69" t="s">
        <v>268</v>
      </c>
    </row>
    <row r="29" spans="1:3" ht="54.75" customHeight="1" x14ac:dyDescent="0.2">
      <c r="A29" s="17" t="s">
        <v>269</v>
      </c>
    </row>
    <row r="30" spans="1:3" ht="54.75" customHeight="1" x14ac:dyDescent="0.2">
      <c r="A30" s="17" t="s">
        <v>270</v>
      </c>
    </row>
  </sheetData>
  <hyperlinks>
    <hyperlink ref="D2" r:id="rId1" location="'Dashboard'!A1" xr:uid="{00000000-0004-0000-05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75B5"/>
    <pageSetUpPr fitToPage="1"/>
  </sheetPr>
  <dimension ref="A1:E42"/>
  <sheetViews>
    <sheetView showGridLines="0" topLeftCell="A33" zoomScale="90" zoomScaleNormal="90" workbookViewId="0">
      <selection activeCell="D9" sqref="D9"/>
    </sheetView>
  </sheetViews>
  <sheetFormatPr defaultColWidth="8.7109375" defaultRowHeight="15" customHeight="1" x14ac:dyDescent="0.2"/>
  <cols>
    <col min="1" max="2" width="42" customWidth="1"/>
    <col min="3" max="3" width="18.85546875" customWidth="1"/>
    <col min="4" max="4" width="35.140625" customWidth="1"/>
    <col min="5" max="5" width="10" customWidth="1"/>
  </cols>
  <sheetData>
    <row r="1" spans="1:5" ht="24" customHeight="1" x14ac:dyDescent="0.2">
      <c r="A1" s="140" t="s">
        <v>271</v>
      </c>
      <c r="B1" s="115"/>
      <c r="C1" s="115"/>
      <c r="D1" s="115"/>
    </row>
    <row r="2" spans="1:5" ht="15" customHeight="1" x14ac:dyDescent="0.2">
      <c r="E2" s="10" t="s">
        <v>86</v>
      </c>
    </row>
    <row r="3" spans="1:5" ht="15" customHeight="1" x14ac:dyDescent="0.2">
      <c r="A3" s="18" t="s">
        <v>272</v>
      </c>
      <c r="B3" s="148" t="s">
        <v>727</v>
      </c>
      <c r="C3" s="115"/>
      <c r="D3" s="115"/>
    </row>
    <row r="4" spans="1:5" ht="15" customHeight="1" x14ac:dyDescent="0.2">
      <c r="B4" s="115"/>
      <c r="C4" s="115"/>
      <c r="D4" s="115"/>
    </row>
    <row r="6" spans="1:5" ht="15" customHeight="1" x14ac:dyDescent="0.2">
      <c r="A6" s="18" t="s">
        <v>273</v>
      </c>
      <c r="B6" s="3">
        <v>2023</v>
      </c>
      <c r="C6" s="18" t="s">
        <v>274</v>
      </c>
      <c r="D6" s="3" t="s">
        <v>95</v>
      </c>
    </row>
    <row r="7" spans="1:5" ht="15" customHeight="1" x14ac:dyDescent="0.2">
      <c r="A7" s="18" t="s">
        <v>275</v>
      </c>
      <c r="B7" s="3">
        <v>32</v>
      </c>
      <c r="C7" s="18"/>
      <c r="D7" s="3"/>
    </row>
    <row r="9" spans="1:5" ht="15" customHeight="1" x14ac:dyDescent="0.2">
      <c r="A9" s="165" t="s">
        <v>726</v>
      </c>
    </row>
    <row r="10" spans="1:5" ht="15" customHeight="1" x14ac:dyDescent="0.2">
      <c r="A10" s="141" t="s">
        <v>276</v>
      </c>
      <c r="B10" s="115"/>
      <c r="C10" s="115"/>
      <c r="D10" s="115"/>
    </row>
    <row r="11" spans="1:5" ht="15" customHeight="1" x14ac:dyDescent="0.2">
      <c r="A11" s="115"/>
      <c r="B11" s="115"/>
      <c r="C11" s="115"/>
      <c r="D11" s="115"/>
    </row>
    <row r="12" spans="1:5" ht="15" customHeight="1" x14ac:dyDescent="0.2">
      <c r="A12" s="115"/>
      <c r="B12" s="115"/>
      <c r="C12" s="115"/>
      <c r="D12" s="115"/>
    </row>
    <row r="14" spans="1:5" ht="15" customHeight="1" x14ac:dyDescent="0.2">
      <c r="A14" s="9" t="s">
        <v>253</v>
      </c>
      <c r="B14" s="9" t="s">
        <v>277</v>
      </c>
      <c r="C14" s="9" t="s">
        <v>278</v>
      </c>
      <c r="D14" s="9" t="s">
        <v>279</v>
      </c>
    </row>
    <row r="15" spans="1:5" ht="15" customHeight="1" x14ac:dyDescent="0.2">
      <c r="A15" s="15" t="str">
        <f>'Q1 Calculation'!A7</f>
        <v>Food</v>
      </c>
      <c r="B15" s="15">
        <f>'Q1 Calculation'!C7</f>
        <v>12</v>
      </c>
      <c r="C15" s="19">
        <f>'Q1 Calculation'!E7</f>
        <v>175.78181818181818</v>
      </c>
      <c r="D15" s="20">
        <f>'Q1 Calculation'!F7</f>
        <v>8.8873772217293978E-2</v>
      </c>
    </row>
    <row r="16" spans="1:5" ht="15" customHeight="1" x14ac:dyDescent="0.2">
      <c r="A16" s="15" t="str">
        <f>'Q1 Calculation'!A8</f>
        <v>Pan, Tobacco &amp; Intoxicants</v>
      </c>
      <c r="B16" s="15">
        <f>'Q1 Calculation'!C8</f>
        <v>1</v>
      </c>
      <c r="C16" s="19">
        <f>'Q1 Calculation'!E8</f>
        <v>201</v>
      </c>
      <c r="D16" s="20">
        <f>'Q1 Calculation'!F8</f>
        <v>0.10162386759021358</v>
      </c>
    </row>
    <row r="17" spans="1:4" ht="15" customHeight="1" x14ac:dyDescent="0.2">
      <c r="A17" s="15" t="str">
        <f>'Q1 Calculation'!A9</f>
        <v>Clothing &amp; Footwear</v>
      </c>
      <c r="B17" s="15">
        <f>'Q1 Calculation'!C9</f>
        <v>2</v>
      </c>
      <c r="C17" s="19">
        <f>'Q1 Calculation'!E9</f>
        <v>183.5</v>
      </c>
      <c r="D17" s="20">
        <f>'Q1 Calculation'!F9</f>
        <v>9.277601842191141E-2</v>
      </c>
    </row>
    <row r="18" spans="1:4" ht="15" customHeight="1" x14ac:dyDescent="0.2">
      <c r="A18" s="15" t="str">
        <f>'Q1 Calculation'!A10</f>
        <v>Housing</v>
      </c>
      <c r="B18" s="15">
        <f>'Q1 Calculation'!C10</f>
        <v>1</v>
      </c>
      <c r="C18" s="19">
        <f>'Q1 Calculation'!E10</f>
        <v>175.6</v>
      </c>
      <c r="D18" s="20">
        <f>'Q1 Calculation'!F10</f>
        <v>8.8781846511649276E-2</v>
      </c>
    </row>
    <row r="19" spans="1:4" ht="15" customHeight="1" x14ac:dyDescent="0.2">
      <c r="A19" s="15" t="str">
        <f>'Q1 Calculation'!A11</f>
        <v>Fuel &amp; Light</v>
      </c>
      <c r="B19" s="15">
        <f>'Q1 Calculation'!C11</f>
        <v>1</v>
      </c>
      <c r="C19" s="19">
        <f>'Q1 Calculation'!E11</f>
        <v>182.8</v>
      </c>
      <c r="D19" s="20">
        <f>'Q1 Calculation'!F11</f>
        <v>9.242210445517933E-2</v>
      </c>
    </row>
    <row r="20" spans="1:4" ht="15" customHeight="1" x14ac:dyDescent="0.2">
      <c r="A20" s="15" t="str">
        <f>'Q1 Calculation'!A12</f>
        <v>Household Goods &amp; Services</v>
      </c>
      <c r="B20" s="15">
        <f>'Q1 Calculation'!C12</f>
        <v>1</v>
      </c>
      <c r="C20" s="19">
        <f>'Q1 Calculation'!E12</f>
        <v>175.2</v>
      </c>
      <c r="D20" s="20">
        <f>'Q1 Calculation'!F12</f>
        <v>8.8579609959230934E-2</v>
      </c>
    </row>
    <row r="21" spans="1:4" ht="15" customHeight="1" x14ac:dyDescent="0.2">
      <c r="A21" s="15" t="str">
        <f>'Q1 Calculation'!A13</f>
        <v>Health</v>
      </c>
      <c r="B21" s="15">
        <f>'Q1 Calculation'!C13</f>
        <v>1</v>
      </c>
      <c r="C21" s="19">
        <f>'Q1 Calculation'!E13</f>
        <v>185.7</v>
      </c>
      <c r="D21" s="20">
        <f>'Q1 Calculation'!F13</f>
        <v>9.3888319460212241E-2</v>
      </c>
    </row>
    <row r="22" spans="1:4" ht="15" customHeight="1" x14ac:dyDescent="0.2">
      <c r="A22" s="15" t="str">
        <f>'Q1 Calculation'!A14</f>
        <v>Transport &amp; Communication</v>
      </c>
      <c r="B22" s="15">
        <f>'Q1 Calculation'!C14</f>
        <v>1</v>
      </c>
      <c r="C22" s="19">
        <f>'Q1 Calculation'!E14</f>
        <v>164.8</v>
      </c>
      <c r="D22" s="20">
        <f>'Q1 Calculation'!F14</f>
        <v>8.332145959635423E-2</v>
      </c>
    </row>
    <row r="23" spans="1:4" ht="15" customHeight="1" x14ac:dyDescent="0.2">
      <c r="A23" s="15" t="str">
        <f>'Q1 Calculation'!A15</f>
        <v>Recreation &amp; Amusement</v>
      </c>
      <c r="B23" s="15">
        <f>'Q1 Calculation'!C15</f>
        <v>1</v>
      </c>
      <c r="C23" s="19">
        <f>'Q1 Calculation'!E15</f>
        <v>171.2</v>
      </c>
      <c r="D23" s="20">
        <f>'Q1 Calculation'!F15</f>
        <v>8.6557244435047587E-2</v>
      </c>
    </row>
    <row r="24" spans="1:4" ht="15" customHeight="1" x14ac:dyDescent="0.2">
      <c r="A24" s="15" t="str">
        <f>'Q1 Calculation'!A16</f>
        <v>Education</v>
      </c>
      <c r="B24" s="15">
        <f>'Q1 Calculation'!C16</f>
        <v>1</v>
      </c>
      <c r="C24" s="19">
        <f>'Q1 Calculation'!E16</f>
        <v>177.1</v>
      </c>
      <c r="D24" s="20">
        <f>'Q1 Calculation'!F16</f>
        <v>8.954023358321804E-2</v>
      </c>
    </row>
    <row r="25" spans="1:4" ht="15" customHeight="1" x14ac:dyDescent="0.2">
      <c r="A25" s="15" t="str">
        <f>'Q1 Calculation'!A17</f>
        <v>Personal Care &amp; Effects</v>
      </c>
      <c r="B25" s="15">
        <f>'Q1 Calculation'!C17</f>
        <v>1</v>
      </c>
      <c r="C25" s="19">
        <f>'Q1 Calculation'!E17</f>
        <v>185.2</v>
      </c>
      <c r="D25" s="20">
        <f>'Q1 Calculation'!F17</f>
        <v>9.3635523769689324E-2</v>
      </c>
    </row>
    <row r="26" spans="1:4" ht="15" customHeight="1" x14ac:dyDescent="0.2">
      <c r="A26" s="21" t="s">
        <v>280</v>
      </c>
      <c r="B26" s="22"/>
      <c r="C26" s="23">
        <f>SUM(C15:C25)</f>
        <v>1977.8818181818183</v>
      </c>
      <c r="D26" s="24">
        <f>SUM(D15:D25)</f>
        <v>1</v>
      </c>
    </row>
    <row r="29" spans="1:4" ht="15" customHeight="1" x14ac:dyDescent="0.2">
      <c r="A29" s="16" t="s">
        <v>281</v>
      </c>
      <c r="B29" s="3" t="str">
        <f>INDEX(A15:A25,MATCH(MAX(D15:D25),D15:D25,0))</f>
        <v>Pan, Tobacco &amp; Intoxicants</v>
      </c>
      <c r="D29" s="25">
        <f>MAX(D15:D25)</f>
        <v>0.10162386759021358</v>
      </c>
    </row>
    <row r="30" spans="1:4" ht="15" customHeight="1" x14ac:dyDescent="0.2">
      <c r="A30" s="18" t="s">
        <v>282</v>
      </c>
      <c r="B30" s="3" t="s">
        <v>257</v>
      </c>
      <c r="C30" s="18" t="s">
        <v>283</v>
      </c>
      <c r="D30" s="25">
        <v>0.101545067991412</v>
      </c>
    </row>
    <row r="32" spans="1:4" ht="15" customHeight="1" x14ac:dyDescent="0.2">
      <c r="A32" s="16" t="s">
        <v>284</v>
      </c>
    </row>
    <row r="33" spans="1:4" ht="15" customHeight="1" x14ac:dyDescent="0.2">
      <c r="A33" s="141" t="s">
        <v>285</v>
      </c>
      <c r="B33" s="115"/>
      <c r="C33" s="115"/>
      <c r="D33" s="115"/>
    </row>
    <row r="34" spans="1:4" ht="15" customHeight="1" x14ac:dyDescent="0.2">
      <c r="A34" s="115"/>
      <c r="B34" s="115"/>
      <c r="C34" s="115"/>
      <c r="D34" s="115"/>
    </row>
    <row r="35" spans="1:4" ht="15" customHeight="1" x14ac:dyDescent="0.2">
      <c r="A35" s="115"/>
      <c r="B35" s="115"/>
      <c r="C35" s="115"/>
      <c r="D35" s="115"/>
    </row>
    <row r="37" spans="1:4" ht="15" customHeight="1" x14ac:dyDescent="0.2">
      <c r="A37" s="16" t="s">
        <v>286</v>
      </c>
    </row>
    <row r="38" spans="1:4" ht="27.75" customHeight="1" x14ac:dyDescent="0.2">
      <c r="A38" s="18" t="s">
        <v>287</v>
      </c>
      <c r="B38" s="141" t="s">
        <v>288</v>
      </c>
      <c r="C38" s="115"/>
      <c r="D38" s="115"/>
    </row>
    <row r="39" spans="1:4" ht="27.75" customHeight="1" x14ac:dyDescent="0.2">
      <c r="A39" s="18" t="s">
        <v>289</v>
      </c>
      <c r="B39" s="141" t="s">
        <v>290</v>
      </c>
      <c r="C39" s="115"/>
      <c r="D39" s="115"/>
    </row>
    <row r="40" spans="1:4" ht="27.75" customHeight="1" x14ac:dyDescent="0.2">
      <c r="A40" s="18" t="s">
        <v>291</v>
      </c>
      <c r="B40" s="141" t="s">
        <v>292</v>
      </c>
      <c r="C40" s="115"/>
      <c r="D40" s="115"/>
    </row>
    <row r="41" spans="1:4" ht="15" customHeight="1" x14ac:dyDescent="0.2">
      <c r="A41" s="16" t="s">
        <v>293</v>
      </c>
    </row>
    <row r="42" spans="1:4" ht="15" customHeight="1" x14ac:dyDescent="0.2">
      <c r="A42" s="3" t="s">
        <v>294</v>
      </c>
      <c r="B42" s="141" t="s">
        <v>295</v>
      </c>
      <c r="C42" s="115"/>
      <c r="D42" s="115"/>
    </row>
  </sheetData>
  <mergeCells count="8">
    <mergeCell ref="A1:D1"/>
    <mergeCell ref="B42:D42"/>
    <mergeCell ref="A33:D35"/>
    <mergeCell ref="A10:D12"/>
    <mergeCell ref="B40:D40"/>
    <mergeCell ref="B3:D4"/>
    <mergeCell ref="B39:D39"/>
    <mergeCell ref="B38:D38"/>
  </mergeCells>
  <hyperlinks>
    <hyperlink ref="E2" r:id="rId1" location="'Dashboard'!A1" xr:uid="{00000000-0004-0000-0600-000000000000}"/>
  </hyperlinks>
  <pageMargins left="0.7" right="0.7" top="0.75" bottom="0.75" header="0.511811023622047" footer="0.511811023622047"/>
  <pageSetup paperSize="9" fitToHeight="0" orientation="landscape" horizontalDpi="300" verticalDpi="30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pageSetUpPr fitToPage="1"/>
  </sheetPr>
  <dimension ref="A1:L36"/>
  <sheetViews>
    <sheetView showGridLines="0" topLeftCell="C3" zoomScale="96" zoomScaleNormal="96" workbookViewId="0">
      <selection activeCell="F8" sqref="F8"/>
    </sheetView>
  </sheetViews>
  <sheetFormatPr defaultColWidth="8.7109375" defaultRowHeight="15" customHeight="1" x14ac:dyDescent="0.2"/>
  <cols>
    <col min="1" max="1" width="31.42578125" customWidth="1"/>
    <col min="2" max="2" width="42" customWidth="1"/>
    <col min="3" max="3" width="13.42578125" customWidth="1"/>
    <col min="4" max="5" width="42" customWidth="1"/>
    <col min="6" max="6" width="18" customWidth="1"/>
    <col min="7" max="8" width="42" customWidth="1"/>
    <col min="10" max="10" width="31.42578125" hidden="1" customWidth="1"/>
    <col min="11" max="11" width="10" hidden="1" customWidth="1"/>
    <col min="12" max="12" width="10" customWidth="1"/>
  </cols>
  <sheetData>
    <row r="1" spans="1:12" ht="24" customHeight="1" x14ac:dyDescent="0.2">
      <c r="A1" s="140" t="s">
        <v>296</v>
      </c>
      <c r="B1" s="115"/>
      <c r="C1" s="115"/>
      <c r="D1" s="115"/>
      <c r="E1" s="115"/>
      <c r="F1" s="115"/>
      <c r="G1" s="115"/>
      <c r="H1" s="115"/>
    </row>
    <row r="2" spans="1:12" ht="15" customHeight="1" x14ac:dyDescent="0.2">
      <c r="L2" s="10" t="s">
        <v>86</v>
      </c>
    </row>
    <row r="3" spans="1:12" ht="15" customHeight="1" x14ac:dyDescent="0.2">
      <c r="A3" s="18" t="s">
        <v>297</v>
      </c>
      <c r="B3" s="3" t="s">
        <v>298</v>
      </c>
      <c r="D3" s="18" t="s">
        <v>54</v>
      </c>
      <c r="E3" s="3" t="s">
        <v>89</v>
      </c>
      <c r="G3" s="18"/>
      <c r="H3" s="3"/>
    </row>
    <row r="5" spans="1:12" ht="15" customHeight="1" x14ac:dyDescent="0.2">
      <c r="J5" s="16" t="s">
        <v>299</v>
      </c>
    </row>
    <row r="6" spans="1:12" ht="27.75" customHeight="1" x14ac:dyDescent="0.2">
      <c r="A6" s="9" t="s">
        <v>253</v>
      </c>
      <c r="B6" s="9" t="s">
        <v>300</v>
      </c>
      <c r="C6" s="9" t="s">
        <v>277</v>
      </c>
      <c r="D6" s="9" t="s">
        <v>301</v>
      </c>
      <c r="E6" s="9" t="s">
        <v>302</v>
      </c>
      <c r="F6" s="9" t="s">
        <v>279</v>
      </c>
      <c r="G6" s="9" t="s">
        <v>303</v>
      </c>
      <c r="H6" s="9" t="s">
        <v>304</v>
      </c>
      <c r="J6" s="26" t="s">
        <v>305</v>
      </c>
      <c r="K6" s="26" t="s">
        <v>306</v>
      </c>
    </row>
    <row r="7" spans="1:12" ht="68.25" customHeight="1" x14ac:dyDescent="0.2">
      <c r="A7" s="15" t="s">
        <v>255</v>
      </c>
      <c r="B7" s="27" t="s">
        <v>307</v>
      </c>
      <c r="C7" s="15">
        <v>12</v>
      </c>
      <c r="D7" s="28">
        <f>$K$7+$K$8+$K$9+$K$10+$K$11+$K$12+$K$13+$K$14+$K$16+$K$17</f>
        <v>1810.9</v>
      </c>
      <c r="E7" s="28">
        <f>AVERAGE($K$7,$K$8,$K$9,$K$10,$K$11,$K$12,$K$13,$K$14,$K$15,$K$16,$K$17)</f>
        <v>175.78181818181818</v>
      </c>
      <c r="F7" s="20">
        <f>E7/SUM($E$7:$E$17)</f>
        <v>8.8873772217293978E-2</v>
      </c>
      <c r="G7" s="27" t="str">
        <f t="shared" ref="G7:G17" si="0">IF(ABS(SUM($F$7:$F$17)-1)&lt;0.000001,"OK","CHECK")</f>
        <v>OK</v>
      </c>
      <c r="H7" s="27" t="s">
        <v>308</v>
      </c>
      <c r="J7" s="3" t="s">
        <v>57</v>
      </c>
      <c r="K7" s="12">
        <v>173.7</v>
      </c>
    </row>
    <row r="8" spans="1:12" ht="27.75" customHeight="1" x14ac:dyDescent="0.2">
      <c r="A8" s="15" t="s">
        <v>257</v>
      </c>
      <c r="B8" s="15" t="s">
        <v>70</v>
      </c>
      <c r="C8" s="15">
        <v>1</v>
      </c>
      <c r="D8" s="19">
        <f>$K$19</f>
        <v>201</v>
      </c>
      <c r="E8" s="19">
        <f>D8/C8</f>
        <v>201</v>
      </c>
      <c r="F8" s="20">
        <f t="shared" ref="F8:F17" si="1">E8/SUM($E$7:$E$17)</f>
        <v>0.10162386759021358</v>
      </c>
      <c r="G8" s="27" t="str">
        <f t="shared" si="0"/>
        <v>OK</v>
      </c>
      <c r="H8" s="27" t="s">
        <v>309</v>
      </c>
      <c r="J8" s="3" t="s">
        <v>58</v>
      </c>
      <c r="K8" s="12">
        <v>214.3</v>
      </c>
    </row>
    <row r="9" spans="1:12" ht="68.25" customHeight="1" x14ac:dyDescent="0.2">
      <c r="A9" s="15" t="s">
        <v>259</v>
      </c>
      <c r="B9" s="15" t="s">
        <v>310</v>
      </c>
      <c r="C9" s="15">
        <v>2</v>
      </c>
      <c r="D9" s="19">
        <f>$K$20+$K$21</f>
        <v>367</v>
      </c>
      <c r="E9" s="19">
        <f>AVERAGE($K$20,$K$21)</f>
        <v>183.5</v>
      </c>
      <c r="F9" s="20">
        <f t="shared" si="1"/>
        <v>9.277601842191141E-2</v>
      </c>
      <c r="G9" s="27" t="str">
        <f t="shared" si="0"/>
        <v>OK</v>
      </c>
      <c r="H9" s="27" t="s">
        <v>308</v>
      </c>
      <c r="J9" s="3" t="s">
        <v>59</v>
      </c>
      <c r="K9" s="12">
        <v>173.2</v>
      </c>
    </row>
    <row r="10" spans="1:12" ht="68.25" customHeight="1" x14ac:dyDescent="0.2">
      <c r="A10" s="15" t="s">
        <v>74</v>
      </c>
      <c r="B10" s="15" t="s">
        <v>74</v>
      </c>
      <c r="C10" s="15">
        <v>1</v>
      </c>
      <c r="D10" s="19">
        <f>$K$22</f>
        <v>175.6</v>
      </c>
      <c r="E10" s="19">
        <f>AVERAGE($K$22)</f>
        <v>175.6</v>
      </c>
      <c r="F10" s="20">
        <f t="shared" si="1"/>
        <v>8.8781846511649276E-2</v>
      </c>
      <c r="G10" s="27" t="str">
        <f t="shared" si="0"/>
        <v>OK</v>
      </c>
      <c r="H10" s="27" t="s">
        <v>308</v>
      </c>
      <c r="J10" s="3" t="s">
        <v>60</v>
      </c>
      <c r="K10" s="12">
        <v>179.5</v>
      </c>
    </row>
    <row r="11" spans="1:12" ht="68.25" customHeight="1" x14ac:dyDescent="0.2">
      <c r="A11" s="15" t="s">
        <v>261</v>
      </c>
      <c r="B11" s="15" t="s">
        <v>75</v>
      </c>
      <c r="C11" s="15">
        <v>1</v>
      </c>
      <c r="D11" s="19">
        <f>$K$23</f>
        <v>182.8</v>
      </c>
      <c r="E11" s="19">
        <f>AVERAGE($K$23)</f>
        <v>182.8</v>
      </c>
      <c r="F11" s="20">
        <f t="shared" si="1"/>
        <v>9.242210445517933E-2</v>
      </c>
      <c r="G11" s="27" t="str">
        <f t="shared" si="0"/>
        <v>OK</v>
      </c>
      <c r="H11" s="27" t="s">
        <v>308</v>
      </c>
      <c r="J11" s="3" t="s">
        <v>61</v>
      </c>
      <c r="K11" s="12">
        <v>170</v>
      </c>
    </row>
    <row r="12" spans="1:12" ht="68.25" customHeight="1" x14ac:dyDescent="0.2">
      <c r="A12" s="15" t="s">
        <v>263</v>
      </c>
      <c r="B12" s="15" t="s">
        <v>76</v>
      </c>
      <c r="C12" s="15">
        <v>1</v>
      </c>
      <c r="D12" s="19">
        <f>$K$24</f>
        <v>175.2</v>
      </c>
      <c r="E12" s="19">
        <f>AVERAGE($K$24)</f>
        <v>175.2</v>
      </c>
      <c r="F12" s="20">
        <f t="shared" si="1"/>
        <v>8.8579609959230934E-2</v>
      </c>
      <c r="G12" s="27" t="str">
        <f t="shared" si="0"/>
        <v>OK</v>
      </c>
      <c r="H12" s="27" t="s">
        <v>308</v>
      </c>
      <c r="J12" s="3" t="s">
        <v>62</v>
      </c>
      <c r="K12" s="12">
        <v>172.2</v>
      </c>
    </row>
    <row r="13" spans="1:12" ht="68.25" customHeight="1" x14ac:dyDescent="0.2">
      <c r="A13" s="15" t="s">
        <v>77</v>
      </c>
      <c r="B13" s="15" t="s">
        <v>77</v>
      </c>
      <c r="C13" s="15">
        <v>1</v>
      </c>
      <c r="D13" s="19">
        <f>$K$25</f>
        <v>185.7</v>
      </c>
      <c r="E13" s="19">
        <f>AVERAGE($K$25)</f>
        <v>185.7</v>
      </c>
      <c r="F13" s="20">
        <f t="shared" si="1"/>
        <v>9.3888319460212241E-2</v>
      </c>
      <c r="G13" s="27" t="str">
        <f t="shared" si="0"/>
        <v>OK</v>
      </c>
      <c r="H13" s="27" t="s">
        <v>308</v>
      </c>
      <c r="J13" s="3" t="s">
        <v>63</v>
      </c>
      <c r="K13" s="12">
        <v>161</v>
      </c>
    </row>
    <row r="14" spans="1:12" ht="68.25" customHeight="1" x14ac:dyDescent="0.2">
      <c r="A14" s="15" t="s">
        <v>265</v>
      </c>
      <c r="B14" s="15" t="s">
        <v>78</v>
      </c>
      <c r="C14" s="15">
        <v>1</v>
      </c>
      <c r="D14" s="19">
        <f>$K$26</f>
        <v>164.8</v>
      </c>
      <c r="E14" s="19">
        <f>AVERAGE($K$26)</f>
        <v>164.8</v>
      </c>
      <c r="F14" s="20">
        <f t="shared" si="1"/>
        <v>8.332145959635423E-2</v>
      </c>
      <c r="G14" s="27" t="str">
        <f t="shared" si="0"/>
        <v>OK</v>
      </c>
      <c r="H14" s="27" t="s">
        <v>308</v>
      </c>
      <c r="J14" s="3" t="s">
        <v>64</v>
      </c>
      <c r="K14" s="12">
        <v>175.6</v>
      </c>
    </row>
    <row r="15" spans="1:12" ht="68.25" customHeight="1" x14ac:dyDescent="0.2">
      <c r="A15" s="15" t="s">
        <v>266</v>
      </c>
      <c r="B15" s="15" t="s">
        <v>79</v>
      </c>
      <c r="C15" s="15">
        <v>1</v>
      </c>
      <c r="D15" s="19">
        <f>$K$27</f>
        <v>171.2</v>
      </c>
      <c r="E15" s="19">
        <f>AVERAGE($K$27)</f>
        <v>171.2</v>
      </c>
      <c r="F15" s="20">
        <f t="shared" si="1"/>
        <v>8.6557244435047587E-2</v>
      </c>
      <c r="G15" s="27" t="str">
        <f t="shared" si="0"/>
        <v>OK</v>
      </c>
      <c r="H15" s="27" t="s">
        <v>308</v>
      </c>
      <c r="J15" s="3" t="s">
        <v>65</v>
      </c>
      <c r="K15" s="12">
        <v>122.7</v>
      </c>
    </row>
    <row r="16" spans="1:12" ht="68.25" customHeight="1" x14ac:dyDescent="0.2">
      <c r="A16" s="15" t="s">
        <v>80</v>
      </c>
      <c r="B16" s="15" t="s">
        <v>80</v>
      </c>
      <c r="C16" s="15">
        <v>1</v>
      </c>
      <c r="D16" s="19">
        <f>$K$28</f>
        <v>177.1</v>
      </c>
      <c r="E16" s="19">
        <f>AVERAGE($K$28)</f>
        <v>177.1</v>
      </c>
      <c r="F16" s="20">
        <f t="shared" si="1"/>
        <v>8.954023358321804E-2</v>
      </c>
      <c r="G16" s="27" t="str">
        <f t="shared" si="0"/>
        <v>OK</v>
      </c>
      <c r="H16" s="27" t="s">
        <v>308</v>
      </c>
      <c r="J16" s="3" t="s">
        <v>66</v>
      </c>
      <c r="K16" s="12">
        <v>218</v>
      </c>
    </row>
    <row r="17" spans="1:11" ht="68.25" customHeight="1" x14ac:dyDescent="0.2">
      <c r="A17" s="15" t="s">
        <v>267</v>
      </c>
      <c r="B17" s="15" t="s">
        <v>81</v>
      </c>
      <c r="C17" s="15">
        <v>1</v>
      </c>
      <c r="D17" s="19">
        <f>$K$29</f>
        <v>185.2</v>
      </c>
      <c r="E17" s="19">
        <f>AVERAGE($K$29)</f>
        <v>185.2</v>
      </c>
      <c r="F17" s="20">
        <f t="shared" si="1"/>
        <v>9.3635523769689324E-2</v>
      </c>
      <c r="G17" s="27" t="str">
        <f t="shared" si="0"/>
        <v>OK</v>
      </c>
      <c r="H17" s="27" t="s">
        <v>308</v>
      </c>
      <c r="J17" s="3" t="s">
        <v>67</v>
      </c>
      <c r="K17" s="12">
        <v>173.4</v>
      </c>
    </row>
    <row r="18" spans="1:11" ht="15" customHeight="1" x14ac:dyDescent="0.2">
      <c r="A18" s="21" t="s">
        <v>311</v>
      </c>
      <c r="B18" s="29"/>
      <c r="C18" s="21">
        <f>SUM(C7:C17)</f>
        <v>23</v>
      </c>
      <c r="D18" s="23">
        <f>SUM(D7:D17)</f>
        <v>3796.4999999999995</v>
      </c>
      <c r="E18" s="23">
        <f>SUM(E7:E17)</f>
        <v>1977.8818181818183</v>
      </c>
      <c r="F18" s="24">
        <f>SUM(F7:F17)</f>
        <v>1</v>
      </c>
      <c r="G18" s="29" t="str">
        <f>IF(ABS(F18-1)&lt;0.000001,"PASS — 100%","CHECK")</f>
        <v>PASS — 100%</v>
      </c>
      <c r="H18" s="29"/>
      <c r="J18" s="3" t="s">
        <v>68</v>
      </c>
      <c r="K18" s="12">
        <v>194.2</v>
      </c>
    </row>
    <row r="19" spans="1:11" ht="15" customHeight="1" x14ac:dyDescent="0.2">
      <c r="J19" s="3" t="s">
        <v>70</v>
      </c>
      <c r="K19" s="12">
        <v>201</v>
      </c>
    </row>
    <row r="20" spans="1:11" ht="15" customHeight="1" x14ac:dyDescent="0.2">
      <c r="J20" s="3" t="s">
        <v>71</v>
      </c>
      <c r="K20" s="12">
        <v>187.3</v>
      </c>
    </row>
    <row r="21" spans="1:11" ht="15" customHeight="1" x14ac:dyDescent="0.2">
      <c r="A21" s="16" t="s">
        <v>312</v>
      </c>
      <c r="J21" s="3" t="s">
        <v>72</v>
      </c>
      <c r="K21" s="12">
        <v>179.7</v>
      </c>
    </row>
    <row r="22" spans="1:11" ht="15" customHeight="1" x14ac:dyDescent="0.2">
      <c r="A22" s="3" t="s">
        <v>313</v>
      </c>
      <c r="B22" s="3" t="str">
        <f>INDEX(A7:A17,MATCH(MAX(F7:F17),F7:F17,0))</f>
        <v>Pan, Tobacco &amp; Intoxicants</v>
      </c>
      <c r="C22" s="3" t="s">
        <v>283</v>
      </c>
      <c r="D22" s="25">
        <f>MAX(F7:F17)</f>
        <v>0.10162386759021358</v>
      </c>
      <c r="J22" s="3" t="s">
        <v>74</v>
      </c>
      <c r="K22" s="12">
        <v>175.6</v>
      </c>
    </row>
    <row r="23" spans="1:11" ht="15" customHeight="1" x14ac:dyDescent="0.2">
      <c r="J23" s="3" t="s">
        <v>75</v>
      </c>
      <c r="K23" s="12">
        <v>182.8</v>
      </c>
    </row>
    <row r="24" spans="1:11" ht="15" customHeight="1" x14ac:dyDescent="0.2">
      <c r="J24" s="3" t="s">
        <v>76</v>
      </c>
      <c r="K24" s="12">
        <v>175.2</v>
      </c>
    </row>
    <row r="25" spans="1:11" ht="15" customHeight="1" x14ac:dyDescent="0.2">
      <c r="A25" s="18" t="s">
        <v>314</v>
      </c>
      <c r="B25" s="141" t="s">
        <v>315</v>
      </c>
      <c r="C25" s="115"/>
      <c r="D25" s="115"/>
      <c r="E25" s="115"/>
      <c r="F25" s="115"/>
      <c r="G25" s="115"/>
      <c r="H25" s="115"/>
      <c r="J25" s="3" t="s">
        <v>77</v>
      </c>
      <c r="K25" s="12">
        <v>185.7</v>
      </c>
    </row>
    <row r="26" spans="1:11" ht="15" customHeight="1" x14ac:dyDescent="0.2">
      <c r="B26" s="115"/>
      <c r="C26" s="115"/>
      <c r="D26" s="115"/>
      <c r="E26" s="115"/>
      <c r="F26" s="115"/>
      <c r="G26" s="115"/>
      <c r="H26" s="115"/>
      <c r="J26" s="3" t="s">
        <v>78</v>
      </c>
      <c r="K26" s="12">
        <v>164.8</v>
      </c>
    </row>
    <row r="27" spans="1:11" ht="15" customHeight="1" x14ac:dyDescent="0.2">
      <c r="B27" s="115"/>
      <c r="C27" s="115"/>
      <c r="D27" s="115"/>
      <c r="E27" s="115"/>
      <c r="F27" s="115"/>
      <c r="G27" s="115"/>
      <c r="H27" s="115"/>
      <c r="J27" s="3" t="s">
        <v>79</v>
      </c>
      <c r="K27" s="12">
        <v>171.2</v>
      </c>
    </row>
    <row r="28" spans="1:11" ht="15" customHeight="1" x14ac:dyDescent="0.2">
      <c r="J28" s="3" t="s">
        <v>80</v>
      </c>
      <c r="K28" s="12">
        <v>177.1</v>
      </c>
    </row>
    <row r="29" spans="1:11" ht="15" customHeight="1" x14ac:dyDescent="0.2">
      <c r="J29" s="3" t="s">
        <v>81</v>
      </c>
      <c r="K29" s="12">
        <v>185.2</v>
      </c>
    </row>
    <row r="32" spans="1:11" ht="15" customHeight="1" x14ac:dyDescent="0.2">
      <c r="A32" s="16" t="s">
        <v>316</v>
      </c>
    </row>
    <row r="33" spans="1:8" ht="15" customHeight="1" x14ac:dyDescent="0.2">
      <c r="A33" s="18" t="s">
        <v>289</v>
      </c>
      <c r="B33" s="141" t="s">
        <v>317</v>
      </c>
      <c r="C33" s="115"/>
      <c r="D33" s="115"/>
      <c r="E33" s="115"/>
      <c r="F33" s="115"/>
      <c r="G33" s="115"/>
      <c r="H33" s="115"/>
    </row>
    <row r="34" spans="1:8" ht="15" customHeight="1" x14ac:dyDescent="0.2">
      <c r="A34" s="18" t="s">
        <v>287</v>
      </c>
      <c r="B34" s="141" t="s">
        <v>318</v>
      </c>
      <c r="C34" s="115"/>
      <c r="D34" s="115"/>
      <c r="E34" s="115"/>
      <c r="F34" s="115"/>
      <c r="G34" s="115"/>
      <c r="H34" s="115"/>
    </row>
    <row r="35" spans="1:8" ht="15" customHeight="1" x14ac:dyDescent="0.2">
      <c r="A35" s="18" t="s">
        <v>319</v>
      </c>
      <c r="B35" s="141" t="s">
        <v>320</v>
      </c>
      <c r="C35" s="115"/>
      <c r="D35" s="115"/>
      <c r="E35" s="115"/>
      <c r="F35" s="115"/>
      <c r="G35" s="115"/>
      <c r="H35" s="115"/>
    </row>
    <row r="36" spans="1:8" ht="15" customHeight="1" x14ac:dyDescent="0.2">
      <c r="A36" s="18" t="s">
        <v>321</v>
      </c>
      <c r="B36" s="141" t="s">
        <v>322</v>
      </c>
      <c r="C36" s="115"/>
      <c r="D36" s="115"/>
      <c r="E36" s="115"/>
      <c r="F36" s="115"/>
      <c r="G36" s="115"/>
      <c r="H36" s="115"/>
    </row>
  </sheetData>
  <mergeCells count="6">
    <mergeCell ref="B36:H36"/>
    <mergeCell ref="B35:H35"/>
    <mergeCell ref="B33:H33"/>
    <mergeCell ref="A1:H1"/>
    <mergeCell ref="B34:H34"/>
    <mergeCell ref="B25:H27"/>
  </mergeCells>
  <hyperlinks>
    <hyperlink ref="L2" r:id="rId1" location="'Dashboard'!A1" xr:uid="{00000000-0004-0000-07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5B5"/>
    <pageSetUpPr fitToPage="1"/>
  </sheetPr>
  <dimension ref="A1:G28"/>
  <sheetViews>
    <sheetView showGridLines="0" tabSelected="1" zoomScale="90" zoomScaleNormal="90" workbookViewId="0">
      <pane ySplit="4" topLeftCell="A5" activePane="bottomLeft" state="frozen"/>
      <selection pane="bottomLeft" activeCell="B22" sqref="B22"/>
    </sheetView>
  </sheetViews>
  <sheetFormatPr defaultColWidth="8.7109375" defaultRowHeight="15" customHeight="1" x14ac:dyDescent="0.2"/>
  <cols>
    <col min="1" max="1" width="35.140625" customWidth="1"/>
    <col min="2" max="2" width="42" customWidth="1"/>
    <col min="3" max="4" width="18.85546875" customWidth="1"/>
    <col min="5" max="6" width="42" customWidth="1"/>
    <col min="7" max="7" width="10" customWidth="1"/>
  </cols>
  <sheetData>
    <row r="1" spans="1:7" ht="24" customHeight="1" x14ac:dyDescent="0.2">
      <c r="A1" s="140" t="s">
        <v>323</v>
      </c>
      <c r="B1" s="115"/>
      <c r="C1" s="115"/>
      <c r="D1" s="115"/>
      <c r="E1" s="115"/>
      <c r="F1" s="115"/>
    </row>
    <row r="2" spans="1:7" ht="15" customHeight="1" x14ac:dyDescent="0.2">
      <c r="G2" s="10" t="s">
        <v>86</v>
      </c>
    </row>
    <row r="3" spans="1:7" ht="15" customHeight="1" x14ac:dyDescent="0.2">
      <c r="A3" s="18" t="s">
        <v>297</v>
      </c>
      <c r="B3" s="3" t="s">
        <v>298</v>
      </c>
      <c r="D3" s="18" t="s">
        <v>54</v>
      </c>
      <c r="E3" s="3" t="s">
        <v>89</v>
      </c>
    </row>
    <row r="5" spans="1:7" ht="27.75" customHeight="1" x14ac:dyDescent="0.2">
      <c r="A5" s="9" t="s">
        <v>324</v>
      </c>
      <c r="B5" s="9" t="s">
        <v>253</v>
      </c>
      <c r="C5" s="9" t="s">
        <v>278</v>
      </c>
      <c r="D5" s="9" t="s">
        <v>279</v>
      </c>
      <c r="E5" s="9" t="s">
        <v>303</v>
      </c>
      <c r="F5" s="9" t="s">
        <v>325</v>
      </c>
    </row>
    <row r="6" spans="1:7" ht="15" customHeight="1" x14ac:dyDescent="0.2">
      <c r="A6" s="15">
        <f t="shared" ref="A6:A16" si="0">RANK(D6,$D$6:$D$16,0)</f>
        <v>7</v>
      </c>
      <c r="B6" s="15" t="s">
        <v>255</v>
      </c>
      <c r="C6" s="19">
        <f>'Q1 Calculation'!E7</f>
        <v>175.78181818181818</v>
      </c>
      <c r="D6" s="20">
        <f>'Q1 Calculation'!F7</f>
        <v>8.8873772217293978E-2</v>
      </c>
      <c r="E6" s="27" t="str">
        <f t="shared" ref="E6:E16" si="1">IF(ABS(SUM($D$6:$D$16)-1)&lt;0.000001,"OK","CHECK")</f>
        <v>OK</v>
      </c>
      <c r="F6" s="27" t="str">
        <f t="shared" ref="F6:F16" si="2">IF(D6=MAX($D$6:$D$16),"Highest contribution","")</f>
        <v/>
      </c>
    </row>
    <row r="7" spans="1:7" ht="15" customHeight="1" x14ac:dyDescent="0.2">
      <c r="A7" s="15">
        <f t="shared" si="0"/>
        <v>1</v>
      </c>
      <c r="B7" s="15" t="s">
        <v>257</v>
      </c>
      <c r="C7" s="19">
        <f>'Q1 Calculation'!E8</f>
        <v>201</v>
      </c>
      <c r="D7" s="20">
        <f>'Q1 Calculation'!F8</f>
        <v>0.10162386759021358</v>
      </c>
      <c r="E7" s="27" t="str">
        <f t="shared" si="1"/>
        <v>OK</v>
      </c>
      <c r="F7" s="27" t="str">
        <f t="shared" si="2"/>
        <v>Highest contribution</v>
      </c>
    </row>
    <row r="8" spans="1:7" ht="15" customHeight="1" x14ac:dyDescent="0.2">
      <c r="A8" s="15">
        <f t="shared" si="0"/>
        <v>4</v>
      </c>
      <c r="B8" s="15" t="s">
        <v>259</v>
      </c>
      <c r="C8" s="19">
        <f>'Q1 Calculation'!E9</f>
        <v>183.5</v>
      </c>
      <c r="D8" s="20">
        <f>'Q1 Calculation'!F9</f>
        <v>9.277601842191141E-2</v>
      </c>
      <c r="E8" s="27" t="str">
        <f t="shared" si="1"/>
        <v>OK</v>
      </c>
      <c r="F8" s="27" t="str">
        <f t="shared" si="2"/>
        <v/>
      </c>
    </row>
    <row r="9" spans="1:7" ht="15" customHeight="1" x14ac:dyDescent="0.2">
      <c r="A9" s="15">
        <f t="shared" si="0"/>
        <v>8</v>
      </c>
      <c r="B9" s="15" t="s">
        <v>74</v>
      </c>
      <c r="C9" s="19">
        <f>'Q1 Calculation'!E10</f>
        <v>175.6</v>
      </c>
      <c r="D9" s="20">
        <f>'Q1 Calculation'!F10</f>
        <v>8.8781846511649276E-2</v>
      </c>
      <c r="E9" s="27" t="str">
        <f t="shared" si="1"/>
        <v>OK</v>
      </c>
      <c r="F9" s="27" t="str">
        <f t="shared" si="2"/>
        <v/>
      </c>
    </row>
    <row r="10" spans="1:7" ht="15" customHeight="1" x14ac:dyDescent="0.2">
      <c r="A10" s="15">
        <f t="shared" si="0"/>
        <v>5</v>
      </c>
      <c r="B10" s="15" t="s">
        <v>261</v>
      </c>
      <c r="C10" s="19">
        <f>'Q1 Calculation'!E11</f>
        <v>182.8</v>
      </c>
      <c r="D10" s="20">
        <f>'Q1 Calculation'!F11</f>
        <v>9.242210445517933E-2</v>
      </c>
      <c r="E10" s="27" t="str">
        <f t="shared" si="1"/>
        <v>OK</v>
      </c>
      <c r="F10" s="27" t="str">
        <f t="shared" si="2"/>
        <v/>
      </c>
    </row>
    <row r="11" spans="1:7" ht="15" customHeight="1" x14ac:dyDescent="0.2">
      <c r="A11" s="15">
        <f t="shared" si="0"/>
        <v>9</v>
      </c>
      <c r="B11" s="15" t="s">
        <v>263</v>
      </c>
      <c r="C11" s="19">
        <f>'Q1 Calculation'!E12</f>
        <v>175.2</v>
      </c>
      <c r="D11" s="20">
        <f>'Q1 Calculation'!F12</f>
        <v>8.8579609959230934E-2</v>
      </c>
      <c r="E11" s="27" t="str">
        <f t="shared" si="1"/>
        <v>OK</v>
      </c>
      <c r="F11" s="27" t="str">
        <f t="shared" si="2"/>
        <v/>
      </c>
    </row>
    <row r="12" spans="1:7" ht="15" customHeight="1" x14ac:dyDescent="0.2">
      <c r="A12" s="15">
        <f t="shared" si="0"/>
        <v>2</v>
      </c>
      <c r="B12" s="15" t="s">
        <v>77</v>
      </c>
      <c r="C12" s="19">
        <f>'Q1 Calculation'!E13</f>
        <v>185.7</v>
      </c>
      <c r="D12" s="20">
        <f>'Q1 Calculation'!F13</f>
        <v>9.3888319460212241E-2</v>
      </c>
      <c r="E12" s="27" t="str">
        <f t="shared" si="1"/>
        <v>OK</v>
      </c>
      <c r="F12" s="27" t="str">
        <f t="shared" si="2"/>
        <v/>
      </c>
    </row>
    <row r="13" spans="1:7" ht="15" customHeight="1" x14ac:dyDescent="0.2">
      <c r="A13" s="15">
        <f t="shared" si="0"/>
        <v>11</v>
      </c>
      <c r="B13" s="15" t="s">
        <v>265</v>
      </c>
      <c r="C13" s="19">
        <f>'Q1 Calculation'!E14</f>
        <v>164.8</v>
      </c>
      <c r="D13" s="20">
        <f>'Q1 Calculation'!F14</f>
        <v>8.332145959635423E-2</v>
      </c>
      <c r="E13" s="27" t="str">
        <f t="shared" si="1"/>
        <v>OK</v>
      </c>
      <c r="F13" s="27" t="str">
        <f t="shared" si="2"/>
        <v/>
      </c>
    </row>
    <row r="14" spans="1:7" ht="15" customHeight="1" x14ac:dyDescent="0.2">
      <c r="A14" s="15">
        <f t="shared" si="0"/>
        <v>10</v>
      </c>
      <c r="B14" s="15" t="s">
        <v>266</v>
      </c>
      <c r="C14" s="19">
        <f>'Q1 Calculation'!E15</f>
        <v>171.2</v>
      </c>
      <c r="D14" s="20">
        <f>'Q1 Calculation'!F15</f>
        <v>8.6557244435047587E-2</v>
      </c>
      <c r="E14" s="27" t="str">
        <f t="shared" si="1"/>
        <v>OK</v>
      </c>
      <c r="F14" s="27" t="str">
        <f t="shared" si="2"/>
        <v/>
      </c>
    </row>
    <row r="15" spans="1:7" ht="15" customHeight="1" x14ac:dyDescent="0.2">
      <c r="A15" s="15">
        <f t="shared" si="0"/>
        <v>6</v>
      </c>
      <c r="B15" s="15" t="s">
        <v>80</v>
      </c>
      <c r="C15" s="19">
        <f>'Q1 Calculation'!E16</f>
        <v>177.1</v>
      </c>
      <c r="D15" s="20">
        <f>'Q1 Calculation'!F16</f>
        <v>8.954023358321804E-2</v>
      </c>
      <c r="E15" s="27" t="str">
        <f t="shared" si="1"/>
        <v>OK</v>
      </c>
      <c r="F15" s="27" t="str">
        <f t="shared" si="2"/>
        <v/>
      </c>
    </row>
    <row r="16" spans="1:7" ht="15" customHeight="1" x14ac:dyDescent="0.2">
      <c r="A16" s="15">
        <f t="shared" si="0"/>
        <v>3</v>
      </c>
      <c r="B16" s="15" t="s">
        <v>267</v>
      </c>
      <c r="C16" s="19">
        <f>'Q1 Calculation'!E17</f>
        <v>185.2</v>
      </c>
      <c r="D16" s="20">
        <f>'Q1 Calculation'!F17</f>
        <v>9.3635523769689324E-2</v>
      </c>
      <c r="E16" s="27" t="str">
        <f t="shared" si="1"/>
        <v>OK</v>
      </c>
      <c r="F16" s="27" t="str">
        <f t="shared" si="2"/>
        <v/>
      </c>
    </row>
    <row r="17" spans="1:6" ht="15" customHeight="1" x14ac:dyDescent="0.2">
      <c r="A17" s="27"/>
      <c r="B17" s="21" t="s">
        <v>311</v>
      </c>
      <c r="C17" s="23">
        <f>SUM(C6:C16)</f>
        <v>1977.8818181818183</v>
      </c>
      <c r="D17" s="24">
        <f>SUM(D6:D16)</f>
        <v>1</v>
      </c>
      <c r="E17" s="29" t="str">
        <f>IF(ABS(D17-1)&lt;0.000001,"PASS — 100%","CHECK")</f>
        <v>PASS — 100%</v>
      </c>
      <c r="F17" s="27"/>
    </row>
    <row r="20" spans="1:6" ht="15" customHeight="1" x14ac:dyDescent="0.2">
      <c r="A20" s="16" t="s">
        <v>326</v>
      </c>
    </row>
    <row r="21" spans="1:6" ht="15" customHeight="1" x14ac:dyDescent="0.2">
      <c r="A21" s="18" t="s">
        <v>327</v>
      </c>
      <c r="B21" s="3" t="str">
        <f>INDEX(B6:B16,MATCH(MAX(D6:D16),D6:D16,0))</f>
        <v>Pan, Tobacco &amp; Intoxicants</v>
      </c>
      <c r="C21" s="18" t="s">
        <v>283</v>
      </c>
      <c r="D21" s="25">
        <f>MAX(D6:D16)</f>
        <v>0.10162386759021358</v>
      </c>
    </row>
    <row r="24" spans="1:6" ht="15" customHeight="1" x14ac:dyDescent="0.2">
      <c r="A24" s="16" t="s">
        <v>286</v>
      </c>
    </row>
    <row r="25" spans="1:6" ht="15" customHeight="1" x14ac:dyDescent="0.2">
      <c r="A25" s="18" t="s">
        <v>328</v>
      </c>
      <c r="B25" s="141" t="s">
        <v>329</v>
      </c>
      <c r="C25" s="115"/>
      <c r="D25" s="115"/>
      <c r="E25" s="115"/>
      <c r="F25" s="115"/>
    </row>
    <row r="26" spans="1:6" ht="15" customHeight="1" x14ac:dyDescent="0.2">
      <c r="A26" s="18" t="s">
        <v>330</v>
      </c>
      <c r="B26" s="141" t="s">
        <v>331</v>
      </c>
      <c r="C26" s="115"/>
      <c r="D26" s="115"/>
      <c r="E26" s="115"/>
      <c r="F26" s="115"/>
    </row>
    <row r="27" spans="1:6" ht="15" customHeight="1" x14ac:dyDescent="0.2">
      <c r="A27" s="18" t="s">
        <v>332</v>
      </c>
      <c r="B27" s="141" t="s">
        <v>333</v>
      </c>
      <c r="C27" s="115"/>
      <c r="D27" s="115"/>
      <c r="E27" s="115"/>
      <c r="F27" s="115"/>
    </row>
    <row r="28" spans="1:6" ht="15" customHeight="1" x14ac:dyDescent="0.2">
      <c r="A28" s="18" t="s">
        <v>334</v>
      </c>
      <c r="B28" s="141" t="s">
        <v>335</v>
      </c>
      <c r="C28" s="115"/>
      <c r="D28" s="115"/>
      <c r="E28" s="115"/>
      <c r="F28" s="115"/>
    </row>
  </sheetData>
  <mergeCells count="5">
    <mergeCell ref="A1:F1"/>
    <mergeCell ref="B25:F25"/>
    <mergeCell ref="B28:F28"/>
    <mergeCell ref="B26:F26"/>
    <mergeCell ref="B27:F27"/>
  </mergeCells>
  <hyperlinks>
    <hyperlink ref="G2" r:id="rId1" location="'Dashboard'!A1" xr:uid="{00000000-0004-0000-0800-000000000000}"/>
  </hyperlinks>
  <pageMargins left="0.7" right="0.7" top="0.75" bottom="0.75" header="0.511811023622047" footer="0.511811023622047"/>
  <pageSetup paperSize="9" fitToHeight="0" orientation="landscape" horizontalDpi="300" verticalDpi="300"/>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75B5"/>
    <pageSetUpPr fitToPage="1"/>
  </sheetPr>
  <dimension ref="A1:F28"/>
  <sheetViews>
    <sheetView showGridLines="0" zoomScale="90" zoomScaleNormal="90" workbookViewId="0">
      <pane ySplit="4" topLeftCell="A5" activePane="bottomLeft" state="frozen"/>
      <selection pane="bottomLeft" sqref="A1:E1"/>
    </sheetView>
  </sheetViews>
  <sheetFormatPr defaultColWidth="8.7109375" defaultRowHeight="15" customHeight="1" x14ac:dyDescent="0.2"/>
  <cols>
    <col min="1" max="2" width="42" customWidth="1"/>
    <col min="3" max="5" width="18.85546875" customWidth="1"/>
    <col min="6" max="6" width="10" customWidth="1"/>
  </cols>
  <sheetData>
    <row r="1" spans="1:6" ht="24" customHeight="1" x14ac:dyDescent="0.2">
      <c r="A1" s="140" t="s">
        <v>336</v>
      </c>
      <c r="B1" s="115"/>
      <c r="C1" s="115"/>
      <c r="D1" s="115"/>
      <c r="E1" s="115"/>
    </row>
    <row r="2" spans="1:6" ht="15" customHeight="1" x14ac:dyDescent="0.2">
      <c r="F2" s="10" t="s">
        <v>86</v>
      </c>
    </row>
    <row r="3" spans="1:6" ht="15" customHeight="1" x14ac:dyDescent="0.2">
      <c r="A3" s="18" t="s">
        <v>297</v>
      </c>
      <c r="B3" s="3" t="s">
        <v>298</v>
      </c>
      <c r="D3" s="18" t="s">
        <v>54</v>
      </c>
      <c r="E3" s="3" t="s">
        <v>89</v>
      </c>
    </row>
    <row r="5" spans="1:6" ht="15" customHeight="1" x14ac:dyDescent="0.2">
      <c r="A5" s="9" t="s">
        <v>324</v>
      </c>
      <c r="B5" s="9" t="s">
        <v>253</v>
      </c>
      <c r="C5" s="9" t="s">
        <v>278</v>
      </c>
      <c r="D5" s="9" t="s">
        <v>279</v>
      </c>
      <c r="E5" s="9" t="s">
        <v>277</v>
      </c>
    </row>
    <row r="6" spans="1:6" ht="15" customHeight="1" x14ac:dyDescent="0.2">
      <c r="A6" s="15">
        <f t="shared" ref="A6:A16" si="0">RANK(D6,$D$6:$D$16,0)</f>
        <v>7</v>
      </c>
      <c r="B6" s="15" t="str">
        <f>'Q1 Calculation'!A7</f>
        <v>Food</v>
      </c>
      <c r="C6" s="19">
        <f>'Q1 Calculation'!E7</f>
        <v>175.78181818181818</v>
      </c>
      <c r="D6" s="20">
        <f>'Q1 Calculation'!F7</f>
        <v>8.8873772217293978E-2</v>
      </c>
      <c r="E6" s="15">
        <f>'Q1 Calculation'!C7</f>
        <v>12</v>
      </c>
    </row>
    <row r="7" spans="1:6" ht="15" customHeight="1" x14ac:dyDescent="0.2">
      <c r="A7" s="15">
        <f t="shared" si="0"/>
        <v>1</v>
      </c>
      <c r="B7" s="15" t="str">
        <f>'Q1 Calculation'!A8</f>
        <v>Pan, Tobacco &amp; Intoxicants</v>
      </c>
      <c r="C7" s="19">
        <f>'Q1 Calculation'!E8</f>
        <v>201</v>
      </c>
      <c r="D7" s="20">
        <f>'Q1 Calculation'!F8</f>
        <v>0.10162386759021358</v>
      </c>
      <c r="E7" s="15">
        <f>'Q1 Calculation'!C8</f>
        <v>1</v>
      </c>
    </row>
    <row r="8" spans="1:6" ht="15" customHeight="1" x14ac:dyDescent="0.2">
      <c r="A8" s="15">
        <f t="shared" si="0"/>
        <v>4</v>
      </c>
      <c r="B8" s="15" t="str">
        <f>'Q1 Calculation'!A9</f>
        <v>Clothing &amp; Footwear</v>
      </c>
      <c r="C8" s="19">
        <f>'Q1 Calculation'!E9</f>
        <v>183.5</v>
      </c>
      <c r="D8" s="20">
        <f>'Q1 Calculation'!F9</f>
        <v>9.277601842191141E-2</v>
      </c>
      <c r="E8" s="15">
        <f>'Q1 Calculation'!C9</f>
        <v>2</v>
      </c>
    </row>
    <row r="9" spans="1:6" ht="15" customHeight="1" x14ac:dyDescent="0.2">
      <c r="A9" s="15">
        <f t="shared" si="0"/>
        <v>8</v>
      </c>
      <c r="B9" s="15" t="str">
        <f>'Q1 Calculation'!A10</f>
        <v>Housing</v>
      </c>
      <c r="C9" s="19">
        <f>'Q1 Calculation'!E10</f>
        <v>175.6</v>
      </c>
      <c r="D9" s="20">
        <f>'Q1 Calculation'!F10</f>
        <v>8.8781846511649276E-2</v>
      </c>
      <c r="E9" s="15">
        <f>'Q1 Calculation'!C10</f>
        <v>1</v>
      </c>
    </row>
    <row r="10" spans="1:6" ht="15" customHeight="1" x14ac:dyDescent="0.2">
      <c r="A10" s="15">
        <f t="shared" si="0"/>
        <v>5</v>
      </c>
      <c r="B10" s="15" t="str">
        <f>'Q1 Calculation'!A11</f>
        <v>Fuel &amp; Light</v>
      </c>
      <c r="C10" s="19">
        <f>'Q1 Calculation'!E11</f>
        <v>182.8</v>
      </c>
      <c r="D10" s="20">
        <f>'Q1 Calculation'!F11</f>
        <v>9.242210445517933E-2</v>
      </c>
      <c r="E10" s="15">
        <f>'Q1 Calculation'!C11</f>
        <v>1</v>
      </c>
    </row>
    <row r="11" spans="1:6" ht="15" customHeight="1" x14ac:dyDescent="0.2">
      <c r="A11" s="15">
        <f t="shared" si="0"/>
        <v>9</v>
      </c>
      <c r="B11" s="15" t="str">
        <f>'Q1 Calculation'!A12</f>
        <v>Household Goods &amp; Services</v>
      </c>
      <c r="C11" s="19">
        <f>'Q1 Calculation'!E12</f>
        <v>175.2</v>
      </c>
      <c r="D11" s="20">
        <f>'Q1 Calculation'!F12</f>
        <v>8.8579609959230934E-2</v>
      </c>
      <c r="E11" s="15">
        <f>'Q1 Calculation'!C12</f>
        <v>1</v>
      </c>
    </row>
    <row r="12" spans="1:6" ht="15" customHeight="1" x14ac:dyDescent="0.2">
      <c r="A12" s="15">
        <f t="shared" si="0"/>
        <v>2</v>
      </c>
      <c r="B12" s="15" t="str">
        <f>'Q1 Calculation'!A13</f>
        <v>Health</v>
      </c>
      <c r="C12" s="19">
        <f>'Q1 Calculation'!E13</f>
        <v>185.7</v>
      </c>
      <c r="D12" s="20">
        <f>'Q1 Calculation'!F13</f>
        <v>9.3888319460212241E-2</v>
      </c>
      <c r="E12" s="15">
        <f>'Q1 Calculation'!C13</f>
        <v>1</v>
      </c>
    </row>
    <row r="13" spans="1:6" ht="15" customHeight="1" x14ac:dyDescent="0.2">
      <c r="A13" s="15">
        <f t="shared" si="0"/>
        <v>11</v>
      </c>
      <c r="B13" s="15" t="str">
        <f>'Q1 Calculation'!A14</f>
        <v>Transport &amp; Communication</v>
      </c>
      <c r="C13" s="19">
        <f>'Q1 Calculation'!E14</f>
        <v>164.8</v>
      </c>
      <c r="D13" s="20">
        <f>'Q1 Calculation'!F14</f>
        <v>8.332145959635423E-2</v>
      </c>
      <c r="E13" s="15">
        <f>'Q1 Calculation'!C14</f>
        <v>1</v>
      </c>
    </row>
    <row r="14" spans="1:6" ht="15" customHeight="1" x14ac:dyDescent="0.2">
      <c r="A14" s="15">
        <f t="shared" si="0"/>
        <v>10</v>
      </c>
      <c r="B14" s="15" t="str">
        <f>'Q1 Calculation'!A15</f>
        <v>Recreation &amp; Amusement</v>
      </c>
      <c r="C14" s="19">
        <f>'Q1 Calculation'!E15</f>
        <v>171.2</v>
      </c>
      <c r="D14" s="20">
        <f>'Q1 Calculation'!F15</f>
        <v>8.6557244435047587E-2</v>
      </c>
      <c r="E14" s="15">
        <f>'Q1 Calculation'!C15</f>
        <v>1</v>
      </c>
    </row>
    <row r="15" spans="1:6" ht="15" customHeight="1" x14ac:dyDescent="0.2">
      <c r="A15" s="15">
        <f t="shared" si="0"/>
        <v>6</v>
      </c>
      <c r="B15" s="15" t="str">
        <f>'Q1 Calculation'!A16</f>
        <v>Education</v>
      </c>
      <c r="C15" s="19">
        <f>'Q1 Calculation'!E16</f>
        <v>177.1</v>
      </c>
      <c r="D15" s="20">
        <f>'Q1 Calculation'!F16</f>
        <v>8.954023358321804E-2</v>
      </c>
      <c r="E15" s="15">
        <f>'Q1 Calculation'!C16</f>
        <v>1</v>
      </c>
    </row>
    <row r="16" spans="1:6" ht="15" customHeight="1" x14ac:dyDescent="0.2">
      <c r="A16" s="15">
        <f t="shared" si="0"/>
        <v>3</v>
      </c>
      <c r="B16" s="15" t="str">
        <f>'Q1 Calculation'!A17</f>
        <v>Personal Care &amp; Effects</v>
      </c>
      <c r="C16" s="19">
        <f>'Q1 Calculation'!E17</f>
        <v>185.2</v>
      </c>
      <c r="D16" s="20">
        <f>'Q1 Calculation'!F17</f>
        <v>9.3635523769689324E-2</v>
      </c>
      <c r="E16" s="15">
        <f>'Q1 Calculation'!C17</f>
        <v>1</v>
      </c>
    </row>
    <row r="17" spans="1:5" ht="15" customHeight="1" x14ac:dyDescent="0.2">
      <c r="A17" s="27"/>
      <c r="B17" s="21" t="s">
        <v>311</v>
      </c>
      <c r="C17" s="23">
        <f>SUM(C6:C16)</f>
        <v>1977.8818181818183</v>
      </c>
      <c r="D17" s="24">
        <f>SUM(D6:D16)</f>
        <v>1</v>
      </c>
      <c r="E17" s="21">
        <f>SUM(E6:E16)</f>
        <v>23</v>
      </c>
    </row>
    <row r="20" spans="1:5" ht="15" customHeight="1" x14ac:dyDescent="0.2">
      <c r="A20" s="16" t="s">
        <v>337</v>
      </c>
    </row>
    <row r="21" spans="1:5" ht="15" customHeight="1" x14ac:dyDescent="0.2">
      <c r="A21" s="141" t="s">
        <v>338</v>
      </c>
      <c r="B21" s="115"/>
      <c r="C21" s="115"/>
      <c r="D21" s="115"/>
      <c r="E21" s="115"/>
    </row>
    <row r="22" spans="1:5" ht="15" customHeight="1" x14ac:dyDescent="0.2">
      <c r="A22" s="115"/>
      <c r="B22" s="115"/>
      <c r="C22" s="115"/>
      <c r="D22" s="115"/>
      <c r="E22" s="115"/>
    </row>
    <row r="23" spans="1:5" ht="15" customHeight="1" x14ac:dyDescent="0.2">
      <c r="A23" s="115"/>
      <c r="B23" s="115"/>
      <c r="C23" s="115"/>
      <c r="D23" s="115"/>
      <c r="E23" s="115"/>
    </row>
    <row r="26" spans="1:5" ht="15" customHeight="1" x14ac:dyDescent="0.2">
      <c r="A26" s="16" t="s">
        <v>286</v>
      </c>
    </row>
    <row r="27" spans="1:5" ht="15" customHeight="1" x14ac:dyDescent="0.2">
      <c r="A27" s="18" t="s">
        <v>328</v>
      </c>
      <c r="B27" s="141" t="s">
        <v>339</v>
      </c>
      <c r="C27" s="115"/>
      <c r="D27" s="115"/>
      <c r="E27" s="115"/>
    </row>
    <row r="28" spans="1:5" ht="15" customHeight="1" x14ac:dyDescent="0.2">
      <c r="A28" s="18" t="s">
        <v>289</v>
      </c>
      <c r="B28" s="141" t="s">
        <v>340</v>
      </c>
      <c r="C28" s="115"/>
      <c r="D28" s="115"/>
      <c r="E28" s="115"/>
    </row>
  </sheetData>
  <mergeCells count="4">
    <mergeCell ref="B28:E28"/>
    <mergeCell ref="A1:E1"/>
    <mergeCell ref="B27:E27"/>
    <mergeCell ref="A21:E23"/>
  </mergeCells>
  <hyperlinks>
    <hyperlink ref="F2" r:id="rId1" location="'Dashboard'!A1" xr:uid="{00000000-0004-0000-0900-000000000000}"/>
  </hyperlinks>
  <pageMargins left="0.7" right="0.7" top="0.75" bottom="0.75"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75B5"/>
    <pageSetUpPr fitToPage="1"/>
  </sheetPr>
  <dimension ref="A1:H27"/>
  <sheetViews>
    <sheetView showGridLines="0" zoomScale="90" zoomScaleNormal="90" workbookViewId="0">
      <pane ySplit="4" topLeftCell="A5" activePane="bottomLeft" state="frozen"/>
      <selection pane="bottomLeft" sqref="A1:F1"/>
    </sheetView>
  </sheetViews>
  <sheetFormatPr defaultColWidth="8.7109375" defaultRowHeight="15" customHeight="1" x14ac:dyDescent="0.2"/>
  <cols>
    <col min="1" max="1" width="42" customWidth="1"/>
    <col min="2" max="3" width="14" customWidth="1"/>
    <col min="4" max="4" width="18" customWidth="1"/>
    <col min="5" max="8" width="14" customWidth="1"/>
  </cols>
  <sheetData>
    <row r="1" spans="1:7" ht="24" customHeight="1" x14ac:dyDescent="0.2">
      <c r="A1" s="140" t="s">
        <v>341</v>
      </c>
      <c r="B1" s="115"/>
      <c r="C1" s="115"/>
      <c r="D1" s="115"/>
      <c r="E1" s="115"/>
      <c r="F1" s="115"/>
    </row>
    <row r="2" spans="1:7" ht="15" customHeight="1" x14ac:dyDescent="0.2">
      <c r="G2" s="10" t="s">
        <v>86</v>
      </c>
    </row>
    <row r="3" spans="1:7" ht="15" customHeight="1" x14ac:dyDescent="0.2">
      <c r="A3" s="16" t="s">
        <v>342</v>
      </c>
    </row>
    <row r="5" spans="1:7" ht="15" customHeight="1" x14ac:dyDescent="0.2">
      <c r="A5" s="9" t="s">
        <v>253</v>
      </c>
      <c r="B5" s="9" t="s">
        <v>279</v>
      </c>
    </row>
    <row r="6" spans="1:7" ht="15" customHeight="1" x14ac:dyDescent="0.2">
      <c r="A6" s="15" t="str">
        <f>'Q1 Contribution'!B6</f>
        <v>Food</v>
      </c>
      <c r="B6" s="20">
        <f>'Q1 Contribution'!D6</f>
        <v>8.8873772217293978E-2</v>
      </c>
    </row>
    <row r="7" spans="1:7" ht="15" customHeight="1" x14ac:dyDescent="0.2">
      <c r="A7" s="15" t="str">
        <f>'Q1 Contribution'!B7</f>
        <v>Pan, Tobacco &amp; Intoxicants</v>
      </c>
      <c r="B7" s="20">
        <f>'Q1 Contribution'!D7</f>
        <v>0.10162386759021358</v>
      </c>
    </row>
    <row r="8" spans="1:7" ht="15" customHeight="1" x14ac:dyDescent="0.2">
      <c r="A8" s="15" t="str">
        <f>'Q1 Contribution'!B8</f>
        <v>Clothing &amp; Footwear</v>
      </c>
      <c r="B8" s="20">
        <f>'Q1 Contribution'!D8</f>
        <v>9.277601842191141E-2</v>
      </c>
    </row>
    <row r="9" spans="1:7" ht="15" customHeight="1" x14ac:dyDescent="0.2">
      <c r="A9" s="15" t="str">
        <f>'Q1 Contribution'!B9</f>
        <v>Housing</v>
      </c>
      <c r="B9" s="20">
        <f>'Q1 Contribution'!D9</f>
        <v>8.8781846511649276E-2</v>
      </c>
    </row>
    <row r="10" spans="1:7" ht="15" customHeight="1" x14ac:dyDescent="0.2">
      <c r="A10" s="15" t="str">
        <f>'Q1 Contribution'!B10</f>
        <v>Fuel &amp; Light</v>
      </c>
      <c r="B10" s="20">
        <f>'Q1 Contribution'!D10</f>
        <v>9.242210445517933E-2</v>
      </c>
    </row>
    <row r="11" spans="1:7" ht="15" customHeight="1" x14ac:dyDescent="0.2">
      <c r="A11" s="15" t="str">
        <f>'Q1 Contribution'!B11</f>
        <v>Household Goods &amp; Services</v>
      </c>
      <c r="B11" s="20">
        <f>'Q1 Contribution'!D11</f>
        <v>8.8579609959230934E-2</v>
      </c>
    </row>
    <row r="12" spans="1:7" ht="15" customHeight="1" x14ac:dyDescent="0.2">
      <c r="A12" s="15" t="str">
        <f>'Q1 Contribution'!B12</f>
        <v>Health</v>
      </c>
      <c r="B12" s="20">
        <f>'Q1 Contribution'!D12</f>
        <v>9.3888319460212241E-2</v>
      </c>
    </row>
    <row r="13" spans="1:7" ht="15" customHeight="1" x14ac:dyDescent="0.2">
      <c r="A13" s="15" t="str">
        <f>'Q1 Contribution'!B13</f>
        <v>Transport &amp; Communication</v>
      </c>
      <c r="B13" s="20">
        <f>'Q1 Contribution'!D13</f>
        <v>8.332145959635423E-2</v>
      </c>
    </row>
    <row r="14" spans="1:7" ht="15" customHeight="1" x14ac:dyDescent="0.2">
      <c r="A14" s="15" t="str">
        <f>'Q1 Contribution'!B14</f>
        <v>Recreation &amp; Amusement</v>
      </c>
      <c r="B14" s="20">
        <f>'Q1 Contribution'!D14</f>
        <v>8.6557244435047587E-2</v>
      </c>
    </row>
    <row r="15" spans="1:7" ht="15" customHeight="1" x14ac:dyDescent="0.2">
      <c r="A15" s="15" t="str">
        <f>'Q1 Contribution'!B15</f>
        <v>Education</v>
      </c>
      <c r="B15" s="20">
        <f>'Q1 Contribution'!D15</f>
        <v>8.954023358321804E-2</v>
      </c>
    </row>
    <row r="16" spans="1:7" ht="15" customHeight="1" x14ac:dyDescent="0.2">
      <c r="A16" s="15" t="str">
        <f>'Q1 Contribution'!B16</f>
        <v>Personal Care &amp; Effects</v>
      </c>
      <c r="B16" s="20">
        <f>'Q1 Contribution'!D16</f>
        <v>9.3635523769689324E-2</v>
      </c>
    </row>
    <row r="20" spans="1:8" ht="24" customHeight="1" x14ac:dyDescent="0.2">
      <c r="A20" s="105" t="s">
        <v>343</v>
      </c>
      <c r="B20" s="106"/>
      <c r="C20" s="106"/>
      <c r="D20" s="106"/>
      <c r="E20" s="106"/>
      <c r="F20" s="106"/>
      <c r="G20" s="106"/>
      <c r="H20" s="106"/>
    </row>
    <row r="21" spans="1:8" ht="30" customHeight="1" x14ac:dyDescent="0.2">
      <c r="A21" s="142" t="s">
        <v>344</v>
      </c>
      <c r="B21" s="106"/>
      <c r="C21" s="106"/>
      <c r="D21" s="106"/>
      <c r="E21" s="106"/>
      <c r="F21" s="106"/>
      <c r="G21" s="106"/>
      <c r="H21" s="106"/>
    </row>
    <row r="22" spans="1:8" ht="30" customHeight="1" x14ac:dyDescent="0.2">
      <c r="A22" s="106"/>
      <c r="B22" s="106"/>
      <c r="C22" s="106"/>
      <c r="D22" s="106"/>
      <c r="E22" s="106"/>
      <c r="F22" s="106"/>
      <c r="G22" s="106"/>
      <c r="H22" s="106"/>
    </row>
    <row r="23" spans="1:8" ht="30" customHeight="1" x14ac:dyDescent="0.2">
      <c r="A23" s="106"/>
      <c r="B23" s="106"/>
      <c r="C23" s="106"/>
      <c r="D23" s="106"/>
      <c r="E23" s="106"/>
      <c r="F23" s="106"/>
      <c r="G23" s="106"/>
      <c r="H23" s="106"/>
    </row>
    <row r="25" spans="1:8" ht="15" customHeight="1" x14ac:dyDescent="0.2">
      <c r="A25" s="16" t="s">
        <v>286</v>
      </c>
    </row>
    <row r="26" spans="1:8" ht="27.75" customHeight="1" x14ac:dyDescent="0.2">
      <c r="A26" s="18" t="s">
        <v>345</v>
      </c>
      <c r="B26" s="141" t="s">
        <v>346</v>
      </c>
      <c r="C26" s="115"/>
      <c r="D26" s="115"/>
      <c r="E26" s="115"/>
      <c r="F26" s="115"/>
    </row>
    <row r="27" spans="1:8" ht="27.75" customHeight="1" x14ac:dyDescent="0.2">
      <c r="A27" s="18" t="s">
        <v>347</v>
      </c>
      <c r="B27" s="141" t="s">
        <v>348</v>
      </c>
      <c r="C27" s="115"/>
      <c r="D27" s="115"/>
      <c r="E27" s="115"/>
      <c r="F27" s="115"/>
    </row>
  </sheetData>
  <mergeCells count="5">
    <mergeCell ref="A20:H20"/>
    <mergeCell ref="A1:F1"/>
    <mergeCell ref="A21:H23"/>
    <mergeCell ref="B26:F26"/>
    <mergeCell ref="B27:F27"/>
  </mergeCells>
  <hyperlinks>
    <hyperlink ref="G2" r:id="rId1" location="'Dashboard'!A1" xr:uid="{00000000-0004-0000-0A00-000000000000}"/>
  </hyperlinks>
  <pageMargins left="0.7" right="0.7" top="0.75" bottom="0.75" header="0.511811023622047" footer="0.511811023622047"/>
  <pageSetup paperSize="9" fitToHeight="0" orientation="landscape" horizontalDpi="300" verticalDpi="30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F6B78"/>
    <pageSetUpPr fitToPage="1"/>
  </sheetPr>
  <dimension ref="A1:G31"/>
  <sheetViews>
    <sheetView showGridLines="0" topLeftCell="A7" zoomScale="90" zoomScaleNormal="90" workbookViewId="0">
      <selection activeCell="B19" sqref="B19"/>
    </sheetView>
  </sheetViews>
  <sheetFormatPr defaultColWidth="8.7109375" defaultRowHeight="15" customHeight="1" x14ac:dyDescent="0.2"/>
  <cols>
    <col min="1" max="1" width="12" customWidth="1"/>
    <col min="2" max="2" width="16" customWidth="1"/>
    <col min="3" max="3" width="14" customWidth="1"/>
    <col min="4" max="4" width="20" customWidth="1"/>
    <col min="5" max="5" width="22" customWidth="1"/>
    <col min="6" max="6" width="16" customWidth="1"/>
    <col min="7" max="8" width="4" customWidth="1"/>
  </cols>
  <sheetData>
    <row r="1" spans="1:7" ht="24" customHeight="1" x14ac:dyDescent="0.2">
      <c r="A1" s="140" t="s">
        <v>349</v>
      </c>
      <c r="B1" s="115"/>
      <c r="C1" s="115"/>
      <c r="D1" s="115"/>
      <c r="E1" s="115"/>
      <c r="F1" s="115"/>
      <c r="G1" s="115"/>
    </row>
    <row r="3" spans="1:7" ht="41.25" customHeight="1" x14ac:dyDescent="0.2">
      <c r="A3" s="18" t="s">
        <v>350</v>
      </c>
      <c r="B3" s="30" t="s">
        <v>351</v>
      </c>
      <c r="D3" s="18" t="s">
        <v>352</v>
      </c>
      <c r="E3" s="30">
        <v>2017</v>
      </c>
    </row>
    <row r="4" spans="1:7" ht="12.75" x14ac:dyDescent="0.2"/>
    <row r="5" spans="1:7" ht="27.75" customHeight="1" x14ac:dyDescent="0.2">
      <c r="A5" s="16" t="s">
        <v>353</v>
      </c>
    </row>
    <row r="6" spans="1:7" ht="15" customHeight="1" x14ac:dyDescent="0.2">
      <c r="A6" s="141" t="s">
        <v>354</v>
      </c>
      <c r="B6" s="115"/>
      <c r="C6" s="115"/>
      <c r="D6" s="115"/>
      <c r="E6" s="115"/>
      <c r="F6" s="115"/>
      <c r="G6" s="115"/>
    </row>
    <row r="7" spans="1:7" ht="15" customHeight="1" x14ac:dyDescent="0.2">
      <c r="A7" s="115"/>
      <c r="B7" s="115"/>
      <c r="C7" s="115"/>
      <c r="D7" s="115"/>
      <c r="E7" s="115"/>
      <c r="F7" s="115"/>
      <c r="G7" s="115"/>
    </row>
    <row r="8" spans="1:7" ht="15" customHeight="1" x14ac:dyDescent="0.2">
      <c r="A8" s="115"/>
      <c r="B8" s="115"/>
      <c r="C8" s="115"/>
      <c r="D8" s="115"/>
      <c r="E8" s="115"/>
      <c r="F8" s="115"/>
      <c r="G8" s="115"/>
    </row>
    <row r="9" spans="1:7" ht="15" customHeight="1" x14ac:dyDescent="0.2">
      <c r="A9" s="115"/>
      <c r="B9" s="115"/>
      <c r="C9" s="115"/>
      <c r="D9" s="115"/>
      <c r="E9" s="115"/>
      <c r="F9" s="115"/>
      <c r="G9" s="115"/>
    </row>
    <row r="10" spans="1:7" ht="15" customHeight="1" x14ac:dyDescent="0.2">
      <c r="A10" s="18" t="s">
        <v>355</v>
      </c>
      <c r="B10" s="143">
        <f>AVERAGEIFS('Q2 Monthly Data'!$D:$D,'Q2 Monthly Data'!$A:$A,A13)</f>
        <v>129.20000000000002</v>
      </c>
      <c r="C10" s="115"/>
      <c r="D10" s="115"/>
      <c r="E10" s="115"/>
      <c r="F10" s="115"/>
      <c r="G10" s="115"/>
    </row>
    <row r="11" spans="1:7" ht="27.75" customHeight="1" x14ac:dyDescent="0.2">
      <c r="A11" s="68" t="s">
        <v>356</v>
      </c>
      <c r="B11" s="144" t="s">
        <v>357</v>
      </c>
      <c r="C11" s="115"/>
      <c r="D11" s="115"/>
      <c r="E11" s="115"/>
      <c r="F11" s="115"/>
      <c r="G11" s="115"/>
    </row>
    <row r="12" spans="1:7" ht="30" customHeight="1" x14ac:dyDescent="0.2">
      <c r="A12" s="66" t="s">
        <v>55</v>
      </c>
      <c r="B12" s="66" t="s">
        <v>358</v>
      </c>
      <c r="C12" s="66" t="s">
        <v>359</v>
      </c>
      <c r="D12" s="66" t="s">
        <v>360</v>
      </c>
      <c r="E12" s="66" t="s">
        <v>361</v>
      </c>
      <c r="F12" s="66" t="s">
        <v>362</v>
      </c>
    </row>
    <row r="13" spans="1:7" ht="15" customHeight="1" x14ac:dyDescent="0.2">
      <c r="A13" s="30">
        <v>2016</v>
      </c>
      <c r="B13" s="30" t="s">
        <v>363</v>
      </c>
      <c r="C13" s="30">
        <v>12</v>
      </c>
      <c r="D13" s="31">
        <f>AVERAGEIFS('Q2 Monthly Data'!$D:$D,'Q2 Monthly Data'!$A:$A,A13)</f>
        <v>129.20000000000002</v>
      </c>
      <c r="E13" s="31"/>
      <c r="F13" s="32"/>
    </row>
    <row r="14" spans="1:7" ht="15" customHeight="1" x14ac:dyDescent="0.2">
      <c r="A14" s="30">
        <v>2017</v>
      </c>
      <c r="B14" s="30" t="s">
        <v>363</v>
      </c>
      <c r="C14" s="30">
        <v>12</v>
      </c>
      <c r="D14" s="31">
        <f>AVERAGEIFS('Q2 Monthly Data'!$D:$D,'Q2 Monthly Data'!$A:$A,A14)</f>
        <v>133.5</v>
      </c>
      <c r="E14" s="12">
        <f>D13</f>
        <v>129.20000000000002</v>
      </c>
      <c r="F14" s="25">
        <f>(D14/E14)-1</f>
        <v>3.3281733746129971E-2</v>
      </c>
    </row>
    <row r="15" spans="1:7" ht="15" customHeight="1" x14ac:dyDescent="0.2">
      <c r="A15" s="30">
        <v>2018</v>
      </c>
      <c r="B15" s="30" t="s">
        <v>363</v>
      </c>
      <c r="C15" s="30">
        <v>12</v>
      </c>
      <c r="D15" s="31">
        <f>AVERAGEIFS('Q2 Monthly Data'!$D:$D,'Q2 Monthly Data'!$A:$A,A15)</f>
        <v>138.77500000000001</v>
      </c>
      <c r="E15" s="12">
        <f>D14</f>
        <v>133.5</v>
      </c>
      <c r="F15" s="25">
        <f t="shared" ref="F15:F20" si="0">(D15/E15)-1</f>
        <v>3.9513108614232184E-2</v>
      </c>
    </row>
    <row r="16" spans="1:7" ht="15" customHeight="1" x14ac:dyDescent="0.2">
      <c r="A16" s="30">
        <v>2019</v>
      </c>
      <c r="B16" s="30" t="s">
        <v>363</v>
      </c>
      <c r="C16" s="30">
        <v>12</v>
      </c>
      <c r="D16" s="31">
        <f>AVERAGEIFS('Q2 Monthly Data'!$D:$D,'Q2 Monthly Data'!$A:$A,A16)</f>
        <v>143.93333333333331</v>
      </c>
      <c r="E16" s="12">
        <f t="shared" ref="E16:E20" si="1">D15</f>
        <v>138.77500000000001</v>
      </c>
      <c r="F16" s="25">
        <f t="shared" si="0"/>
        <v>3.7170479793430466E-2</v>
      </c>
    </row>
    <row r="17" spans="1:7" ht="15" customHeight="1" x14ac:dyDescent="0.2">
      <c r="A17" s="30">
        <v>2020</v>
      </c>
      <c r="B17" s="30" t="s">
        <v>363</v>
      </c>
      <c r="C17" s="30">
        <v>12</v>
      </c>
      <c r="D17" s="31">
        <f>AVERAGEIFS('Q2 Monthly Data'!$D:$D,'Q2 Monthly Data'!$A:$A,A17)</f>
        <v>152.85000000000002</v>
      </c>
      <c r="E17" s="12">
        <f t="shared" si="1"/>
        <v>143.93333333333331</v>
      </c>
      <c r="F17" s="25">
        <f t="shared" si="0"/>
        <v>6.1949976841130461E-2</v>
      </c>
    </row>
    <row r="18" spans="1:7" ht="15" customHeight="1" x14ac:dyDescent="0.2">
      <c r="A18" s="30">
        <v>2021</v>
      </c>
      <c r="B18" s="30" t="s">
        <v>363</v>
      </c>
      <c r="C18" s="30">
        <v>12</v>
      </c>
      <c r="D18" s="31">
        <f>AVERAGEIFS('Q2 Monthly Data'!$D:$D,'Q2 Monthly Data'!$A:$A,A18)</f>
        <v>161.45833333333334</v>
      </c>
      <c r="E18" s="12">
        <f t="shared" si="1"/>
        <v>152.85000000000002</v>
      </c>
      <c r="F18" s="25">
        <f t="shared" si="0"/>
        <v>5.6318831098026267E-2</v>
      </c>
    </row>
    <row r="19" spans="1:7" ht="15" customHeight="1" x14ac:dyDescent="0.2">
      <c r="A19" s="18">
        <v>2022</v>
      </c>
      <c r="B19" s="18" t="s">
        <v>363</v>
      </c>
      <c r="C19" s="18">
        <v>12</v>
      </c>
      <c r="D19" s="33">
        <f>AVERAGEIFS('Q2 Monthly Data'!$D:$D,'Q2 Monthly Data'!$A:$A,A19)</f>
        <v>172.14999999999998</v>
      </c>
      <c r="E19" s="34">
        <f t="shared" si="1"/>
        <v>161.45833333333334</v>
      </c>
      <c r="F19" s="35">
        <f t="shared" si="0"/>
        <v>6.6219354838709554E-2</v>
      </c>
    </row>
    <row r="20" spans="1:7" ht="15" customHeight="1" x14ac:dyDescent="0.2">
      <c r="A20" s="30">
        <v>2023</v>
      </c>
      <c r="B20" s="30" t="s">
        <v>364</v>
      </c>
      <c r="C20" s="30">
        <v>5</v>
      </c>
      <c r="D20" s="31">
        <f>AVERAGEIFS('Q2 Monthly Data'!$D:$D,'Q2 Monthly Data'!$A:$A,A20)</f>
        <v>177.62</v>
      </c>
      <c r="E20" s="12">
        <f t="shared" si="1"/>
        <v>172.14999999999998</v>
      </c>
      <c r="F20" s="25">
        <f t="shared" si="0"/>
        <v>3.177461516119684E-2</v>
      </c>
    </row>
    <row r="21" spans="1:7" ht="12.75" x14ac:dyDescent="0.2"/>
    <row r="22" spans="1:7" ht="12.75" x14ac:dyDescent="0.2"/>
    <row r="23" spans="1:7" ht="41.25" customHeight="1" x14ac:dyDescent="0.2">
      <c r="A23" s="9" t="s">
        <v>365</v>
      </c>
      <c r="B23" s="9">
        <f>INDEX(A14:A19,MATCH(MAX(F14:F19),F14:F19,0))</f>
        <v>2022</v>
      </c>
      <c r="C23" s="9" t="s">
        <v>366</v>
      </c>
      <c r="D23" s="36">
        <f>MAX(F14:F19)</f>
        <v>6.6219354838709554E-2</v>
      </c>
    </row>
    <row r="24" spans="1:7" ht="15" customHeight="1" x14ac:dyDescent="0.2">
      <c r="A24" s="145" t="s">
        <v>286</v>
      </c>
      <c r="B24" s="146"/>
      <c r="C24" s="146"/>
      <c r="D24" s="146"/>
      <c r="E24" s="146"/>
      <c r="F24" s="146"/>
      <c r="G24" s="115"/>
    </row>
    <row r="25" spans="1:7" ht="15" customHeight="1" x14ac:dyDescent="0.2">
      <c r="A25" s="18" t="s">
        <v>367</v>
      </c>
      <c r="B25" s="141" t="s">
        <v>368</v>
      </c>
      <c r="C25" s="115"/>
      <c r="D25" s="115"/>
      <c r="E25" s="115"/>
      <c r="F25" s="115"/>
      <c r="G25" s="115"/>
    </row>
    <row r="26" spans="1:7" ht="15" customHeight="1" x14ac:dyDescent="0.2">
      <c r="A26" s="18" t="s">
        <v>369</v>
      </c>
      <c r="B26" s="141" t="s">
        <v>370</v>
      </c>
      <c r="C26" s="115"/>
      <c r="D26" s="115"/>
      <c r="E26" s="115"/>
      <c r="F26" s="115"/>
      <c r="G26" s="115"/>
    </row>
    <row r="27" spans="1:7" ht="15" customHeight="1" x14ac:dyDescent="0.2">
      <c r="A27" s="18" t="s">
        <v>371</v>
      </c>
      <c r="B27" s="141" t="s">
        <v>372</v>
      </c>
      <c r="C27" s="115"/>
      <c r="D27" s="115"/>
      <c r="E27" s="115"/>
      <c r="F27" s="115"/>
      <c r="G27" s="115"/>
    </row>
    <row r="28" spans="1:7" ht="15" customHeight="1" x14ac:dyDescent="0.2">
      <c r="A28" s="18" t="s">
        <v>330</v>
      </c>
      <c r="B28" s="141" t="s">
        <v>373</v>
      </c>
      <c r="C28" s="115"/>
      <c r="D28" s="115"/>
      <c r="E28" s="115"/>
      <c r="F28" s="115"/>
      <c r="G28" s="115"/>
    </row>
    <row r="29" spans="1:7" ht="12.75" x14ac:dyDescent="0.2"/>
    <row r="30" spans="1:7" ht="15" customHeight="1" x14ac:dyDescent="0.2">
      <c r="A30" s="145" t="s">
        <v>293</v>
      </c>
      <c r="B30" s="146"/>
      <c r="C30" s="146"/>
      <c r="D30" s="146"/>
      <c r="E30" s="146"/>
      <c r="F30" s="146"/>
      <c r="G30" s="115"/>
    </row>
    <row r="31" spans="1:7" ht="15" customHeight="1" x14ac:dyDescent="0.2">
      <c r="A31" s="3" t="s">
        <v>294</v>
      </c>
      <c r="B31" s="141" t="s">
        <v>374</v>
      </c>
      <c r="C31" s="115"/>
      <c r="D31" s="115"/>
      <c r="E31" s="115"/>
      <c r="F31" s="115"/>
      <c r="G31" s="115"/>
    </row>
  </sheetData>
  <autoFilter ref="A12:G20" xr:uid="{00000000-0009-0000-0000-00000B000000}"/>
  <mergeCells count="11">
    <mergeCell ref="B10:G10"/>
    <mergeCell ref="A1:G1"/>
    <mergeCell ref="B28:G28"/>
    <mergeCell ref="B11:G11"/>
    <mergeCell ref="B31:G31"/>
    <mergeCell ref="B27:G27"/>
    <mergeCell ref="A24:G24"/>
    <mergeCell ref="A30:G30"/>
    <mergeCell ref="B26:G26"/>
    <mergeCell ref="A6:G9"/>
    <mergeCell ref="B25:G25"/>
  </mergeCells>
  <pageMargins left="0.7" right="0.7" top="0.75" bottom="0.75"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F6B78"/>
    <pageSetUpPr fitToPage="1"/>
  </sheetPr>
  <dimension ref="A1:J134"/>
  <sheetViews>
    <sheetView showGridLines="0" zoomScale="90" zoomScaleNormal="90" workbookViewId="0">
      <pane ySplit="1" topLeftCell="A2" activePane="bottomLeft" state="frozen"/>
      <selection pane="bottomLeft" activeCell="D73" sqref="D73"/>
    </sheetView>
  </sheetViews>
  <sheetFormatPr defaultColWidth="8.7109375" defaultRowHeight="15" customHeight="1" x14ac:dyDescent="0.2"/>
  <cols>
    <col min="1" max="1" width="12" customWidth="1"/>
    <col min="2" max="2" width="14" customWidth="1"/>
    <col min="3" max="3" width="22" customWidth="1"/>
    <col min="4" max="4" width="24" customWidth="1"/>
    <col min="5" max="5" width="28" customWidth="1"/>
    <col min="7" max="7" width="28" customWidth="1"/>
    <col min="8" max="10" width="18" customWidth="1"/>
  </cols>
  <sheetData>
    <row r="1" spans="1:10" ht="24" customHeight="1" x14ac:dyDescent="0.2">
      <c r="A1" s="67" t="s">
        <v>55</v>
      </c>
      <c r="B1" s="67" t="s">
        <v>56</v>
      </c>
      <c r="C1" s="67" t="s">
        <v>375</v>
      </c>
      <c r="D1" s="67" t="s">
        <v>376</v>
      </c>
      <c r="E1" s="67"/>
      <c r="F1" s="67"/>
      <c r="G1" s="67"/>
      <c r="H1" s="67"/>
    </row>
    <row r="2" spans="1:10" ht="15" customHeight="1" x14ac:dyDescent="0.2">
      <c r="A2" s="3">
        <v>2013</v>
      </c>
      <c r="B2" s="3" t="s">
        <v>85</v>
      </c>
      <c r="C2" s="12">
        <v>104.6</v>
      </c>
      <c r="D2" s="12">
        <v>104.6</v>
      </c>
      <c r="E2" s="10" t="s">
        <v>86</v>
      </c>
      <c r="G2" s="115"/>
      <c r="H2" s="115"/>
      <c r="I2" s="115"/>
      <c r="J2" s="115"/>
    </row>
    <row r="3" spans="1:10" ht="15" customHeight="1" x14ac:dyDescent="0.2">
      <c r="A3" s="3">
        <v>2013</v>
      </c>
      <c r="B3" s="3" t="s">
        <v>90</v>
      </c>
      <c r="C3" s="12">
        <v>105.3</v>
      </c>
      <c r="D3" s="12">
        <v>105.3</v>
      </c>
      <c r="G3" s="115"/>
      <c r="H3" s="115"/>
      <c r="I3" s="115"/>
      <c r="J3" s="115"/>
    </row>
    <row r="4" spans="1:10" ht="15" customHeight="1" x14ac:dyDescent="0.2">
      <c r="A4" s="3">
        <v>2013</v>
      </c>
      <c r="B4" s="3" t="s">
        <v>92</v>
      </c>
      <c r="C4" s="12">
        <v>105.5</v>
      </c>
      <c r="D4" s="12">
        <v>105.5</v>
      </c>
      <c r="G4" s="115"/>
      <c r="H4" s="115"/>
      <c r="I4" s="115"/>
      <c r="J4" s="115"/>
    </row>
    <row r="5" spans="1:10" ht="15" customHeight="1" x14ac:dyDescent="0.2">
      <c r="A5" s="3">
        <v>2013</v>
      </c>
      <c r="B5" s="3" t="s">
        <v>93</v>
      </c>
      <c r="C5" s="12">
        <v>106.1</v>
      </c>
      <c r="D5" s="12">
        <v>106.1</v>
      </c>
      <c r="G5" s="115"/>
      <c r="H5" s="115"/>
      <c r="I5" s="115"/>
      <c r="J5" s="115"/>
    </row>
    <row r="6" spans="1:10" ht="15" customHeight="1" x14ac:dyDescent="0.2">
      <c r="A6" s="3">
        <v>2013</v>
      </c>
      <c r="B6" s="3" t="s">
        <v>95</v>
      </c>
      <c r="C6" s="12">
        <v>106.9</v>
      </c>
      <c r="D6" s="12">
        <v>106.9</v>
      </c>
    </row>
    <row r="7" spans="1:10" ht="15" customHeight="1" x14ac:dyDescent="0.2">
      <c r="A7" s="3">
        <v>2013</v>
      </c>
      <c r="B7" s="3" t="s">
        <v>96</v>
      </c>
      <c r="C7" s="12">
        <v>109.3</v>
      </c>
      <c r="D7" s="12">
        <v>109.3</v>
      </c>
    </row>
    <row r="8" spans="1:10" ht="15" customHeight="1" x14ac:dyDescent="0.2">
      <c r="A8" s="3">
        <v>2013</v>
      </c>
      <c r="B8" s="3" t="s">
        <v>98</v>
      </c>
      <c r="C8" s="12">
        <v>111</v>
      </c>
      <c r="D8" s="12">
        <v>111</v>
      </c>
    </row>
    <row r="9" spans="1:10" ht="15" customHeight="1" x14ac:dyDescent="0.2">
      <c r="A9" s="3">
        <v>2013</v>
      </c>
      <c r="B9" s="3" t="s">
        <v>100</v>
      </c>
      <c r="C9" s="12">
        <v>112.4</v>
      </c>
      <c r="D9" s="12">
        <v>112.4</v>
      </c>
    </row>
    <row r="10" spans="1:10" ht="15" customHeight="1" x14ac:dyDescent="0.2">
      <c r="A10" s="3">
        <v>2013</v>
      </c>
      <c r="B10" s="3" t="s">
        <v>102</v>
      </c>
      <c r="C10" s="12">
        <v>113.7</v>
      </c>
      <c r="D10" s="12">
        <v>113.7</v>
      </c>
    </row>
    <row r="11" spans="1:10" ht="15" customHeight="1" x14ac:dyDescent="0.2">
      <c r="A11" s="3">
        <v>2013</v>
      </c>
      <c r="B11" s="3" t="s">
        <v>104</v>
      </c>
      <c r="C11" s="12">
        <v>114.8</v>
      </c>
      <c r="D11" s="12">
        <v>114.8</v>
      </c>
    </row>
    <row r="12" spans="1:10" ht="15" customHeight="1" x14ac:dyDescent="0.2">
      <c r="A12" s="3">
        <v>2013</v>
      </c>
      <c r="B12" s="3" t="s">
        <v>107</v>
      </c>
      <c r="C12" s="12">
        <v>116.3</v>
      </c>
      <c r="D12" s="12">
        <v>116.3</v>
      </c>
    </row>
    <row r="13" spans="1:10" ht="15" customHeight="1" x14ac:dyDescent="0.2">
      <c r="A13" s="3">
        <v>2013</v>
      </c>
      <c r="B13" s="3" t="s">
        <v>109</v>
      </c>
      <c r="C13" s="12">
        <v>114.5</v>
      </c>
      <c r="D13" s="12">
        <v>114.5</v>
      </c>
    </row>
    <row r="14" spans="1:10" ht="15" customHeight="1" x14ac:dyDescent="0.2">
      <c r="A14" s="3">
        <v>2014</v>
      </c>
      <c r="B14" s="3" t="s">
        <v>85</v>
      </c>
      <c r="C14" s="12">
        <v>113.6</v>
      </c>
      <c r="D14" s="12">
        <v>113.6</v>
      </c>
    </row>
    <row r="15" spans="1:10" ht="15" customHeight="1" x14ac:dyDescent="0.2">
      <c r="A15" s="3">
        <v>2014</v>
      </c>
      <c r="B15" s="3" t="s">
        <v>90</v>
      </c>
      <c r="C15" s="12">
        <v>113.6</v>
      </c>
      <c r="D15" s="12">
        <v>113.6</v>
      </c>
    </row>
    <row r="16" spans="1:10" ht="15" customHeight="1" x14ac:dyDescent="0.2">
      <c r="A16" s="3">
        <v>2014</v>
      </c>
      <c r="B16" s="3" t="s">
        <v>92</v>
      </c>
      <c r="C16" s="12">
        <v>114.2</v>
      </c>
      <c r="D16" s="12">
        <v>114.2</v>
      </c>
    </row>
    <row r="17" spans="1:4" ht="15" customHeight="1" x14ac:dyDescent="0.2">
      <c r="A17" s="3">
        <v>2014</v>
      </c>
      <c r="B17" s="3" t="s">
        <v>93</v>
      </c>
      <c r="C17" s="12">
        <v>115.1</v>
      </c>
      <c r="D17" s="12">
        <v>115.1</v>
      </c>
    </row>
    <row r="18" spans="1:4" ht="15" customHeight="1" x14ac:dyDescent="0.2">
      <c r="A18" s="3">
        <v>2014</v>
      </c>
      <c r="B18" s="3" t="s">
        <v>95</v>
      </c>
      <c r="C18" s="12">
        <v>115.8</v>
      </c>
      <c r="D18" s="12">
        <v>115.8</v>
      </c>
    </row>
    <row r="19" spans="1:4" ht="15" customHeight="1" x14ac:dyDescent="0.2">
      <c r="A19" s="3">
        <v>2014</v>
      </c>
      <c r="B19" s="3" t="s">
        <v>96</v>
      </c>
      <c r="C19" s="12">
        <v>116.7</v>
      </c>
      <c r="D19" s="12">
        <v>116.7</v>
      </c>
    </row>
    <row r="20" spans="1:4" ht="15" customHeight="1" x14ac:dyDescent="0.2">
      <c r="A20" s="3">
        <v>2014</v>
      </c>
      <c r="B20" s="3" t="s">
        <v>98</v>
      </c>
      <c r="C20" s="12">
        <v>119.2</v>
      </c>
      <c r="D20" s="12">
        <v>119.2</v>
      </c>
    </row>
    <row r="21" spans="1:4" ht="15" customHeight="1" x14ac:dyDescent="0.2">
      <c r="A21" s="3">
        <v>2014</v>
      </c>
      <c r="B21" s="3" t="s">
        <v>100</v>
      </c>
      <c r="C21" s="12">
        <v>120.3</v>
      </c>
      <c r="D21" s="12">
        <v>120.3</v>
      </c>
    </row>
    <row r="22" spans="1:4" ht="15" customHeight="1" x14ac:dyDescent="0.2">
      <c r="A22" s="3">
        <v>2014</v>
      </c>
      <c r="B22" s="3" t="s">
        <v>102</v>
      </c>
      <c r="C22" s="12">
        <v>120.1</v>
      </c>
      <c r="D22" s="12">
        <v>120.1</v>
      </c>
    </row>
    <row r="23" spans="1:4" ht="15" customHeight="1" x14ac:dyDescent="0.2">
      <c r="A23" s="3">
        <v>2014</v>
      </c>
      <c r="B23" s="3" t="s">
        <v>104</v>
      </c>
      <c r="C23" s="12">
        <v>120.1</v>
      </c>
      <c r="D23" s="12">
        <v>120.1</v>
      </c>
    </row>
    <row r="24" spans="1:4" ht="15" customHeight="1" x14ac:dyDescent="0.2">
      <c r="A24" s="3">
        <v>2014</v>
      </c>
      <c r="B24" s="3" t="s">
        <v>107</v>
      </c>
      <c r="C24" s="12">
        <v>120.1</v>
      </c>
      <c r="D24" s="12">
        <v>120.1</v>
      </c>
    </row>
    <row r="25" spans="1:4" ht="15" customHeight="1" x14ac:dyDescent="0.2">
      <c r="A25" s="3">
        <v>2014</v>
      </c>
      <c r="B25" s="3" t="s">
        <v>109</v>
      </c>
      <c r="C25" s="12">
        <v>119.4</v>
      </c>
      <c r="D25" s="12">
        <v>119.4</v>
      </c>
    </row>
    <row r="26" spans="1:4" ht="15" customHeight="1" x14ac:dyDescent="0.2">
      <c r="A26" s="3">
        <v>2015</v>
      </c>
      <c r="B26" s="3" t="s">
        <v>85</v>
      </c>
      <c r="C26" s="12">
        <v>119.5</v>
      </c>
      <c r="D26" s="12">
        <v>119.5</v>
      </c>
    </row>
    <row r="27" spans="1:4" ht="15" customHeight="1" x14ac:dyDescent="0.2">
      <c r="A27" s="3">
        <v>2015</v>
      </c>
      <c r="B27" s="3" t="s">
        <v>90</v>
      </c>
      <c r="C27" s="12">
        <v>119.7</v>
      </c>
      <c r="D27" s="12">
        <v>119.7</v>
      </c>
    </row>
    <row r="28" spans="1:4" ht="15" customHeight="1" x14ac:dyDescent="0.2">
      <c r="A28" s="3">
        <v>2015</v>
      </c>
      <c r="B28" s="3" t="s">
        <v>92</v>
      </c>
      <c r="C28" s="12">
        <v>120.2</v>
      </c>
      <c r="D28" s="12">
        <v>120.2</v>
      </c>
    </row>
    <row r="29" spans="1:4" ht="15" customHeight="1" x14ac:dyDescent="0.2">
      <c r="A29" s="3">
        <v>2015</v>
      </c>
      <c r="B29" s="3" t="s">
        <v>93</v>
      </c>
      <c r="C29" s="12">
        <v>120.7</v>
      </c>
      <c r="D29" s="12">
        <v>120.7</v>
      </c>
    </row>
    <row r="30" spans="1:4" ht="15" customHeight="1" x14ac:dyDescent="0.2">
      <c r="A30" s="3">
        <v>2015</v>
      </c>
      <c r="B30" s="3" t="s">
        <v>95</v>
      </c>
      <c r="C30" s="12">
        <v>121.6</v>
      </c>
      <c r="D30" s="12">
        <v>121.6</v>
      </c>
    </row>
    <row r="31" spans="1:4" ht="15" customHeight="1" x14ac:dyDescent="0.2">
      <c r="A31" s="3">
        <v>2015</v>
      </c>
      <c r="B31" s="3" t="s">
        <v>96</v>
      </c>
      <c r="C31" s="12">
        <v>123</v>
      </c>
      <c r="D31" s="12">
        <v>123</v>
      </c>
    </row>
    <row r="32" spans="1:4" ht="15" customHeight="1" x14ac:dyDescent="0.2">
      <c r="A32" s="3">
        <v>2015</v>
      </c>
      <c r="B32" s="3" t="s">
        <v>98</v>
      </c>
      <c r="C32" s="12">
        <v>123.6</v>
      </c>
      <c r="D32" s="12">
        <v>123.6</v>
      </c>
    </row>
    <row r="33" spans="1:4" ht="15" customHeight="1" x14ac:dyDescent="0.2">
      <c r="A33" s="3">
        <v>2015</v>
      </c>
      <c r="B33" s="3" t="s">
        <v>100</v>
      </c>
      <c r="C33" s="12">
        <v>124.8</v>
      </c>
      <c r="D33" s="12">
        <v>124.8</v>
      </c>
    </row>
    <row r="34" spans="1:4" ht="15" customHeight="1" x14ac:dyDescent="0.2">
      <c r="A34" s="3">
        <v>2015</v>
      </c>
      <c r="B34" s="3" t="s">
        <v>102</v>
      </c>
      <c r="C34" s="12">
        <v>125.4</v>
      </c>
      <c r="D34" s="12">
        <v>125.4</v>
      </c>
    </row>
    <row r="35" spans="1:4" ht="15" customHeight="1" x14ac:dyDescent="0.2">
      <c r="A35" s="3">
        <v>2015</v>
      </c>
      <c r="B35" s="3" t="s">
        <v>104</v>
      </c>
      <c r="C35" s="12">
        <v>126.1</v>
      </c>
      <c r="D35" s="12">
        <v>126.1</v>
      </c>
    </row>
    <row r="36" spans="1:4" ht="15" customHeight="1" x14ac:dyDescent="0.2">
      <c r="A36" s="3">
        <v>2015</v>
      </c>
      <c r="B36" s="3" t="s">
        <v>107</v>
      </c>
      <c r="C36" s="12">
        <v>126.6</v>
      </c>
      <c r="D36" s="12">
        <v>126.6</v>
      </c>
    </row>
    <row r="37" spans="1:4" ht="15" customHeight="1" x14ac:dyDescent="0.2">
      <c r="A37" s="3">
        <v>2015</v>
      </c>
      <c r="B37" s="3" t="s">
        <v>109</v>
      </c>
      <c r="C37" s="12">
        <v>126.1</v>
      </c>
      <c r="D37" s="12">
        <v>126.1</v>
      </c>
    </row>
    <row r="38" spans="1:4" ht="15" customHeight="1" x14ac:dyDescent="0.2">
      <c r="A38" s="3">
        <v>2016</v>
      </c>
      <c r="B38" s="3" t="s">
        <v>85</v>
      </c>
      <c r="C38" s="12">
        <v>126.3</v>
      </c>
      <c r="D38" s="12">
        <v>126.3</v>
      </c>
    </row>
    <row r="39" spans="1:4" ht="15" customHeight="1" x14ac:dyDescent="0.2">
      <c r="A39" s="3">
        <v>2016</v>
      </c>
      <c r="B39" s="3" t="s">
        <v>90</v>
      </c>
      <c r="C39" s="12">
        <v>126</v>
      </c>
      <c r="D39" s="12">
        <v>126</v>
      </c>
    </row>
    <row r="40" spans="1:4" ht="15" customHeight="1" x14ac:dyDescent="0.2">
      <c r="A40" s="3">
        <v>2016</v>
      </c>
      <c r="B40" s="3" t="s">
        <v>92</v>
      </c>
      <c r="C40" s="12">
        <v>126</v>
      </c>
      <c r="D40" s="12">
        <v>126</v>
      </c>
    </row>
    <row r="41" spans="1:4" ht="15" customHeight="1" x14ac:dyDescent="0.2">
      <c r="A41" s="3">
        <v>2016</v>
      </c>
      <c r="B41" s="3" t="s">
        <v>93</v>
      </c>
      <c r="C41" s="12">
        <v>127.3</v>
      </c>
      <c r="D41" s="12">
        <v>127.3</v>
      </c>
    </row>
    <row r="42" spans="1:4" ht="15" customHeight="1" x14ac:dyDescent="0.2">
      <c r="A42" s="3">
        <v>2016</v>
      </c>
      <c r="B42" s="3" t="s">
        <v>95</v>
      </c>
      <c r="C42" s="12">
        <v>128.6</v>
      </c>
      <c r="D42" s="12">
        <v>128.6</v>
      </c>
    </row>
    <row r="43" spans="1:4" ht="15" customHeight="1" x14ac:dyDescent="0.2">
      <c r="A43" s="3">
        <v>2016</v>
      </c>
      <c r="B43" s="3" t="s">
        <v>96</v>
      </c>
      <c r="C43" s="12">
        <v>130.1</v>
      </c>
      <c r="D43" s="12">
        <v>130.1</v>
      </c>
    </row>
    <row r="44" spans="1:4" ht="15" customHeight="1" x14ac:dyDescent="0.2">
      <c r="A44" s="3">
        <v>2016</v>
      </c>
      <c r="B44" s="3" t="s">
        <v>98</v>
      </c>
      <c r="C44" s="12">
        <v>131.1</v>
      </c>
      <c r="D44" s="12">
        <v>131.1</v>
      </c>
    </row>
    <row r="45" spans="1:4" ht="15" customHeight="1" x14ac:dyDescent="0.2">
      <c r="A45" s="3">
        <v>2016</v>
      </c>
      <c r="B45" s="3" t="s">
        <v>100</v>
      </c>
      <c r="C45" s="12">
        <v>131.1</v>
      </c>
      <c r="D45" s="12">
        <v>131.1</v>
      </c>
    </row>
    <row r="46" spans="1:4" ht="15" customHeight="1" x14ac:dyDescent="0.2">
      <c r="A46" s="3">
        <v>2016</v>
      </c>
      <c r="B46" s="3" t="s">
        <v>102</v>
      </c>
      <c r="C46" s="12">
        <v>130.9</v>
      </c>
      <c r="D46" s="12">
        <v>130.9</v>
      </c>
    </row>
    <row r="47" spans="1:4" ht="15" customHeight="1" x14ac:dyDescent="0.2">
      <c r="A47" s="3">
        <v>2016</v>
      </c>
      <c r="B47" s="3" t="s">
        <v>104</v>
      </c>
      <c r="C47" s="12">
        <v>131.4</v>
      </c>
      <c r="D47" s="12">
        <v>131.4</v>
      </c>
    </row>
    <row r="48" spans="1:4" ht="15" customHeight="1" x14ac:dyDescent="0.2">
      <c r="A48" s="3">
        <v>2016</v>
      </c>
      <c r="B48" s="3" t="s">
        <v>107</v>
      </c>
      <c r="C48" s="12">
        <v>131.19999999999999</v>
      </c>
      <c r="D48" s="12">
        <v>131.19999999999999</v>
      </c>
    </row>
    <row r="49" spans="1:4" ht="15" customHeight="1" x14ac:dyDescent="0.2">
      <c r="A49" s="3">
        <v>2016</v>
      </c>
      <c r="B49" s="3" t="s">
        <v>109</v>
      </c>
      <c r="C49" s="12">
        <v>130.4</v>
      </c>
      <c r="D49" s="12">
        <v>130.4</v>
      </c>
    </row>
    <row r="50" spans="1:4" ht="15" customHeight="1" x14ac:dyDescent="0.2">
      <c r="A50" s="3">
        <v>2017</v>
      </c>
      <c r="B50" s="3" t="s">
        <v>85</v>
      </c>
      <c r="C50" s="12">
        <v>130.30000000000001</v>
      </c>
      <c r="D50" s="12">
        <v>130.30000000000001</v>
      </c>
    </row>
    <row r="51" spans="1:4" ht="15" customHeight="1" x14ac:dyDescent="0.2">
      <c r="A51" s="3">
        <v>2017</v>
      </c>
      <c r="B51" s="3" t="s">
        <v>90</v>
      </c>
      <c r="C51" s="12">
        <v>130.6</v>
      </c>
      <c r="D51" s="12">
        <v>130.6</v>
      </c>
    </row>
    <row r="52" spans="1:4" ht="15" customHeight="1" x14ac:dyDescent="0.2">
      <c r="A52" s="3">
        <v>2017</v>
      </c>
      <c r="B52" s="3" t="s">
        <v>92</v>
      </c>
      <c r="C52" s="12">
        <v>130.9</v>
      </c>
      <c r="D52" s="12">
        <v>130.9</v>
      </c>
    </row>
    <row r="53" spans="1:4" ht="15" customHeight="1" x14ac:dyDescent="0.2">
      <c r="A53" s="3">
        <v>2017</v>
      </c>
      <c r="B53" s="3" t="s">
        <v>93</v>
      </c>
      <c r="C53" s="12">
        <v>131.1</v>
      </c>
      <c r="D53" s="12">
        <v>131.1</v>
      </c>
    </row>
    <row r="54" spans="1:4" ht="15" customHeight="1" x14ac:dyDescent="0.2">
      <c r="A54" s="3">
        <v>2017</v>
      </c>
      <c r="B54" s="3" t="s">
        <v>95</v>
      </c>
      <c r="C54" s="12">
        <v>131.4</v>
      </c>
      <c r="D54" s="12">
        <v>131.4</v>
      </c>
    </row>
    <row r="55" spans="1:4" ht="15" customHeight="1" x14ac:dyDescent="0.2">
      <c r="A55" s="3">
        <v>2017</v>
      </c>
      <c r="B55" s="3" t="s">
        <v>96</v>
      </c>
      <c r="C55" s="12">
        <v>132</v>
      </c>
      <c r="D55" s="12">
        <v>132</v>
      </c>
    </row>
    <row r="56" spans="1:4" ht="15" customHeight="1" x14ac:dyDescent="0.2">
      <c r="A56" s="3">
        <v>2017</v>
      </c>
      <c r="B56" s="3" t="s">
        <v>98</v>
      </c>
      <c r="C56" s="12">
        <v>134.19999999999999</v>
      </c>
      <c r="D56" s="12">
        <v>134.19999999999999</v>
      </c>
    </row>
    <row r="57" spans="1:4" ht="15" customHeight="1" x14ac:dyDescent="0.2">
      <c r="A57" s="3">
        <v>2017</v>
      </c>
      <c r="B57" s="3" t="s">
        <v>100</v>
      </c>
      <c r="C57" s="12">
        <v>135.4</v>
      </c>
      <c r="D57" s="12">
        <v>135.4</v>
      </c>
    </row>
    <row r="58" spans="1:4" ht="15" customHeight="1" x14ac:dyDescent="0.2">
      <c r="A58" s="3">
        <v>2017</v>
      </c>
      <c r="B58" s="3" t="s">
        <v>102</v>
      </c>
      <c r="C58" s="12">
        <v>135.19999999999999</v>
      </c>
      <c r="D58" s="12">
        <v>135.19999999999999</v>
      </c>
    </row>
    <row r="59" spans="1:4" ht="15" customHeight="1" x14ac:dyDescent="0.2">
      <c r="A59" s="3">
        <v>2017</v>
      </c>
      <c r="B59" s="3" t="s">
        <v>104</v>
      </c>
      <c r="C59" s="12">
        <v>136.1</v>
      </c>
      <c r="D59" s="12">
        <v>136.1</v>
      </c>
    </row>
    <row r="60" spans="1:4" ht="15" customHeight="1" x14ac:dyDescent="0.2">
      <c r="A60" s="3">
        <v>2017</v>
      </c>
      <c r="B60" s="3" t="s">
        <v>107</v>
      </c>
      <c r="C60" s="12">
        <v>137.6</v>
      </c>
      <c r="D60" s="12">
        <v>137.6</v>
      </c>
    </row>
    <row r="61" spans="1:4" ht="15" customHeight="1" x14ac:dyDescent="0.2">
      <c r="A61" s="3">
        <v>2017</v>
      </c>
      <c r="B61" s="3" t="s">
        <v>109</v>
      </c>
      <c r="C61" s="12">
        <v>137.19999999999999</v>
      </c>
      <c r="D61" s="12">
        <v>137.19999999999999</v>
      </c>
    </row>
    <row r="62" spans="1:4" ht="15" customHeight="1" x14ac:dyDescent="0.2">
      <c r="A62" s="3">
        <v>2018</v>
      </c>
      <c r="B62" s="3" t="s">
        <v>85</v>
      </c>
      <c r="C62" s="12">
        <v>136.9</v>
      </c>
      <c r="D62" s="12">
        <v>136.9</v>
      </c>
    </row>
    <row r="63" spans="1:4" ht="15" customHeight="1" x14ac:dyDescent="0.2">
      <c r="A63" s="3">
        <v>2018</v>
      </c>
      <c r="B63" s="3" t="s">
        <v>90</v>
      </c>
      <c r="C63" s="12">
        <v>136.4</v>
      </c>
      <c r="D63" s="12">
        <v>136.4</v>
      </c>
    </row>
    <row r="64" spans="1:4" ht="15" customHeight="1" x14ac:dyDescent="0.2">
      <c r="A64" s="3">
        <v>2018</v>
      </c>
      <c r="B64" s="3" t="s">
        <v>92</v>
      </c>
      <c r="C64" s="12">
        <v>136.5</v>
      </c>
      <c r="D64" s="12">
        <v>136.5</v>
      </c>
    </row>
    <row r="65" spans="1:4" ht="15" customHeight="1" x14ac:dyDescent="0.2">
      <c r="A65" s="3">
        <v>2018</v>
      </c>
      <c r="B65" s="3" t="s">
        <v>93</v>
      </c>
      <c r="C65" s="12">
        <v>137.1</v>
      </c>
      <c r="D65" s="12">
        <v>137.1</v>
      </c>
    </row>
    <row r="66" spans="1:4" ht="15" customHeight="1" x14ac:dyDescent="0.2">
      <c r="A66" s="3">
        <v>2018</v>
      </c>
      <c r="B66" s="3" t="s">
        <v>95</v>
      </c>
      <c r="C66" s="12">
        <v>137.80000000000001</v>
      </c>
      <c r="D66" s="12">
        <v>137.80000000000001</v>
      </c>
    </row>
    <row r="67" spans="1:4" ht="15" customHeight="1" x14ac:dyDescent="0.2">
      <c r="A67" s="3">
        <v>2018</v>
      </c>
      <c r="B67" s="3" t="s">
        <v>96</v>
      </c>
      <c r="C67" s="12">
        <v>138.5</v>
      </c>
      <c r="D67" s="12">
        <v>138.5</v>
      </c>
    </row>
    <row r="68" spans="1:4" ht="15" customHeight="1" x14ac:dyDescent="0.2">
      <c r="A68" s="3">
        <v>2018</v>
      </c>
      <c r="B68" s="3" t="s">
        <v>98</v>
      </c>
      <c r="C68" s="12">
        <v>139.80000000000001</v>
      </c>
      <c r="D68" s="12">
        <v>139.80000000000001</v>
      </c>
    </row>
    <row r="69" spans="1:4" ht="15" customHeight="1" x14ac:dyDescent="0.2">
      <c r="A69" s="3">
        <v>2018</v>
      </c>
      <c r="B69" s="3" t="s">
        <v>100</v>
      </c>
      <c r="C69" s="12">
        <v>140.4</v>
      </c>
      <c r="D69" s="12">
        <v>140.4</v>
      </c>
    </row>
    <row r="70" spans="1:4" ht="15" customHeight="1" x14ac:dyDescent="0.2">
      <c r="A70" s="3">
        <v>2018</v>
      </c>
      <c r="B70" s="3" t="s">
        <v>102</v>
      </c>
      <c r="C70" s="12">
        <v>140.19999999999999</v>
      </c>
      <c r="D70" s="12">
        <v>140.19999999999999</v>
      </c>
    </row>
    <row r="71" spans="1:4" ht="15" customHeight="1" x14ac:dyDescent="0.2">
      <c r="A71" s="3">
        <v>2018</v>
      </c>
      <c r="B71" s="3" t="s">
        <v>104</v>
      </c>
      <c r="C71" s="12">
        <v>140.80000000000001</v>
      </c>
      <c r="D71" s="12">
        <v>140.80000000000001</v>
      </c>
    </row>
    <row r="72" spans="1:4" ht="15" customHeight="1" x14ac:dyDescent="0.2">
      <c r="A72" s="3">
        <v>2018</v>
      </c>
      <c r="B72" s="3" t="s">
        <v>107</v>
      </c>
      <c r="C72" s="12">
        <v>140.80000000000001</v>
      </c>
      <c r="D72" s="12">
        <v>140.80000000000001</v>
      </c>
    </row>
    <row r="73" spans="1:4" ht="15" customHeight="1" x14ac:dyDescent="0.2">
      <c r="A73" s="3">
        <v>2018</v>
      </c>
      <c r="B73" s="3" t="s">
        <v>109</v>
      </c>
      <c r="C73" s="12">
        <v>140.1</v>
      </c>
      <c r="D73" s="12">
        <v>140.1</v>
      </c>
    </row>
    <row r="74" spans="1:4" ht="15" customHeight="1" x14ac:dyDescent="0.2">
      <c r="A74" s="3">
        <v>2019</v>
      </c>
      <c r="B74" s="3" t="s">
        <v>85</v>
      </c>
      <c r="C74" s="12">
        <v>139.6</v>
      </c>
      <c r="D74" s="12">
        <v>139.6</v>
      </c>
    </row>
    <row r="75" spans="1:4" ht="15" customHeight="1" x14ac:dyDescent="0.2">
      <c r="A75" s="3">
        <v>2019</v>
      </c>
      <c r="B75" s="3" t="s">
        <v>90</v>
      </c>
      <c r="C75" s="12">
        <v>139.9</v>
      </c>
      <c r="D75" s="12">
        <v>139.9</v>
      </c>
    </row>
    <row r="76" spans="1:4" ht="15" customHeight="1" x14ac:dyDescent="0.2">
      <c r="A76" s="3">
        <v>2019</v>
      </c>
      <c r="B76" s="3" t="s">
        <v>92</v>
      </c>
      <c r="C76" s="12">
        <v>140.4</v>
      </c>
      <c r="D76" s="12">
        <v>140.4</v>
      </c>
    </row>
    <row r="77" spans="1:4" ht="15" customHeight="1" x14ac:dyDescent="0.25">
      <c r="A77" s="62">
        <v>2019</v>
      </c>
      <c r="B77" s="62" t="s">
        <v>93</v>
      </c>
      <c r="C77" s="63"/>
      <c r="D77" s="64">
        <v>141.19999999999999</v>
      </c>
    </row>
    <row r="78" spans="1:4" ht="15" customHeight="1" x14ac:dyDescent="0.2">
      <c r="A78" s="3">
        <v>2019</v>
      </c>
      <c r="B78" s="3" t="s">
        <v>95</v>
      </c>
      <c r="C78" s="12">
        <v>142</v>
      </c>
      <c r="D78" s="12">
        <v>142</v>
      </c>
    </row>
    <row r="79" spans="1:4" ht="15" customHeight="1" x14ac:dyDescent="0.2">
      <c r="A79" s="3">
        <v>2019</v>
      </c>
      <c r="B79" s="3" t="s">
        <v>96</v>
      </c>
      <c r="C79" s="12">
        <v>142.9</v>
      </c>
      <c r="D79" s="12">
        <v>142.9</v>
      </c>
    </row>
    <row r="80" spans="1:4" ht="15" customHeight="1" x14ac:dyDescent="0.2">
      <c r="A80" s="3">
        <v>2019</v>
      </c>
      <c r="B80" s="3" t="s">
        <v>98</v>
      </c>
      <c r="C80" s="12">
        <v>144.19999999999999</v>
      </c>
      <c r="D80" s="12">
        <v>144.19999999999999</v>
      </c>
    </row>
    <row r="81" spans="1:4" ht="15" customHeight="1" x14ac:dyDescent="0.2">
      <c r="A81" s="3">
        <v>2019</v>
      </c>
      <c r="B81" s="3" t="s">
        <v>100</v>
      </c>
      <c r="C81" s="12">
        <v>145</v>
      </c>
      <c r="D81" s="12">
        <v>145</v>
      </c>
    </row>
    <row r="82" spans="1:4" ht="15" customHeight="1" x14ac:dyDescent="0.2">
      <c r="A82" s="3">
        <v>2019</v>
      </c>
      <c r="B82" s="3" t="s">
        <v>102</v>
      </c>
      <c r="C82" s="12">
        <v>145.80000000000001</v>
      </c>
      <c r="D82" s="12">
        <v>145.80000000000001</v>
      </c>
    </row>
    <row r="83" spans="1:4" ht="15" customHeight="1" x14ac:dyDescent="0.2">
      <c r="A83" s="3">
        <v>2019</v>
      </c>
      <c r="B83" s="3" t="s">
        <v>104</v>
      </c>
      <c r="C83" s="12">
        <v>147.19999999999999</v>
      </c>
      <c r="D83" s="12">
        <v>147.19999999999999</v>
      </c>
    </row>
    <row r="84" spans="1:4" ht="15" customHeight="1" x14ac:dyDescent="0.2">
      <c r="A84" s="3">
        <v>2019</v>
      </c>
      <c r="B84" s="3" t="s">
        <v>107</v>
      </c>
      <c r="C84" s="12">
        <v>148.6</v>
      </c>
      <c r="D84" s="12">
        <v>148.6</v>
      </c>
    </row>
    <row r="85" spans="1:4" ht="15" customHeight="1" x14ac:dyDescent="0.2">
      <c r="A85" s="3">
        <v>2019</v>
      </c>
      <c r="B85" s="3" t="s">
        <v>109</v>
      </c>
      <c r="C85" s="12">
        <v>150.4</v>
      </c>
      <c r="D85" s="12">
        <v>150.4</v>
      </c>
    </row>
    <row r="86" spans="1:4" ht="15" customHeight="1" x14ac:dyDescent="0.2">
      <c r="A86" s="3">
        <v>2020</v>
      </c>
      <c r="B86" s="3" t="s">
        <v>85</v>
      </c>
      <c r="C86" s="12">
        <v>150.19999999999999</v>
      </c>
      <c r="D86" s="12">
        <v>150.19999999999999</v>
      </c>
    </row>
    <row r="87" spans="1:4" ht="15" customHeight="1" x14ac:dyDescent="0.2">
      <c r="A87" s="3">
        <v>2020</v>
      </c>
      <c r="B87" s="3" t="s">
        <v>90</v>
      </c>
      <c r="C87" s="12">
        <v>149.1</v>
      </c>
      <c r="D87" s="12">
        <v>149.1</v>
      </c>
    </row>
    <row r="88" spans="1:4" ht="15" customHeight="1" x14ac:dyDescent="0.2">
      <c r="A88" s="3">
        <v>2020</v>
      </c>
      <c r="B88" s="3" t="s">
        <v>92</v>
      </c>
      <c r="C88" s="12">
        <v>148.6</v>
      </c>
      <c r="D88" s="12">
        <v>148.6</v>
      </c>
    </row>
    <row r="89" spans="1:4" ht="15" customHeight="1" x14ac:dyDescent="0.25">
      <c r="A89" s="62">
        <v>2020</v>
      </c>
      <c r="B89" s="62" t="s">
        <v>93</v>
      </c>
      <c r="C89" s="63"/>
      <c r="D89" s="64">
        <v>149.666666666667</v>
      </c>
    </row>
    <row r="90" spans="1:4" ht="15" customHeight="1" x14ac:dyDescent="0.25">
      <c r="A90" s="62">
        <v>2020</v>
      </c>
      <c r="B90" s="62" t="s">
        <v>95</v>
      </c>
      <c r="C90" s="63"/>
      <c r="D90" s="64">
        <v>150.73333333333301</v>
      </c>
    </row>
    <row r="91" spans="1:4" ht="15" customHeight="1" x14ac:dyDescent="0.2">
      <c r="A91" s="3">
        <v>2020</v>
      </c>
      <c r="B91" s="3" t="s">
        <v>96</v>
      </c>
      <c r="C91" s="12">
        <v>151.80000000000001</v>
      </c>
      <c r="D91" s="12">
        <v>151.80000000000001</v>
      </c>
    </row>
    <row r="92" spans="1:4" ht="15" customHeight="1" x14ac:dyDescent="0.2">
      <c r="A92" s="3">
        <v>2020</v>
      </c>
      <c r="B92" s="3" t="s">
        <v>98</v>
      </c>
      <c r="C92" s="12">
        <v>151.80000000000001</v>
      </c>
      <c r="D92" s="12">
        <v>151.80000000000001</v>
      </c>
    </row>
    <row r="93" spans="1:4" ht="15" customHeight="1" x14ac:dyDescent="0.2">
      <c r="A93" s="3">
        <v>2020</v>
      </c>
      <c r="B93" s="3" t="s">
        <v>100</v>
      </c>
      <c r="C93" s="12">
        <v>153.9</v>
      </c>
      <c r="D93" s="12">
        <v>153.9</v>
      </c>
    </row>
    <row r="94" spans="1:4" ht="15" customHeight="1" x14ac:dyDescent="0.2">
      <c r="A94" s="3">
        <v>2020</v>
      </c>
      <c r="B94" s="3" t="s">
        <v>102</v>
      </c>
      <c r="C94" s="12">
        <v>154.69999999999999</v>
      </c>
      <c r="D94" s="12">
        <v>154.69999999999999</v>
      </c>
    </row>
    <row r="95" spans="1:4" ht="15" customHeight="1" x14ac:dyDescent="0.2">
      <c r="A95" s="3">
        <v>2020</v>
      </c>
      <c r="B95" s="3" t="s">
        <v>104</v>
      </c>
      <c r="C95" s="12">
        <v>156.4</v>
      </c>
      <c r="D95" s="12">
        <v>156.4</v>
      </c>
    </row>
    <row r="96" spans="1:4" ht="15" customHeight="1" x14ac:dyDescent="0.2">
      <c r="A96" s="3">
        <v>2020</v>
      </c>
      <c r="B96" s="3" t="s">
        <v>107</v>
      </c>
      <c r="C96" s="12">
        <v>158.4</v>
      </c>
      <c r="D96" s="12">
        <v>158.4</v>
      </c>
    </row>
    <row r="97" spans="1:4" ht="15" customHeight="1" x14ac:dyDescent="0.2">
      <c r="A97" s="3">
        <v>2020</v>
      </c>
      <c r="B97" s="3" t="s">
        <v>109</v>
      </c>
      <c r="C97" s="12">
        <v>158.9</v>
      </c>
      <c r="D97" s="12">
        <v>158.9</v>
      </c>
    </row>
    <row r="98" spans="1:4" ht="15" customHeight="1" x14ac:dyDescent="0.2">
      <c r="A98" s="3">
        <v>2021</v>
      </c>
      <c r="B98" s="3" t="s">
        <v>85</v>
      </c>
      <c r="C98" s="12">
        <v>157.30000000000001</v>
      </c>
      <c r="D98" s="12">
        <v>157.30000000000001</v>
      </c>
    </row>
    <row r="99" spans="1:4" ht="15" customHeight="1" x14ac:dyDescent="0.2">
      <c r="A99" s="3">
        <v>2021</v>
      </c>
      <c r="B99" s="3" t="s">
        <v>90</v>
      </c>
      <c r="C99" s="12">
        <v>156.6</v>
      </c>
      <c r="D99" s="12">
        <v>156.6</v>
      </c>
    </row>
    <row r="100" spans="1:4" ht="15" customHeight="1" x14ac:dyDescent="0.2">
      <c r="A100" s="3">
        <v>2021</v>
      </c>
      <c r="B100" s="3" t="s">
        <v>92</v>
      </c>
      <c r="C100" s="12">
        <v>156.80000000000001</v>
      </c>
      <c r="D100" s="12">
        <v>156.80000000000001</v>
      </c>
    </row>
    <row r="101" spans="1:4" ht="15" customHeight="1" x14ac:dyDescent="0.2">
      <c r="A101" s="3">
        <v>2021</v>
      </c>
      <c r="B101" s="3" t="s">
        <v>93</v>
      </c>
      <c r="C101" s="12">
        <v>157.80000000000001</v>
      </c>
      <c r="D101" s="12">
        <v>157.80000000000001</v>
      </c>
    </row>
    <row r="102" spans="1:4" ht="15" customHeight="1" x14ac:dyDescent="0.2">
      <c r="A102" s="3">
        <v>2021</v>
      </c>
      <c r="B102" s="3" t="s">
        <v>95</v>
      </c>
      <c r="C102" s="12">
        <v>160.4</v>
      </c>
      <c r="D102" s="12">
        <v>160.4</v>
      </c>
    </row>
    <row r="103" spans="1:4" ht="15" customHeight="1" x14ac:dyDescent="0.2">
      <c r="A103" s="3">
        <v>2021</v>
      </c>
      <c r="B103" s="3" t="s">
        <v>96</v>
      </c>
      <c r="C103" s="12">
        <v>161.30000000000001</v>
      </c>
      <c r="D103" s="12">
        <v>161.30000000000001</v>
      </c>
    </row>
    <row r="104" spans="1:4" ht="15" customHeight="1" x14ac:dyDescent="0.2">
      <c r="A104" s="3">
        <v>2021</v>
      </c>
      <c r="B104" s="3" t="s">
        <v>98</v>
      </c>
      <c r="C104" s="12">
        <v>162.5</v>
      </c>
      <c r="D104" s="12">
        <v>162.5</v>
      </c>
    </row>
    <row r="105" spans="1:4" ht="15" customHeight="1" x14ac:dyDescent="0.2">
      <c r="A105" s="3">
        <v>2021</v>
      </c>
      <c r="B105" s="3" t="s">
        <v>100</v>
      </c>
      <c r="C105" s="12">
        <v>163.19999999999999</v>
      </c>
      <c r="D105" s="12">
        <v>163.19999999999999</v>
      </c>
    </row>
    <row r="106" spans="1:4" ht="15" customHeight="1" x14ac:dyDescent="0.2">
      <c r="A106" s="3">
        <v>2021</v>
      </c>
      <c r="B106" s="3" t="s">
        <v>102</v>
      </c>
      <c r="C106" s="12">
        <v>163.19999999999999</v>
      </c>
      <c r="D106" s="12">
        <v>163.19999999999999</v>
      </c>
    </row>
    <row r="107" spans="1:4" ht="15" customHeight="1" x14ac:dyDescent="0.2">
      <c r="A107" s="3">
        <v>2021</v>
      </c>
      <c r="B107" s="3" t="s">
        <v>104</v>
      </c>
      <c r="C107" s="12">
        <v>165.5</v>
      </c>
      <c r="D107" s="12">
        <v>165.5</v>
      </c>
    </row>
    <row r="108" spans="1:4" ht="15" customHeight="1" x14ac:dyDescent="0.2">
      <c r="A108" s="3">
        <v>2021</v>
      </c>
      <c r="B108" s="3" t="s">
        <v>107</v>
      </c>
      <c r="C108" s="12">
        <v>166.7</v>
      </c>
      <c r="D108" s="12">
        <v>166.7</v>
      </c>
    </row>
    <row r="109" spans="1:4" ht="15" customHeight="1" x14ac:dyDescent="0.2">
      <c r="A109" s="3">
        <v>2021</v>
      </c>
      <c r="B109" s="3" t="s">
        <v>109</v>
      </c>
      <c r="C109" s="12">
        <v>166.2</v>
      </c>
      <c r="D109" s="12">
        <v>166.2</v>
      </c>
    </row>
    <row r="110" spans="1:4" ht="15" customHeight="1" x14ac:dyDescent="0.2">
      <c r="A110" s="3">
        <v>2022</v>
      </c>
      <c r="B110" s="3" t="s">
        <v>85</v>
      </c>
      <c r="C110" s="12">
        <v>165.7</v>
      </c>
      <c r="D110" s="12">
        <v>165.7</v>
      </c>
    </row>
    <row r="111" spans="1:4" ht="15" customHeight="1" x14ac:dyDescent="0.2">
      <c r="A111" s="3">
        <v>2022</v>
      </c>
      <c r="B111" s="3" t="s">
        <v>90</v>
      </c>
      <c r="C111" s="12">
        <v>166.1</v>
      </c>
      <c r="D111" s="12">
        <v>166.1</v>
      </c>
    </row>
    <row r="112" spans="1:4" ht="15" customHeight="1" x14ac:dyDescent="0.2">
      <c r="A112" s="3">
        <v>2022</v>
      </c>
      <c r="B112" s="3" t="s">
        <v>92</v>
      </c>
      <c r="C112" s="12">
        <v>167.7</v>
      </c>
      <c r="D112" s="12">
        <v>167.7</v>
      </c>
    </row>
    <row r="113" spans="1:4" ht="15" customHeight="1" x14ac:dyDescent="0.2">
      <c r="A113" s="3">
        <v>2022</v>
      </c>
      <c r="B113" s="3" t="s">
        <v>93</v>
      </c>
      <c r="C113" s="12">
        <v>170.1</v>
      </c>
      <c r="D113" s="12">
        <v>170.1</v>
      </c>
    </row>
    <row r="114" spans="1:4" ht="15" customHeight="1" x14ac:dyDescent="0.2">
      <c r="A114" s="3">
        <v>2022</v>
      </c>
      <c r="B114" s="3" t="s">
        <v>95</v>
      </c>
      <c r="C114" s="12">
        <v>171.7</v>
      </c>
      <c r="D114" s="12">
        <v>171.7</v>
      </c>
    </row>
    <row r="115" spans="1:4" ht="15" customHeight="1" x14ac:dyDescent="0.2">
      <c r="A115" s="3">
        <v>2022</v>
      </c>
      <c r="B115" s="3" t="s">
        <v>96</v>
      </c>
      <c r="C115" s="12">
        <v>172.6</v>
      </c>
      <c r="D115" s="12">
        <v>172.6</v>
      </c>
    </row>
    <row r="116" spans="1:4" ht="15" customHeight="1" x14ac:dyDescent="0.2">
      <c r="A116" s="3">
        <v>2022</v>
      </c>
      <c r="B116" s="3" t="s">
        <v>98</v>
      </c>
      <c r="C116" s="12">
        <v>173.4</v>
      </c>
      <c r="D116" s="12">
        <v>173.4</v>
      </c>
    </row>
    <row r="117" spans="1:4" ht="15" customHeight="1" x14ac:dyDescent="0.2">
      <c r="A117" s="3">
        <v>2022</v>
      </c>
      <c r="B117" s="3" t="s">
        <v>100</v>
      </c>
      <c r="C117" s="12">
        <v>174.3</v>
      </c>
      <c r="D117" s="12">
        <v>174.3</v>
      </c>
    </row>
    <row r="118" spans="1:4" ht="15" customHeight="1" x14ac:dyDescent="0.2">
      <c r="A118" s="3">
        <v>2022</v>
      </c>
      <c r="B118" s="3" t="s">
        <v>102</v>
      </c>
      <c r="C118" s="12">
        <v>175.3</v>
      </c>
      <c r="D118" s="12">
        <v>175.3</v>
      </c>
    </row>
    <row r="119" spans="1:4" ht="15" customHeight="1" x14ac:dyDescent="0.2">
      <c r="A119" s="3">
        <v>2022</v>
      </c>
      <c r="B119" s="3" t="s">
        <v>104</v>
      </c>
      <c r="C119" s="12">
        <v>176.7</v>
      </c>
      <c r="D119" s="12">
        <v>176.7</v>
      </c>
    </row>
    <row r="120" spans="1:4" ht="15" customHeight="1" x14ac:dyDescent="0.2">
      <c r="A120" s="3">
        <v>2022</v>
      </c>
      <c r="B120" s="3" t="s">
        <v>107</v>
      </c>
      <c r="C120" s="12">
        <v>176.5</v>
      </c>
      <c r="D120" s="12">
        <v>176.5</v>
      </c>
    </row>
    <row r="121" spans="1:4" ht="15" customHeight="1" x14ac:dyDescent="0.2">
      <c r="A121" s="3">
        <v>2022</v>
      </c>
      <c r="B121" s="3" t="s">
        <v>109</v>
      </c>
      <c r="C121" s="12">
        <v>175.7</v>
      </c>
      <c r="D121" s="12">
        <v>175.7</v>
      </c>
    </row>
    <row r="122" spans="1:4" ht="15" customHeight="1" x14ac:dyDescent="0.2">
      <c r="A122" s="3">
        <v>2023</v>
      </c>
      <c r="B122" s="3" t="s">
        <v>85</v>
      </c>
      <c r="C122" s="12">
        <v>176.5</v>
      </c>
      <c r="D122" s="12">
        <v>176.5</v>
      </c>
    </row>
    <row r="123" spans="1:4" ht="15" customHeight="1" x14ac:dyDescent="0.2">
      <c r="A123" s="3">
        <v>2023</v>
      </c>
      <c r="B123" s="3" t="s">
        <v>90</v>
      </c>
      <c r="C123" s="12">
        <v>177.2</v>
      </c>
      <c r="D123" s="12">
        <v>177.2</v>
      </c>
    </row>
    <row r="124" spans="1:4" ht="15" customHeight="1" x14ac:dyDescent="0.2">
      <c r="A124" s="3">
        <v>2023</v>
      </c>
      <c r="B124" s="3" t="s">
        <v>92</v>
      </c>
      <c r="C124" s="12">
        <v>177.2</v>
      </c>
      <c r="D124" s="12">
        <v>177.2</v>
      </c>
    </row>
    <row r="125" spans="1:4" ht="15" customHeight="1" x14ac:dyDescent="0.2">
      <c r="A125" s="3">
        <v>2023</v>
      </c>
      <c r="B125" s="3" t="s">
        <v>93</v>
      </c>
      <c r="C125" s="12">
        <v>178.1</v>
      </c>
      <c r="D125" s="12">
        <v>178.1</v>
      </c>
    </row>
    <row r="126" spans="1:4" ht="15" customHeight="1" x14ac:dyDescent="0.2">
      <c r="A126" s="3">
        <v>2023</v>
      </c>
      <c r="B126" s="3" t="s">
        <v>95</v>
      </c>
      <c r="C126" s="12">
        <v>179.1</v>
      </c>
      <c r="D126" s="12">
        <v>179.1</v>
      </c>
    </row>
    <row r="127" spans="1:4" ht="12.75" x14ac:dyDescent="0.2"/>
    <row r="128" spans="1:4" ht="12.75" x14ac:dyDescent="0.2">
      <c r="A128" t="s">
        <v>377</v>
      </c>
      <c r="B128" s="115" t="s">
        <v>378</v>
      </c>
      <c r="C128" s="115"/>
      <c r="D128" s="115"/>
    </row>
    <row r="129" spans="1:5" ht="15" customHeight="1" x14ac:dyDescent="0.2">
      <c r="A129" s="16" t="s">
        <v>379</v>
      </c>
      <c r="B129" s="115"/>
      <c r="C129" s="115"/>
      <c r="D129" s="115"/>
    </row>
    <row r="130" spans="1:5" ht="27.75" customHeight="1" x14ac:dyDescent="0.2">
      <c r="A130" s="18" t="s">
        <v>380</v>
      </c>
      <c r="B130" s="141" t="s">
        <v>381</v>
      </c>
      <c r="C130" s="115"/>
      <c r="D130" s="115"/>
      <c r="E130" s="115"/>
    </row>
    <row r="131" spans="1:5" ht="15" customHeight="1" x14ac:dyDescent="0.2">
      <c r="A131" s="18" t="s">
        <v>249</v>
      </c>
      <c r="B131" s="141" t="s">
        <v>382</v>
      </c>
      <c r="C131" s="115"/>
      <c r="D131" s="115"/>
      <c r="E131" s="115"/>
    </row>
    <row r="132" spans="1:5" ht="27.75" customHeight="1" x14ac:dyDescent="0.2">
      <c r="A132" s="18" t="s">
        <v>383</v>
      </c>
      <c r="B132" s="141" t="s">
        <v>384</v>
      </c>
      <c r="C132" s="115"/>
      <c r="D132" s="115"/>
      <c r="E132" s="115"/>
    </row>
    <row r="133" spans="1:5" ht="12.75" x14ac:dyDescent="0.2"/>
    <row r="134" spans="1:5" ht="36" customHeight="1" x14ac:dyDescent="0.2">
      <c r="A134" s="61"/>
      <c r="B134" s="4"/>
    </row>
  </sheetData>
  <autoFilter ref="A1:D126" xr:uid="{00000000-0009-0000-0000-00000C000000}"/>
  <mergeCells count="5">
    <mergeCell ref="B132:E132"/>
    <mergeCell ref="B128:D129"/>
    <mergeCell ref="B130:E130"/>
    <mergeCell ref="G2:J5"/>
    <mergeCell ref="B131:E131"/>
  </mergeCells>
  <hyperlinks>
    <hyperlink ref="F2" r:id="rId1" location="'Dashboard'!A1" display="← Dashboard" xr:uid="{00000000-0004-0000-0C00-000000000000}"/>
  </hyperlink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F6B78"/>
    <pageSetUpPr fitToPage="1"/>
  </sheetPr>
  <dimension ref="A1:H26"/>
  <sheetViews>
    <sheetView showGridLines="0" zoomScale="90" zoomScaleNormal="90" workbookViewId="0">
      <pane ySplit="4" topLeftCell="A5" activePane="bottomLeft" state="frozen"/>
      <selection pane="bottomLeft" activeCell="A17" sqref="A17:H19"/>
    </sheetView>
  </sheetViews>
  <sheetFormatPr defaultColWidth="8.7109375" defaultRowHeight="15" customHeight="1" x14ac:dyDescent="0.2"/>
  <cols>
    <col min="1" max="1" width="42" customWidth="1"/>
    <col min="2" max="2" width="14" customWidth="1"/>
    <col min="3" max="3" width="16.140625" customWidth="1"/>
    <col min="4" max="8" width="14" customWidth="1"/>
  </cols>
  <sheetData>
    <row r="1" spans="1:8" ht="24" customHeight="1" x14ac:dyDescent="0.2">
      <c r="A1" s="140" t="s">
        <v>385</v>
      </c>
      <c r="B1" s="115"/>
      <c r="C1" s="115"/>
      <c r="D1" s="115"/>
      <c r="E1" s="115"/>
      <c r="F1" s="115"/>
    </row>
    <row r="2" spans="1:8" ht="15" customHeight="1" x14ac:dyDescent="0.2">
      <c r="G2" s="10" t="s">
        <v>86</v>
      </c>
    </row>
    <row r="3" spans="1:8" ht="27.75" customHeight="1" x14ac:dyDescent="0.2">
      <c r="A3" s="18" t="s">
        <v>386</v>
      </c>
      <c r="B3" s="30" t="s">
        <v>387</v>
      </c>
      <c r="D3" s="18" t="s">
        <v>388</v>
      </c>
      <c r="E3" s="30">
        <f>'Q2 Calculation'!B23</f>
        <v>2022</v>
      </c>
      <c r="F3" s="25">
        <f>'Q2 Calculation'!D23</f>
        <v>6.6219354838709554E-2</v>
      </c>
    </row>
    <row r="5" spans="1:8" ht="15" customHeight="1" x14ac:dyDescent="0.2">
      <c r="A5" s="11" t="s">
        <v>55</v>
      </c>
      <c r="B5" s="11" t="s">
        <v>389</v>
      </c>
    </row>
    <row r="6" spans="1:8" ht="15" customHeight="1" x14ac:dyDescent="0.2">
      <c r="A6" s="30">
        <f>'Q2 Calculation'!A13</f>
        <v>2016</v>
      </c>
      <c r="B6" s="25">
        <f>'Q2 Calculation'!F13</f>
        <v>0</v>
      </c>
    </row>
    <row r="7" spans="1:8" ht="15" customHeight="1" x14ac:dyDescent="0.2">
      <c r="A7" s="30">
        <f>'Q2 Calculation'!A14</f>
        <v>2017</v>
      </c>
      <c r="B7" s="25">
        <f>'Q2 Calculation'!F14</f>
        <v>3.3281733746129971E-2</v>
      </c>
    </row>
    <row r="8" spans="1:8" ht="15" customHeight="1" x14ac:dyDescent="0.2">
      <c r="A8" s="30">
        <f>'Q2 Calculation'!A15</f>
        <v>2018</v>
      </c>
      <c r="B8" s="25">
        <f>'Q2 Calculation'!F15</f>
        <v>3.9513108614232184E-2</v>
      </c>
    </row>
    <row r="9" spans="1:8" ht="15" customHeight="1" x14ac:dyDescent="0.2">
      <c r="A9" s="30">
        <f>'Q2 Calculation'!A16</f>
        <v>2019</v>
      </c>
      <c r="B9" s="25">
        <f>'Q2 Calculation'!F16</f>
        <v>3.7170479793430466E-2</v>
      </c>
    </row>
    <row r="10" spans="1:8" ht="15" customHeight="1" x14ac:dyDescent="0.2">
      <c r="A10" s="30">
        <f>'Q2 Calculation'!A17</f>
        <v>2020</v>
      </c>
      <c r="B10" s="25">
        <f>'Q2 Calculation'!F17</f>
        <v>6.1949976841130461E-2</v>
      </c>
    </row>
    <row r="11" spans="1:8" ht="15" customHeight="1" x14ac:dyDescent="0.2">
      <c r="A11" s="30">
        <f>'Q2 Calculation'!A18</f>
        <v>2021</v>
      </c>
      <c r="B11" s="25">
        <f>'Q2 Calculation'!F18</f>
        <v>5.6318831098026267E-2</v>
      </c>
    </row>
    <row r="14" spans="1:8" ht="27.75" customHeight="1" x14ac:dyDescent="0.2">
      <c r="A14" s="18" t="s">
        <v>390</v>
      </c>
      <c r="B14" s="18">
        <v>2022</v>
      </c>
      <c r="C14" s="35">
        <v>6.6219354838709596E-2</v>
      </c>
    </row>
    <row r="16" spans="1:8" ht="24" customHeight="1" x14ac:dyDescent="0.2">
      <c r="A16" s="105" t="s">
        <v>391</v>
      </c>
      <c r="B16" s="106"/>
      <c r="C16" s="106"/>
      <c r="D16" s="106"/>
      <c r="E16" s="106"/>
      <c r="F16" s="106"/>
      <c r="G16" s="106"/>
      <c r="H16" s="106"/>
    </row>
    <row r="17" spans="1:8" ht="30" customHeight="1" x14ac:dyDescent="0.2">
      <c r="A17" s="142" t="s">
        <v>392</v>
      </c>
      <c r="B17" s="106"/>
      <c r="C17" s="106"/>
      <c r="D17" s="106"/>
      <c r="E17" s="106"/>
      <c r="F17" s="106"/>
      <c r="G17" s="106"/>
      <c r="H17" s="106"/>
    </row>
    <row r="18" spans="1:8" ht="30" customHeight="1" x14ac:dyDescent="0.2">
      <c r="A18" s="106"/>
      <c r="B18" s="106"/>
      <c r="C18" s="106"/>
      <c r="D18" s="106"/>
      <c r="E18" s="106"/>
      <c r="F18" s="106"/>
      <c r="G18" s="106"/>
      <c r="H18" s="106"/>
    </row>
    <row r="19" spans="1:8" ht="30" customHeight="1" x14ac:dyDescent="0.2">
      <c r="A19" s="106"/>
      <c r="B19" s="106"/>
      <c r="C19" s="106"/>
      <c r="D19" s="106"/>
      <c r="E19" s="106"/>
      <c r="F19" s="106"/>
      <c r="G19" s="106"/>
      <c r="H19" s="106"/>
    </row>
    <row r="24" spans="1:8" ht="15" customHeight="1" x14ac:dyDescent="0.2">
      <c r="A24" s="16" t="s">
        <v>286</v>
      </c>
    </row>
    <row r="25" spans="1:8" ht="27.75" customHeight="1" x14ac:dyDescent="0.2">
      <c r="A25" s="18" t="s">
        <v>367</v>
      </c>
      <c r="B25" s="141" t="s">
        <v>393</v>
      </c>
      <c r="C25" s="115"/>
      <c r="D25" s="115"/>
      <c r="E25" s="115"/>
      <c r="F25" s="115"/>
    </row>
    <row r="26" spans="1:8" ht="15" customHeight="1" x14ac:dyDescent="0.2">
      <c r="A26" s="18" t="s">
        <v>369</v>
      </c>
      <c r="B26" s="141" t="s">
        <v>394</v>
      </c>
      <c r="C26" s="115"/>
      <c r="D26" s="115"/>
      <c r="E26" s="115"/>
      <c r="F26" s="115"/>
    </row>
  </sheetData>
  <mergeCells count="5">
    <mergeCell ref="A17:H19"/>
    <mergeCell ref="A16:H16"/>
    <mergeCell ref="A1:F1"/>
    <mergeCell ref="B25:F25"/>
    <mergeCell ref="B26:F26"/>
  </mergeCells>
  <hyperlinks>
    <hyperlink ref="G2" r:id="rId1" location="'Dashboard'!A1" xr:uid="{00000000-0004-0000-0D00-000000000000}"/>
  </hyperlinks>
  <pageMargins left="0.7" right="0.7" top="0.75" bottom="0.75" header="0.511811023622047" footer="0.511811023622047"/>
  <pageSetup paperSize="9" fitToHeight="0" orientation="landscape" horizontalDpi="300" verticalDpi="30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F6B78"/>
    <pageSetUpPr fitToPage="1"/>
  </sheetPr>
  <dimension ref="A1:F20"/>
  <sheetViews>
    <sheetView showGridLines="0" zoomScale="90" zoomScaleNormal="90" workbookViewId="0">
      <pane ySplit="4" topLeftCell="A7" activePane="bottomLeft" state="frozen"/>
      <selection pane="bottomLeft" activeCell="B10" sqref="B10"/>
    </sheetView>
  </sheetViews>
  <sheetFormatPr defaultColWidth="8.7109375" defaultRowHeight="15" customHeight="1" x14ac:dyDescent="0.2"/>
  <cols>
    <col min="1" max="2" width="42" customWidth="1"/>
    <col min="3" max="3" width="22.42578125" customWidth="1"/>
    <col min="4" max="5" width="42" customWidth="1"/>
    <col min="6" max="6" width="10" customWidth="1"/>
  </cols>
  <sheetData>
    <row r="1" spans="1:6" ht="24" customHeight="1" x14ac:dyDescent="0.2">
      <c r="A1" s="147" t="s">
        <v>395</v>
      </c>
      <c r="B1" s="115"/>
      <c r="C1" s="115"/>
      <c r="D1" s="115"/>
      <c r="E1" s="115"/>
    </row>
    <row r="2" spans="1:6" ht="15" customHeight="1" x14ac:dyDescent="0.2">
      <c r="F2" s="10" t="s">
        <v>86</v>
      </c>
    </row>
    <row r="3" spans="1:6" ht="15" customHeight="1" x14ac:dyDescent="0.2">
      <c r="A3" s="18" t="s">
        <v>396</v>
      </c>
      <c r="B3" s="141" t="s">
        <v>397</v>
      </c>
      <c r="C3" s="115"/>
      <c r="D3" s="115"/>
      <c r="E3" s="115"/>
    </row>
    <row r="5" spans="1:6" ht="15" customHeight="1" x14ac:dyDescent="0.2">
      <c r="A5" s="11" t="s">
        <v>398</v>
      </c>
      <c r="B5" s="11" t="s">
        <v>399</v>
      </c>
      <c r="C5" s="11" t="s">
        <v>400</v>
      </c>
      <c r="D5" s="11" t="s">
        <v>401</v>
      </c>
      <c r="E5" s="11" t="s">
        <v>402</v>
      </c>
    </row>
    <row r="6" spans="1:6" ht="41.25" customHeight="1" x14ac:dyDescent="0.2">
      <c r="A6" s="30" t="s">
        <v>403</v>
      </c>
      <c r="B6" s="17" t="s">
        <v>404</v>
      </c>
      <c r="C6" s="30" t="s">
        <v>405</v>
      </c>
      <c r="D6" s="38" t="s">
        <v>406</v>
      </c>
      <c r="E6" s="17" t="s">
        <v>407</v>
      </c>
    </row>
    <row r="7" spans="1:6" ht="41.25" customHeight="1" x14ac:dyDescent="0.2">
      <c r="A7" s="30" t="s">
        <v>408</v>
      </c>
      <c r="B7" s="69" t="s">
        <v>409</v>
      </c>
      <c r="C7" s="30" t="s">
        <v>405</v>
      </c>
      <c r="D7" s="38" t="s">
        <v>406</v>
      </c>
      <c r="E7" s="17" t="s">
        <v>410</v>
      </c>
    </row>
    <row r="8" spans="1:6" ht="41.25" customHeight="1" x14ac:dyDescent="0.2">
      <c r="A8" s="30" t="s">
        <v>411</v>
      </c>
      <c r="B8" s="69" t="s">
        <v>412</v>
      </c>
      <c r="C8" s="30" t="s">
        <v>405</v>
      </c>
      <c r="D8" s="38" t="s">
        <v>406</v>
      </c>
      <c r="E8" s="17" t="s">
        <v>413</v>
      </c>
    </row>
    <row r="9" spans="1:6" ht="41.25" customHeight="1" x14ac:dyDescent="0.2">
      <c r="A9" s="30" t="s">
        <v>414</v>
      </c>
      <c r="B9" s="69" t="s">
        <v>415</v>
      </c>
      <c r="C9" s="30" t="s">
        <v>416</v>
      </c>
      <c r="D9" s="38" t="s">
        <v>417</v>
      </c>
      <c r="E9" s="17" t="s">
        <v>418</v>
      </c>
    </row>
    <row r="10" spans="1:6" ht="41.25" customHeight="1" x14ac:dyDescent="0.2">
      <c r="A10" s="30" t="s">
        <v>419</v>
      </c>
      <c r="B10" s="17" t="s">
        <v>420</v>
      </c>
      <c r="C10" s="30" t="s">
        <v>405</v>
      </c>
      <c r="D10" s="38" t="s">
        <v>406</v>
      </c>
      <c r="E10" s="17" t="s">
        <v>421</v>
      </c>
    </row>
    <row r="13" spans="1:6" ht="15" customHeight="1" x14ac:dyDescent="0.2">
      <c r="A13" s="16" t="s">
        <v>422</v>
      </c>
    </row>
    <row r="14" spans="1:6" ht="15" customHeight="1" x14ac:dyDescent="0.2">
      <c r="A14" s="141" t="s">
        <v>423</v>
      </c>
      <c r="B14" s="115"/>
      <c r="C14" s="115"/>
      <c r="D14" s="115"/>
      <c r="E14" s="115"/>
    </row>
    <row r="15" spans="1:6" ht="15" customHeight="1" x14ac:dyDescent="0.2">
      <c r="A15" s="115"/>
      <c r="B15" s="115"/>
      <c r="C15" s="115"/>
      <c r="D15" s="115"/>
      <c r="E15" s="115"/>
    </row>
    <row r="16" spans="1:6" ht="15" customHeight="1" x14ac:dyDescent="0.2">
      <c r="A16" s="115"/>
      <c r="B16" s="115"/>
      <c r="C16" s="115"/>
      <c r="D16" s="115"/>
      <c r="E16" s="115"/>
    </row>
    <row r="17" spans="1:5" ht="15" customHeight="1" x14ac:dyDescent="0.2">
      <c r="A17" s="115"/>
      <c r="B17" s="115"/>
      <c r="C17" s="115"/>
      <c r="D17" s="115"/>
      <c r="E17" s="115"/>
    </row>
    <row r="18" spans="1:5" ht="15" customHeight="1" x14ac:dyDescent="0.2">
      <c r="A18" s="115"/>
      <c r="B18" s="115"/>
      <c r="C18" s="115"/>
      <c r="D18" s="115"/>
      <c r="E18" s="115"/>
    </row>
    <row r="20" spans="1:5" ht="27.75" customHeight="1" x14ac:dyDescent="0.2">
      <c r="A20" s="18" t="s">
        <v>424</v>
      </c>
      <c r="B20" s="17" t="s">
        <v>425</v>
      </c>
    </row>
  </sheetData>
  <mergeCells count="3">
    <mergeCell ref="A1:E1"/>
    <mergeCell ref="A14:E18"/>
    <mergeCell ref="B3:E3"/>
  </mergeCells>
  <hyperlinks>
    <hyperlink ref="F2" r:id="rId1" location="'Dashboard'!A1" xr:uid="{00000000-0004-0000-0E00-000000000000}"/>
    <hyperlink ref="D6" r:id="rId2" xr:uid="{00000000-0004-0000-0E00-000001000000}"/>
    <hyperlink ref="D7" r:id="rId3" xr:uid="{00000000-0004-0000-0E00-000002000000}"/>
    <hyperlink ref="D8" r:id="rId4" xr:uid="{00000000-0004-0000-0E00-000003000000}"/>
    <hyperlink ref="D9" r:id="rId5" xr:uid="{00000000-0004-0000-0E00-000004000000}"/>
    <hyperlink ref="D10" r:id="rId6" xr:uid="{00000000-0004-0000-0E00-000005000000}"/>
  </hyperlinks>
  <pageMargins left="0.7" right="0.7" top="0.75" bottom="0.75" header="0.511811023622047" footer="0.511811023622047"/>
  <pageSetup paperSize="9"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48235"/>
    <pageSetUpPr fitToPage="1"/>
  </sheetPr>
  <dimension ref="A1:R64"/>
  <sheetViews>
    <sheetView showGridLines="0" zoomScale="90" zoomScaleNormal="90" workbookViewId="0">
      <pane ySplit="4" topLeftCell="A42" activePane="bottomLeft" state="frozen"/>
      <selection pane="bottomLeft" activeCell="B39" sqref="B39:G39"/>
    </sheetView>
  </sheetViews>
  <sheetFormatPr defaultColWidth="8.7109375" defaultRowHeight="15" customHeight="1" x14ac:dyDescent="0.2"/>
  <cols>
    <col min="1" max="2" width="42" customWidth="1"/>
    <col min="3" max="16" width="22.42578125" customWidth="1"/>
    <col min="17" max="18" width="18" customWidth="1"/>
  </cols>
  <sheetData>
    <row r="1" spans="1:18" ht="24" customHeight="1" x14ac:dyDescent="0.2">
      <c r="A1" s="147" t="s">
        <v>426</v>
      </c>
      <c r="B1" s="115"/>
      <c r="C1" s="115"/>
      <c r="D1" s="115"/>
      <c r="E1" s="115"/>
      <c r="F1" s="115"/>
      <c r="G1" s="115"/>
      <c r="H1" s="115"/>
      <c r="I1" s="115"/>
      <c r="J1" s="115"/>
      <c r="K1" s="115"/>
      <c r="L1" s="115"/>
      <c r="M1" s="115"/>
      <c r="N1" s="115"/>
      <c r="O1" s="115"/>
    </row>
    <row r="2" spans="1:18" ht="15" customHeight="1" x14ac:dyDescent="0.2">
      <c r="R2" s="10" t="s">
        <v>86</v>
      </c>
    </row>
    <row r="3" spans="1:18" ht="27.75" customHeight="1" x14ac:dyDescent="0.2">
      <c r="A3" s="18" t="s">
        <v>427</v>
      </c>
      <c r="B3" s="30" t="s">
        <v>428</v>
      </c>
      <c r="D3" s="18" t="s">
        <v>54</v>
      </c>
      <c r="E3" s="30" t="s">
        <v>89</v>
      </c>
      <c r="G3" s="18" t="s">
        <v>429</v>
      </c>
      <c r="H3" s="30" t="s">
        <v>430</v>
      </c>
    </row>
    <row r="5" spans="1:18" ht="27.75" customHeight="1" x14ac:dyDescent="0.2">
      <c r="A5" s="16" t="s">
        <v>353</v>
      </c>
    </row>
    <row r="6" spans="1:18" ht="15" customHeight="1" x14ac:dyDescent="0.2">
      <c r="A6" s="148" t="s">
        <v>716</v>
      </c>
      <c r="B6" s="148"/>
      <c r="C6" s="148"/>
      <c r="D6" s="148"/>
      <c r="E6" s="148"/>
      <c r="F6" s="148"/>
      <c r="G6" s="69"/>
      <c r="H6" s="69"/>
      <c r="I6" s="69"/>
      <c r="J6" s="69"/>
      <c r="K6" s="69"/>
      <c r="L6" s="69"/>
      <c r="M6" s="69"/>
      <c r="N6" s="69"/>
      <c r="O6" s="69"/>
    </row>
    <row r="7" spans="1:18" ht="15" customHeight="1" x14ac:dyDescent="0.2">
      <c r="A7" s="148"/>
      <c r="B7" s="148"/>
      <c r="C7" s="148"/>
      <c r="D7" s="148"/>
      <c r="E7" s="148"/>
      <c r="F7" s="148"/>
      <c r="G7" s="69"/>
      <c r="H7" s="69"/>
      <c r="I7" s="69"/>
      <c r="J7" s="69"/>
      <c r="K7" s="69"/>
      <c r="L7" s="69"/>
      <c r="M7" s="69"/>
      <c r="N7" s="69"/>
      <c r="O7" s="69"/>
    </row>
    <row r="8" spans="1:18" ht="15" customHeight="1" x14ac:dyDescent="0.2">
      <c r="A8" s="148"/>
      <c r="B8" s="148"/>
      <c r="C8" s="148"/>
      <c r="D8" s="148"/>
      <c r="E8" s="148"/>
      <c r="F8" s="148"/>
      <c r="G8" s="69"/>
      <c r="H8" s="69"/>
      <c r="I8" s="69"/>
      <c r="J8" s="69"/>
      <c r="K8" s="69"/>
      <c r="L8" s="69"/>
      <c r="M8" s="69"/>
      <c r="N8" s="69"/>
      <c r="O8" s="69"/>
    </row>
    <row r="9" spans="1:18" ht="15" customHeight="1" x14ac:dyDescent="0.2">
      <c r="A9" s="148"/>
      <c r="B9" s="148"/>
      <c r="C9" s="148"/>
      <c r="D9" s="148"/>
      <c r="E9" s="148"/>
      <c r="F9" s="148"/>
      <c r="G9" s="69"/>
      <c r="H9" s="69"/>
      <c r="I9" s="69"/>
      <c r="J9" s="69"/>
      <c r="K9" s="69"/>
      <c r="L9" s="69"/>
      <c r="M9" s="69"/>
      <c r="N9" s="69"/>
      <c r="O9" s="69"/>
    </row>
    <row r="11" spans="1:18" ht="41.25" customHeight="1" x14ac:dyDescent="0.2">
      <c r="A11" s="9" t="s">
        <v>55</v>
      </c>
      <c r="B11" s="9" t="s">
        <v>56</v>
      </c>
      <c r="C11" s="9" t="s">
        <v>57</v>
      </c>
      <c r="D11" s="9" t="s">
        <v>58</v>
      </c>
      <c r="E11" s="9" t="s">
        <v>59</v>
      </c>
      <c r="F11" s="9" t="s">
        <v>60</v>
      </c>
      <c r="G11" s="9" t="s">
        <v>61</v>
      </c>
      <c r="H11" s="9" t="s">
        <v>62</v>
      </c>
      <c r="I11" s="9" t="s">
        <v>63</v>
      </c>
      <c r="J11" s="9" t="s">
        <v>64</v>
      </c>
      <c r="K11" s="9" t="s">
        <v>65</v>
      </c>
      <c r="L11" s="9" t="s">
        <v>66</v>
      </c>
      <c r="M11" s="9" t="s">
        <v>67</v>
      </c>
      <c r="N11" s="9" t="s">
        <v>68</v>
      </c>
      <c r="O11" s="79" t="s">
        <v>715</v>
      </c>
      <c r="P11" s="9" t="s">
        <v>431</v>
      </c>
      <c r="Q11" s="79" t="s">
        <v>432</v>
      </c>
    </row>
    <row r="12" spans="1:18" ht="15" customHeight="1" x14ac:dyDescent="0.2">
      <c r="A12" s="15">
        <v>2022</v>
      </c>
      <c r="B12" s="15" t="s">
        <v>95</v>
      </c>
      <c r="C12" s="19">
        <v>154.1</v>
      </c>
      <c r="D12" s="19">
        <v>217</v>
      </c>
      <c r="E12" s="19">
        <v>162.4</v>
      </c>
      <c r="F12" s="19">
        <v>164.9</v>
      </c>
      <c r="G12" s="19">
        <v>202.4</v>
      </c>
      <c r="H12" s="19">
        <v>171</v>
      </c>
      <c r="I12" s="19">
        <v>174.9</v>
      </c>
      <c r="J12" s="19">
        <v>164.7</v>
      </c>
      <c r="K12" s="19">
        <v>119.7</v>
      </c>
      <c r="L12" s="19">
        <v>184.9</v>
      </c>
      <c r="M12" s="19">
        <v>167.1</v>
      </c>
      <c r="N12" s="19">
        <v>182.5</v>
      </c>
      <c r="O12" s="19">
        <f>AVERAGE(C12:N12)</f>
        <v>172.13333333333335</v>
      </c>
      <c r="P12" s="28"/>
      <c r="Q12" s="39"/>
    </row>
    <row r="13" spans="1:18" ht="15" customHeight="1" x14ac:dyDescent="0.2">
      <c r="A13" s="15">
        <v>2022</v>
      </c>
      <c r="B13" s="15" t="s">
        <v>96</v>
      </c>
      <c r="C13" s="19">
        <v>155</v>
      </c>
      <c r="D13" s="19">
        <v>219.4</v>
      </c>
      <c r="E13" s="19">
        <v>170.8</v>
      </c>
      <c r="F13" s="19">
        <v>165.8</v>
      </c>
      <c r="G13" s="19">
        <v>200.9</v>
      </c>
      <c r="H13" s="19">
        <v>169.7</v>
      </c>
      <c r="I13" s="19">
        <v>182.3</v>
      </c>
      <c r="J13" s="19">
        <v>164.3</v>
      </c>
      <c r="K13" s="19">
        <v>119.9</v>
      </c>
      <c r="L13" s="19">
        <v>187.1</v>
      </c>
      <c r="M13" s="19">
        <v>167.9</v>
      </c>
      <c r="N13" s="19">
        <v>183.9</v>
      </c>
      <c r="O13" s="19">
        <f>AVERAGE(C13:N13)</f>
        <v>173.91666666666666</v>
      </c>
      <c r="P13" s="19">
        <f t="shared" ref="P13:P24" si="0">O12</f>
        <v>172.13333333333335</v>
      </c>
      <c r="Q13" s="20">
        <f t="shared" ref="Q13:Q24" si="1">O13/P13-1</f>
        <v>1.0360185902400953E-2</v>
      </c>
    </row>
    <row r="14" spans="1:18" ht="15" customHeight="1" x14ac:dyDescent="0.2">
      <c r="A14" s="15">
        <v>2022</v>
      </c>
      <c r="B14" s="15" t="s">
        <v>98</v>
      </c>
      <c r="C14" s="19">
        <v>156.5</v>
      </c>
      <c r="D14" s="19">
        <v>213</v>
      </c>
      <c r="E14" s="19">
        <v>175.2</v>
      </c>
      <c r="F14" s="19">
        <v>166.6</v>
      </c>
      <c r="G14" s="19">
        <v>195.8</v>
      </c>
      <c r="H14" s="19">
        <v>174.2</v>
      </c>
      <c r="I14" s="19">
        <v>182.1</v>
      </c>
      <c r="J14" s="19">
        <v>164.3</v>
      </c>
      <c r="K14" s="19">
        <v>120</v>
      </c>
      <c r="L14" s="19">
        <v>190</v>
      </c>
      <c r="M14" s="19">
        <v>168.4</v>
      </c>
      <c r="N14" s="19">
        <v>185.2</v>
      </c>
      <c r="O14" s="19">
        <f t="shared" ref="O14:O24" si="2">AVERAGE(C14:N14)</f>
        <v>174.27500000000001</v>
      </c>
      <c r="P14" s="19">
        <f t="shared" si="0"/>
        <v>173.91666666666666</v>
      </c>
      <c r="Q14" s="20">
        <f t="shared" si="1"/>
        <v>2.0603737422137947E-3</v>
      </c>
    </row>
    <row r="15" spans="1:18" ht="15" customHeight="1" x14ac:dyDescent="0.2">
      <c r="A15" s="15">
        <v>2022</v>
      </c>
      <c r="B15" s="15" t="s">
        <v>100</v>
      </c>
      <c r="C15" s="19">
        <v>160.30000000000001</v>
      </c>
      <c r="D15" s="19">
        <v>206.5</v>
      </c>
      <c r="E15" s="19">
        <v>169.2</v>
      </c>
      <c r="F15" s="19">
        <v>168.1</v>
      </c>
      <c r="G15" s="19">
        <v>192.4</v>
      </c>
      <c r="H15" s="19">
        <v>172.9</v>
      </c>
      <c r="I15" s="19">
        <v>186.7</v>
      </c>
      <c r="J15" s="19">
        <v>167.2</v>
      </c>
      <c r="K15" s="19">
        <v>120.9</v>
      </c>
      <c r="L15" s="19">
        <v>193.6</v>
      </c>
      <c r="M15" s="19">
        <v>168.8</v>
      </c>
      <c r="N15" s="19">
        <v>186.3</v>
      </c>
      <c r="O15" s="19">
        <f t="shared" si="2"/>
        <v>174.40833333333333</v>
      </c>
      <c r="P15" s="19">
        <f t="shared" si="0"/>
        <v>174.27500000000001</v>
      </c>
      <c r="Q15" s="20">
        <f t="shared" si="1"/>
        <v>7.6507435566397497E-4</v>
      </c>
    </row>
    <row r="16" spans="1:18" ht="15" customHeight="1" x14ac:dyDescent="0.2">
      <c r="A16" s="15">
        <v>2022</v>
      </c>
      <c r="B16" s="15" t="s">
        <v>102</v>
      </c>
      <c r="C16" s="19">
        <v>163.5</v>
      </c>
      <c r="D16" s="19">
        <v>209.2</v>
      </c>
      <c r="E16" s="19">
        <v>169.7</v>
      </c>
      <c r="F16" s="19">
        <v>169.7</v>
      </c>
      <c r="G16" s="19">
        <v>188.7</v>
      </c>
      <c r="H16" s="19">
        <v>165.7</v>
      </c>
      <c r="I16" s="19">
        <v>191.8</v>
      </c>
      <c r="J16" s="19">
        <v>169.1</v>
      </c>
      <c r="K16" s="19">
        <v>121.6</v>
      </c>
      <c r="L16" s="19">
        <v>197.3</v>
      </c>
      <c r="M16" s="19">
        <v>169.4</v>
      </c>
      <c r="N16" s="19">
        <v>187.4</v>
      </c>
      <c r="O16" s="19">
        <f t="shared" si="2"/>
        <v>175.25833333333333</v>
      </c>
      <c r="P16" s="19">
        <f t="shared" si="0"/>
        <v>174.40833333333333</v>
      </c>
      <c r="Q16" s="20">
        <f t="shared" si="1"/>
        <v>4.873620335419826E-3</v>
      </c>
    </row>
    <row r="17" spans="1:17" ht="15" customHeight="1" x14ac:dyDescent="0.2">
      <c r="A17" s="15">
        <v>2022</v>
      </c>
      <c r="B17" s="15" t="s">
        <v>104</v>
      </c>
      <c r="C17" s="19">
        <v>165.2</v>
      </c>
      <c r="D17" s="19">
        <v>210.9</v>
      </c>
      <c r="E17" s="19">
        <v>170.9</v>
      </c>
      <c r="F17" s="19">
        <v>170.9</v>
      </c>
      <c r="G17" s="19">
        <v>186.5</v>
      </c>
      <c r="H17" s="19">
        <v>163.80000000000001</v>
      </c>
      <c r="I17" s="19">
        <v>199.7</v>
      </c>
      <c r="J17" s="19">
        <v>169.8</v>
      </c>
      <c r="K17" s="19">
        <v>121.9</v>
      </c>
      <c r="L17" s="19">
        <v>199.9</v>
      </c>
      <c r="M17" s="19">
        <v>169.9</v>
      </c>
      <c r="N17" s="19">
        <v>188.3</v>
      </c>
      <c r="O17" s="19">
        <f t="shared" si="2"/>
        <v>176.47500000000002</v>
      </c>
      <c r="P17" s="19">
        <f t="shared" si="0"/>
        <v>175.25833333333333</v>
      </c>
      <c r="Q17" s="20">
        <f t="shared" si="1"/>
        <v>6.9421330417005489E-3</v>
      </c>
    </row>
    <row r="18" spans="1:17" ht="15" customHeight="1" x14ac:dyDescent="0.2">
      <c r="A18" s="15">
        <v>2022</v>
      </c>
      <c r="B18" s="15" t="s">
        <v>107</v>
      </c>
      <c r="C18" s="19">
        <v>167.4</v>
      </c>
      <c r="D18" s="19">
        <v>209.4</v>
      </c>
      <c r="E18" s="19">
        <v>181.4</v>
      </c>
      <c r="F18" s="19">
        <v>172.3</v>
      </c>
      <c r="G18" s="19">
        <v>188.9</v>
      </c>
      <c r="H18" s="19">
        <v>160.69999999999999</v>
      </c>
      <c r="I18" s="19">
        <v>183.1</v>
      </c>
      <c r="J18" s="19">
        <v>170.5</v>
      </c>
      <c r="K18" s="19">
        <v>122.1</v>
      </c>
      <c r="L18" s="19">
        <v>202.8</v>
      </c>
      <c r="M18" s="19">
        <v>170.4</v>
      </c>
      <c r="N18" s="19">
        <v>189.5</v>
      </c>
      <c r="O18" s="19">
        <f t="shared" si="2"/>
        <v>176.54166666666666</v>
      </c>
      <c r="P18" s="19">
        <f t="shared" si="0"/>
        <v>176.47500000000002</v>
      </c>
      <c r="Q18" s="20">
        <f t="shared" si="1"/>
        <v>3.7776833356928385E-4</v>
      </c>
    </row>
    <row r="19" spans="1:17" ht="15" customHeight="1" x14ac:dyDescent="0.2">
      <c r="A19" s="15">
        <v>2022</v>
      </c>
      <c r="B19" s="15" t="s">
        <v>109</v>
      </c>
      <c r="C19" s="19">
        <v>169.2</v>
      </c>
      <c r="D19" s="19">
        <v>209</v>
      </c>
      <c r="E19" s="19">
        <v>190.2</v>
      </c>
      <c r="F19" s="19">
        <v>173.6</v>
      </c>
      <c r="G19" s="19">
        <v>188.5</v>
      </c>
      <c r="H19" s="19">
        <v>158</v>
      </c>
      <c r="I19" s="19">
        <v>159.9</v>
      </c>
      <c r="J19" s="19">
        <v>170.8</v>
      </c>
      <c r="K19" s="19">
        <v>121.8</v>
      </c>
      <c r="L19" s="19">
        <v>205.2</v>
      </c>
      <c r="M19" s="19">
        <v>171</v>
      </c>
      <c r="N19" s="19">
        <v>190.3</v>
      </c>
      <c r="O19" s="19">
        <f t="shared" si="2"/>
        <v>175.625</v>
      </c>
      <c r="P19" s="19">
        <f t="shared" si="0"/>
        <v>176.54166666666666</v>
      </c>
      <c r="Q19" s="20">
        <f t="shared" si="1"/>
        <v>-5.1923530800094264E-3</v>
      </c>
    </row>
    <row r="20" spans="1:17" ht="15" customHeight="1" x14ac:dyDescent="0.2">
      <c r="A20" s="15">
        <v>2023</v>
      </c>
      <c r="B20" s="15" t="s">
        <v>85</v>
      </c>
      <c r="C20" s="19">
        <v>173.8</v>
      </c>
      <c r="D20" s="19">
        <v>210.7</v>
      </c>
      <c r="E20" s="19">
        <v>194.5</v>
      </c>
      <c r="F20" s="19">
        <v>174.6</v>
      </c>
      <c r="G20" s="19">
        <v>187.2</v>
      </c>
      <c r="H20" s="19">
        <v>158.30000000000001</v>
      </c>
      <c r="I20" s="19">
        <v>153.9</v>
      </c>
      <c r="J20" s="19">
        <v>170.9</v>
      </c>
      <c r="K20" s="19">
        <v>121.1</v>
      </c>
      <c r="L20" s="19">
        <v>208.4</v>
      </c>
      <c r="M20" s="19">
        <v>171.4</v>
      </c>
      <c r="N20" s="19">
        <v>191.2</v>
      </c>
      <c r="O20" s="19">
        <f t="shared" si="2"/>
        <v>176.33333333333334</v>
      </c>
      <c r="P20" s="19">
        <f t="shared" si="0"/>
        <v>175.625</v>
      </c>
      <c r="Q20" s="20">
        <f t="shared" si="1"/>
        <v>4.0332147093713466E-3</v>
      </c>
    </row>
    <row r="21" spans="1:17" ht="15" customHeight="1" x14ac:dyDescent="0.2">
      <c r="A21" s="15">
        <v>2023</v>
      </c>
      <c r="B21" s="15" t="s">
        <v>90</v>
      </c>
      <c r="C21" s="19">
        <v>174.4</v>
      </c>
      <c r="D21" s="19">
        <v>207.7</v>
      </c>
      <c r="E21" s="19">
        <v>175.2</v>
      </c>
      <c r="F21" s="19">
        <v>177.3</v>
      </c>
      <c r="G21" s="19">
        <v>179.3</v>
      </c>
      <c r="H21" s="19">
        <v>169.5</v>
      </c>
      <c r="I21" s="19">
        <v>152.69999999999999</v>
      </c>
      <c r="J21" s="19">
        <v>171</v>
      </c>
      <c r="K21" s="19">
        <v>120</v>
      </c>
      <c r="L21" s="19">
        <v>209.7</v>
      </c>
      <c r="M21" s="19">
        <v>172.3</v>
      </c>
      <c r="N21" s="19">
        <v>193</v>
      </c>
      <c r="O21" s="19">
        <f t="shared" si="2"/>
        <v>175.17499999999998</v>
      </c>
      <c r="P21" s="19">
        <f t="shared" si="0"/>
        <v>176.33333333333334</v>
      </c>
      <c r="Q21" s="20">
        <f t="shared" si="1"/>
        <v>-6.5689981096409555E-3</v>
      </c>
    </row>
    <row r="22" spans="1:17" ht="15" customHeight="1" x14ac:dyDescent="0.2">
      <c r="A22" s="15">
        <v>2023</v>
      </c>
      <c r="B22" s="15" t="s">
        <v>92</v>
      </c>
      <c r="C22" s="19">
        <v>174.4</v>
      </c>
      <c r="D22" s="19">
        <v>207.7</v>
      </c>
      <c r="E22" s="19">
        <v>175.2</v>
      </c>
      <c r="F22" s="19">
        <v>177.3</v>
      </c>
      <c r="G22" s="19">
        <v>179.2</v>
      </c>
      <c r="H22" s="19">
        <v>169.5</v>
      </c>
      <c r="I22" s="19">
        <v>152.80000000000001</v>
      </c>
      <c r="J22" s="19">
        <v>171.1</v>
      </c>
      <c r="K22" s="19">
        <v>120</v>
      </c>
      <c r="L22" s="19">
        <v>209.7</v>
      </c>
      <c r="M22" s="19">
        <v>172.3</v>
      </c>
      <c r="N22" s="19">
        <v>193</v>
      </c>
      <c r="O22" s="19">
        <f t="shared" si="2"/>
        <v>175.18333333333331</v>
      </c>
      <c r="P22" s="19">
        <f t="shared" si="0"/>
        <v>175.17499999999998</v>
      </c>
      <c r="Q22" s="20">
        <f t="shared" si="1"/>
        <v>4.7571476142760361E-5</v>
      </c>
    </row>
    <row r="23" spans="1:17" ht="15" customHeight="1" x14ac:dyDescent="0.2">
      <c r="A23" s="15">
        <v>2023</v>
      </c>
      <c r="B23" s="15" t="s">
        <v>93</v>
      </c>
      <c r="C23" s="19">
        <v>173.8</v>
      </c>
      <c r="D23" s="19">
        <v>209.3</v>
      </c>
      <c r="E23" s="19">
        <v>169.6</v>
      </c>
      <c r="F23" s="19">
        <v>178.4</v>
      </c>
      <c r="G23" s="19">
        <v>174.9</v>
      </c>
      <c r="H23" s="19">
        <v>176.3</v>
      </c>
      <c r="I23" s="19">
        <v>155.4</v>
      </c>
      <c r="J23" s="19">
        <v>173.4</v>
      </c>
      <c r="K23" s="19">
        <v>121.3</v>
      </c>
      <c r="L23" s="19">
        <v>212.9</v>
      </c>
      <c r="M23" s="19">
        <v>172.9</v>
      </c>
      <c r="N23" s="19">
        <v>193.5</v>
      </c>
      <c r="O23" s="19">
        <f t="shared" si="2"/>
        <v>175.97500000000002</v>
      </c>
      <c r="P23" s="19">
        <f t="shared" si="0"/>
        <v>175.18333333333331</v>
      </c>
      <c r="Q23" s="20">
        <f t="shared" si="1"/>
        <v>4.5190752544954638E-3</v>
      </c>
    </row>
    <row r="24" spans="1:17" ht="15" customHeight="1" x14ac:dyDescent="0.2">
      <c r="A24" s="15">
        <v>2023</v>
      </c>
      <c r="B24" s="15" t="s">
        <v>95</v>
      </c>
      <c r="C24" s="19">
        <v>173.7</v>
      </c>
      <c r="D24" s="19">
        <v>214.3</v>
      </c>
      <c r="E24" s="19">
        <v>173.2</v>
      </c>
      <c r="F24" s="19">
        <v>179.5</v>
      </c>
      <c r="G24" s="19">
        <v>170</v>
      </c>
      <c r="H24" s="19">
        <v>172.2</v>
      </c>
      <c r="I24" s="19">
        <v>161</v>
      </c>
      <c r="J24" s="19">
        <v>175.6</v>
      </c>
      <c r="K24" s="19">
        <v>122.7</v>
      </c>
      <c r="L24" s="19">
        <v>218</v>
      </c>
      <c r="M24" s="19">
        <v>173.4</v>
      </c>
      <c r="N24" s="19">
        <v>194.2</v>
      </c>
      <c r="O24" s="19">
        <f t="shared" si="2"/>
        <v>177.31666666666669</v>
      </c>
      <c r="P24" s="19">
        <f t="shared" si="0"/>
        <v>175.97500000000002</v>
      </c>
      <c r="Q24" s="20">
        <f t="shared" si="1"/>
        <v>7.6241890420041258E-3</v>
      </c>
    </row>
    <row r="27" spans="1:17" ht="27.75" customHeight="1" x14ac:dyDescent="0.2">
      <c r="A27" s="16" t="s">
        <v>433</v>
      </c>
    </row>
    <row r="28" spans="1:17" ht="27.75" customHeight="1" x14ac:dyDescent="0.2">
      <c r="A28" s="11" t="s">
        <v>434</v>
      </c>
      <c r="B28" s="11" t="s">
        <v>435</v>
      </c>
      <c r="C28" s="11" t="s">
        <v>436</v>
      </c>
    </row>
    <row r="29" spans="1:17" ht="41.25" customHeight="1" x14ac:dyDescent="0.2">
      <c r="A29" s="30" t="s">
        <v>437</v>
      </c>
      <c r="B29" s="25">
        <f>MAX(Q13:Q24)</f>
        <v>1.0360185902400953E-2</v>
      </c>
      <c r="C29" s="30" t="s">
        <v>330</v>
      </c>
    </row>
    <row r="30" spans="1:17" ht="41.25" customHeight="1" x14ac:dyDescent="0.2">
      <c r="A30" s="30" t="s">
        <v>438</v>
      </c>
      <c r="B30" s="30" t="str">
        <f>INDEX(B13:B24,MATCH(MAX(Q13:Q24),Q13:Q24,0))</f>
        <v>June</v>
      </c>
      <c r="C30" s="30" t="s">
        <v>294</v>
      </c>
    </row>
    <row r="31" spans="1:17" ht="41.25" customHeight="1" x14ac:dyDescent="0.2">
      <c r="A31" s="30" t="s">
        <v>439</v>
      </c>
      <c r="B31" s="25">
        <f>MIN(Q13:Q24)</f>
        <v>-6.5689981096409555E-3</v>
      </c>
      <c r="C31" s="30" t="s">
        <v>440</v>
      </c>
    </row>
    <row r="32" spans="1:17" ht="41.25" customHeight="1" x14ac:dyDescent="0.2">
      <c r="A32" s="30" t="s">
        <v>441</v>
      </c>
      <c r="B32" s="30" t="str">
        <f>INDEX(B13:B24,MATCH(MIN(Q13:Q24),Q13:Q24,0))</f>
        <v>February</v>
      </c>
      <c r="C32" s="30" t="s">
        <v>442</v>
      </c>
    </row>
    <row r="33" spans="1:7" ht="27.75" customHeight="1" x14ac:dyDescent="0.2">
      <c r="A33" s="30" t="s">
        <v>443</v>
      </c>
      <c r="B33" s="12">
        <f>O12</f>
        <v>172.13333333333335</v>
      </c>
      <c r="C33" s="30" t="s">
        <v>444</v>
      </c>
    </row>
    <row r="34" spans="1:7" ht="27.75" customHeight="1" x14ac:dyDescent="0.2">
      <c r="A34" s="30" t="s">
        <v>445</v>
      </c>
      <c r="B34" s="12">
        <f>O24</f>
        <v>177.31666666666669</v>
      </c>
      <c r="C34" s="30" t="s">
        <v>444</v>
      </c>
    </row>
    <row r="35" spans="1:7" ht="41.25" customHeight="1" x14ac:dyDescent="0.2">
      <c r="A35" s="30" t="s">
        <v>446</v>
      </c>
      <c r="B35" s="30">
        <f>B34-B33</f>
        <v>5.1833333333333371</v>
      </c>
      <c r="C35" s="30" t="s">
        <v>447</v>
      </c>
    </row>
    <row r="36" spans="1:7" ht="27.75" customHeight="1" x14ac:dyDescent="0.2">
      <c r="A36" s="30" t="s">
        <v>448</v>
      </c>
      <c r="B36" s="25">
        <f>B34/B33-1</f>
        <v>3.0112316034082154E-2</v>
      </c>
      <c r="C36" s="30" t="s">
        <v>449</v>
      </c>
    </row>
    <row r="39" spans="1:7" ht="95.25" customHeight="1" x14ac:dyDescent="0.2">
      <c r="A39" s="80" t="s">
        <v>450</v>
      </c>
      <c r="B39" s="149" t="s">
        <v>718</v>
      </c>
      <c r="C39" s="149"/>
      <c r="D39" s="149"/>
      <c r="E39" s="149"/>
      <c r="F39" s="149"/>
      <c r="G39" s="149"/>
    </row>
    <row r="40" spans="1:7" ht="41.25" customHeight="1" x14ac:dyDescent="0.2">
      <c r="A40" s="11" t="s">
        <v>451</v>
      </c>
      <c r="B40" s="11" t="s">
        <v>452</v>
      </c>
      <c r="C40" s="11" t="s">
        <v>453</v>
      </c>
      <c r="D40" s="11" t="s">
        <v>454</v>
      </c>
      <c r="E40" s="11" t="s">
        <v>455</v>
      </c>
      <c r="F40" s="11" t="s">
        <v>456</v>
      </c>
    </row>
    <row r="41" spans="1:7" ht="27.75" customHeight="1" x14ac:dyDescent="0.2">
      <c r="A41" s="30" t="s">
        <v>57</v>
      </c>
      <c r="B41" s="12">
        <f>C12</f>
        <v>154.1</v>
      </c>
      <c r="C41" s="12">
        <f>C24</f>
        <v>173.7</v>
      </c>
      <c r="D41" s="12">
        <f>C41-B41</f>
        <v>19.599999999999994</v>
      </c>
      <c r="E41" s="25">
        <f>C41/B41-1</f>
        <v>0.12719013627514597</v>
      </c>
      <c r="F41" s="32">
        <f>IF(D41&gt;0,D41/SUMIF($D$41:$D$52,"&gt;0",$D$41:$D$52),0)</f>
        <v>0.17625899280575541</v>
      </c>
    </row>
    <row r="42" spans="1:7" ht="27.75" customHeight="1" x14ac:dyDescent="0.2">
      <c r="A42" s="30" t="s">
        <v>58</v>
      </c>
      <c r="B42" s="12">
        <f>D12</f>
        <v>217</v>
      </c>
      <c r="C42" s="12">
        <f>D24</f>
        <v>214.3</v>
      </c>
      <c r="D42" s="12">
        <f t="shared" ref="D42:D52" si="3">C42-B42</f>
        <v>-2.6999999999999886</v>
      </c>
      <c r="E42" s="25">
        <f t="shared" ref="E42:E52" si="4">C42/B42-1</f>
        <v>-1.2442396313363968E-2</v>
      </c>
      <c r="F42" s="32">
        <f t="shared" ref="F42:F52" si="5">IF(D42&gt;0,D42/SUMIF($D$41:$D$52,"&gt;0",$D$41:$D$52),0)</f>
        <v>0</v>
      </c>
    </row>
    <row r="43" spans="1:7" ht="15" customHeight="1" x14ac:dyDescent="0.2">
      <c r="A43" s="30" t="s">
        <v>59</v>
      </c>
      <c r="B43" s="12">
        <f>E12</f>
        <v>162.4</v>
      </c>
      <c r="C43" s="12">
        <f>E24</f>
        <v>173.2</v>
      </c>
      <c r="D43" s="12">
        <f t="shared" si="3"/>
        <v>10.799999999999983</v>
      </c>
      <c r="E43" s="25">
        <f t="shared" si="4"/>
        <v>6.6502463054187055E-2</v>
      </c>
      <c r="F43" s="32">
        <f t="shared" si="5"/>
        <v>9.7122302158273263E-2</v>
      </c>
    </row>
    <row r="44" spans="1:7" ht="27.75" customHeight="1" x14ac:dyDescent="0.2">
      <c r="A44" s="30" t="s">
        <v>60</v>
      </c>
      <c r="B44" s="12">
        <f>F12</f>
        <v>164.9</v>
      </c>
      <c r="C44" s="12">
        <f>F24</f>
        <v>179.5</v>
      </c>
      <c r="D44" s="12">
        <f t="shared" si="3"/>
        <v>14.599999999999994</v>
      </c>
      <c r="E44" s="25">
        <f t="shared" si="4"/>
        <v>8.8538508186779774E-2</v>
      </c>
      <c r="F44" s="32">
        <f t="shared" si="5"/>
        <v>0.13129496402877697</v>
      </c>
    </row>
    <row r="45" spans="1:7" ht="15" customHeight="1" x14ac:dyDescent="0.2">
      <c r="A45" s="30" t="s">
        <v>61</v>
      </c>
      <c r="B45" s="12">
        <f>G12</f>
        <v>202.4</v>
      </c>
      <c r="C45" s="12">
        <f>G24</f>
        <v>170</v>
      </c>
      <c r="D45" s="12">
        <f t="shared" si="3"/>
        <v>-32.400000000000006</v>
      </c>
      <c r="E45" s="25">
        <f t="shared" si="4"/>
        <v>-0.16007905138339928</v>
      </c>
      <c r="F45" s="32">
        <f t="shared" si="5"/>
        <v>0</v>
      </c>
    </row>
    <row r="46" spans="1:7" ht="15" customHeight="1" x14ac:dyDescent="0.2">
      <c r="A46" s="30" t="s">
        <v>62</v>
      </c>
      <c r="B46" s="12">
        <f>H12</f>
        <v>171</v>
      </c>
      <c r="C46" s="12">
        <f>H24</f>
        <v>172.2</v>
      </c>
      <c r="D46" s="12">
        <f t="shared" si="3"/>
        <v>1.1999999999999886</v>
      </c>
      <c r="E46" s="25">
        <f t="shared" si="4"/>
        <v>7.0175438596491446E-3</v>
      </c>
      <c r="F46" s="32">
        <f t="shared" si="5"/>
        <v>1.0791366906474722E-2</v>
      </c>
    </row>
    <row r="47" spans="1:7" ht="15" customHeight="1" x14ac:dyDescent="0.2">
      <c r="A47" s="30" t="s">
        <v>63</v>
      </c>
      <c r="B47" s="12">
        <f>I12</f>
        <v>174.9</v>
      </c>
      <c r="C47" s="12">
        <f>I24</f>
        <v>161</v>
      </c>
      <c r="D47" s="12">
        <f t="shared" si="3"/>
        <v>-13.900000000000006</v>
      </c>
      <c r="E47" s="25">
        <f t="shared" si="4"/>
        <v>-7.9473985134362546E-2</v>
      </c>
      <c r="F47" s="32">
        <f t="shared" si="5"/>
        <v>0</v>
      </c>
    </row>
    <row r="48" spans="1:7" ht="27.75" customHeight="1" x14ac:dyDescent="0.2">
      <c r="A48" s="30" t="s">
        <v>64</v>
      </c>
      <c r="B48" s="12">
        <f>J12</f>
        <v>164.7</v>
      </c>
      <c r="C48" s="12">
        <f>J24</f>
        <v>175.6</v>
      </c>
      <c r="D48" s="12">
        <f t="shared" si="3"/>
        <v>10.900000000000006</v>
      </c>
      <c r="E48" s="25">
        <f t="shared" si="4"/>
        <v>6.6180935033394173E-2</v>
      </c>
      <c r="F48" s="32">
        <f t="shared" si="5"/>
        <v>9.8021582733813034E-2</v>
      </c>
    </row>
    <row r="49" spans="1:8" ht="41.25" customHeight="1" x14ac:dyDescent="0.2">
      <c r="A49" s="30" t="s">
        <v>65</v>
      </c>
      <c r="B49" s="12">
        <f>K12</f>
        <v>119.7</v>
      </c>
      <c r="C49" s="12">
        <f>K24</f>
        <v>122.7</v>
      </c>
      <c r="D49" s="12">
        <f t="shared" si="3"/>
        <v>3</v>
      </c>
      <c r="E49" s="25">
        <f t="shared" si="4"/>
        <v>2.506265664160412E-2</v>
      </c>
      <c r="F49" s="32">
        <f t="shared" si="5"/>
        <v>2.697841726618706E-2</v>
      </c>
    </row>
    <row r="50" spans="1:8" ht="15" customHeight="1" x14ac:dyDescent="0.2">
      <c r="A50" s="30" t="s">
        <v>66</v>
      </c>
      <c r="B50" s="12">
        <f>L12</f>
        <v>184.9</v>
      </c>
      <c r="C50" s="12">
        <f>L24</f>
        <v>218</v>
      </c>
      <c r="D50" s="12">
        <f t="shared" si="3"/>
        <v>33.099999999999994</v>
      </c>
      <c r="E50" s="25">
        <f t="shared" si="4"/>
        <v>0.17901568415359659</v>
      </c>
      <c r="F50" s="32">
        <f t="shared" si="5"/>
        <v>0.29766187050359716</v>
      </c>
    </row>
    <row r="51" spans="1:8" ht="41.25" customHeight="1" x14ac:dyDescent="0.2">
      <c r="A51" s="30" t="s">
        <v>67</v>
      </c>
      <c r="B51" s="12">
        <f>M12</f>
        <v>167.1</v>
      </c>
      <c r="C51" s="12">
        <f>M24</f>
        <v>173.4</v>
      </c>
      <c r="D51" s="12">
        <f t="shared" si="3"/>
        <v>6.3000000000000114</v>
      </c>
      <c r="E51" s="25">
        <f t="shared" si="4"/>
        <v>3.7701974865350207E-2</v>
      </c>
      <c r="F51" s="32">
        <f t="shared" si="5"/>
        <v>5.6654676258992925E-2</v>
      </c>
    </row>
    <row r="52" spans="1:8" ht="54.75" customHeight="1" x14ac:dyDescent="0.2">
      <c r="A52" s="30" t="s">
        <v>68</v>
      </c>
      <c r="B52" s="12">
        <f>N12</f>
        <v>182.5</v>
      </c>
      <c r="C52" s="12">
        <f>N24</f>
        <v>194.2</v>
      </c>
      <c r="D52" s="12">
        <f t="shared" si="3"/>
        <v>11.699999999999989</v>
      </c>
      <c r="E52" s="25">
        <f t="shared" si="4"/>
        <v>6.4109589041095871E-2</v>
      </c>
      <c r="F52" s="32">
        <f t="shared" si="5"/>
        <v>0.10521582733812943</v>
      </c>
    </row>
    <row r="53" spans="1:8" ht="54.75" customHeight="1" x14ac:dyDescent="0.2">
      <c r="A53" s="30" t="s">
        <v>457</v>
      </c>
      <c r="B53" s="30" t="str">
        <f>INDEX(A41:A52,MATCH(MAX(D41:D52),D41:D52,0))</f>
        <v>Spices</v>
      </c>
      <c r="C53" s="30" t="s">
        <v>454</v>
      </c>
      <c r="D53" s="30">
        <f>MAX(D41:D52)</f>
        <v>33.099999999999994</v>
      </c>
      <c r="E53" s="30" t="s">
        <v>458</v>
      </c>
    </row>
    <row r="56" spans="1:8" ht="41.25" customHeight="1" x14ac:dyDescent="0.2">
      <c r="A56" s="16" t="s">
        <v>286</v>
      </c>
    </row>
    <row r="57" spans="1:8" ht="15" customHeight="1" x14ac:dyDescent="0.2">
      <c r="A57" s="18" t="s">
        <v>287</v>
      </c>
      <c r="B57" s="141" t="s">
        <v>459</v>
      </c>
      <c r="C57" s="115"/>
      <c r="D57" s="115"/>
      <c r="E57" s="115"/>
      <c r="F57" s="115"/>
      <c r="G57" s="115"/>
      <c r="H57" s="115"/>
    </row>
    <row r="58" spans="1:8" ht="15" customHeight="1" x14ac:dyDescent="0.2">
      <c r="A58" s="18" t="s">
        <v>460</v>
      </c>
      <c r="B58" s="141" t="s">
        <v>461</v>
      </c>
      <c r="C58" s="115"/>
      <c r="D58" s="115"/>
      <c r="E58" s="115"/>
      <c r="F58" s="115"/>
      <c r="G58" s="115"/>
      <c r="H58" s="115"/>
    </row>
    <row r="59" spans="1:8" ht="15" customHeight="1" x14ac:dyDescent="0.2">
      <c r="A59" s="18" t="s">
        <v>330</v>
      </c>
      <c r="B59" s="141" t="s">
        <v>462</v>
      </c>
      <c r="C59" s="115"/>
      <c r="D59" s="115"/>
      <c r="E59" s="115"/>
      <c r="F59" s="115"/>
      <c r="G59" s="115"/>
      <c r="H59" s="115"/>
    </row>
    <row r="60" spans="1:8" ht="15" customHeight="1" x14ac:dyDescent="0.2">
      <c r="A60" s="18" t="s">
        <v>440</v>
      </c>
      <c r="B60" s="150" t="s">
        <v>463</v>
      </c>
      <c r="C60" s="115"/>
      <c r="D60" s="115"/>
      <c r="E60" s="115"/>
      <c r="F60" s="115"/>
      <c r="G60" s="115"/>
      <c r="H60" s="115"/>
    </row>
    <row r="61" spans="1:8" ht="27.75" customHeight="1" x14ac:dyDescent="0.2">
      <c r="A61" s="18" t="s">
        <v>332</v>
      </c>
      <c r="B61" s="141" t="s">
        <v>464</v>
      </c>
      <c r="C61" s="115"/>
      <c r="D61" s="115"/>
      <c r="E61" s="115"/>
      <c r="F61" s="115"/>
      <c r="G61" s="115"/>
      <c r="H61" s="115"/>
    </row>
    <row r="62" spans="1:8" ht="15" customHeight="1" x14ac:dyDescent="0.2">
      <c r="A62" s="18" t="s">
        <v>465</v>
      </c>
      <c r="B62" s="141" t="s">
        <v>466</v>
      </c>
      <c r="C62" s="115"/>
      <c r="D62" s="115"/>
      <c r="E62" s="115"/>
      <c r="F62" s="115"/>
      <c r="G62" s="115"/>
      <c r="H62" s="115"/>
    </row>
    <row r="63" spans="1:8" ht="15" customHeight="1" x14ac:dyDescent="0.2">
      <c r="A63" s="18" t="s">
        <v>447</v>
      </c>
      <c r="B63" s="141" t="s">
        <v>467</v>
      </c>
      <c r="C63" s="115"/>
      <c r="D63" s="115"/>
      <c r="E63" s="115"/>
      <c r="F63" s="115"/>
      <c r="G63" s="115"/>
      <c r="H63" s="115"/>
    </row>
    <row r="64" spans="1:8" ht="27.75" customHeight="1" x14ac:dyDescent="0.2">
      <c r="A64" s="18" t="s">
        <v>468</v>
      </c>
      <c r="B64" s="141" t="s">
        <v>469</v>
      </c>
      <c r="C64" s="115"/>
      <c r="D64" s="115"/>
      <c r="E64" s="115"/>
      <c r="F64" s="115"/>
      <c r="G64" s="115"/>
      <c r="H64" s="115"/>
    </row>
  </sheetData>
  <mergeCells count="11">
    <mergeCell ref="B64:H64"/>
    <mergeCell ref="B59:H59"/>
    <mergeCell ref="B60:H60"/>
    <mergeCell ref="B63:H63"/>
    <mergeCell ref="B61:H61"/>
    <mergeCell ref="B58:H58"/>
    <mergeCell ref="B57:H57"/>
    <mergeCell ref="A1:O1"/>
    <mergeCell ref="B62:H62"/>
    <mergeCell ref="A6:F9"/>
    <mergeCell ref="B39:G39"/>
  </mergeCells>
  <phoneticPr fontId="40" type="noConversion"/>
  <hyperlinks>
    <hyperlink ref="R2" r:id="rId1" location="'Dashboard'!A1" xr:uid="{00000000-0004-0000-0F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pageSetUpPr fitToPage="1"/>
  </sheetPr>
  <dimension ref="A1:G22"/>
  <sheetViews>
    <sheetView showGridLines="0" zoomScale="90" zoomScaleNormal="90" workbookViewId="0">
      <pane ySplit="4" topLeftCell="A5" activePane="bottomLeft" state="frozen"/>
      <selection pane="bottomLeft" activeCell="D7" sqref="D7"/>
    </sheetView>
  </sheetViews>
  <sheetFormatPr defaultColWidth="8.7109375" defaultRowHeight="15" customHeight="1" x14ac:dyDescent="0.2"/>
  <cols>
    <col min="1" max="1" width="29.7109375" customWidth="1"/>
    <col min="2" max="2" width="42" customWidth="1"/>
    <col min="3" max="6" width="18.85546875" customWidth="1"/>
    <col min="7" max="7" width="10" customWidth="1"/>
  </cols>
  <sheetData>
    <row r="1" spans="1:7" ht="24" customHeight="1" x14ac:dyDescent="0.2">
      <c r="A1" s="140" t="s">
        <v>470</v>
      </c>
      <c r="B1" s="115"/>
      <c r="C1" s="115"/>
      <c r="D1" s="115"/>
      <c r="E1" s="115"/>
      <c r="F1" s="115"/>
    </row>
    <row r="2" spans="1:7" ht="15" customHeight="1" x14ac:dyDescent="0.2">
      <c r="G2" s="10" t="s">
        <v>86</v>
      </c>
    </row>
    <row r="3" spans="1:7" ht="27.75" customHeight="1" x14ac:dyDescent="0.2">
      <c r="A3" s="18" t="s">
        <v>358</v>
      </c>
      <c r="B3" s="30" t="s">
        <v>428</v>
      </c>
      <c r="D3" s="18" t="s">
        <v>54</v>
      </c>
      <c r="E3" s="30" t="s">
        <v>89</v>
      </c>
    </row>
    <row r="5" spans="1:7" ht="27.75" customHeight="1" x14ac:dyDescent="0.2">
      <c r="A5" s="11" t="s">
        <v>55</v>
      </c>
      <c r="B5" s="11" t="s">
        <v>56</v>
      </c>
      <c r="C5" s="11" t="s">
        <v>429</v>
      </c>
      <c r="D5" s="11" t="s">
        <v>432</v>
      </c>
      <c r="E5" s="11" t="s">
        <v>277</v>
      </c>
      <c r="F5" s="11" t="s">
        <v>471</v>
      </c>
    </row>
    <row r="6" spans="1:7" ht="15" customHeight="1" x14ac:dyDescent="0.2">
      <c r="A6" s="30">
        <f>'Q3 Calculation'!A13</f>
        <v>2022</v>
      </c>
      <c r="B6" s="30" t="str">
        <f>'Q3 Calculation'!B13</f>
        <v>June</v>
      </c>
      <c r="C6" s="12">
        <f>'Q3 Calculation'!O13</f>
        <v>173.91666666666666</v>
      </c>
      <c r="D6" s="25">
        <f>'Q3 Calculation'!Q13</f>
        <v>1.0360185902400953E-2</v>
      </c>
      <c r="E6" s="30" t="e">
        <f>'Q3 Calculation'!#REF!</f>
        <v>#REF!</v>
      </c>
      <c r="F6" s="30" t="s">
        <v>472</v>
      </c>
    </row>
    <row r="7" spans="1:7" ht="15" customHeight="1" x14ac:dyDescent="0.2">
      <c r="A7" s="30">
        <f>'Q3 Calculation'!A14</f>
        <v>2022</v>
      </c>
      <c r="B7" s="30" t="str">
        <f>'Q3 Calculation'!B14</f>
        <v>July</v>
      </c>
      <c r="C7" s="12">
        <f>'Q3 Calculation'!O14</f>
        <v>174.27500000000001</v>
      </c>
      <c r="D7" s="25">
        <f>'Q3 Calculation'!Q14</f>
        <v>2.0603737422137947E-3</v>
      </c>
      <c r="E7" s="30" t="e">
        <f>'Q3 Calculation'!#REF!</f>
        <v>#REF!</v>
      </c>
      <c r="F7" s="30" t="s">
        <v>472</v>
      </c>
    </row>
    <row r="8" spans="1:7" ht="15" customHeight="1" x14ac:dyDescent="0.2">
      <c r="A8" s="30">
        <f>'Q3 Calculation'!A15</f>
        <v>2022</v>
      </c>
      <c r="B8" s="30" t="str">
        <f>'Q3 Calculation'!B15</f>
        <v>August</v>
      </c>
      <c r="C8" s="12">
        <f>'Q3 Calculation'!O15</f>
        <v>174.40833333333333</v>
      </c>
      <c r="D8" s="25">
        <f>'Q3 Calculation'!Q15</f>
        <v>7.6507435566397497E-4</v>
      </c>
      <c r="E8" s="30" t="e">
        <f>'Q3 Calculation'!#REF!</f>
        <v>#REF!</v>
      </c>
      <c r="F8" s="30" t="s">
        <v>472</v>
      </c>
    </row>
    <row r="9" spans="1:7" ht="15" customHeight="1" x14ac:dyDescent="0.2">
      <c r="A9" s="30">
        <f>'Q3 Calculation'!A16</f>
        <v>2022</v>
      </c>
      <c r="B9" s="30" t="str">
        <f>'Q3 Calculation'!B16</f>
        <v>September</v>
      </c>
      <c r="C9" s="12">
        <f>'Q3 Calculation'!O16</f>
        <v>175.25833333333333</v>
      </c>
      <c r="D9" s="25">
        <f>'Q3 Calculation'!Q16</f>
        <v>4.873620335419826E-3</v>
      </c>
      <c r="E9" s="30" t="e">
        <f>'Q3 Calculation'!#REF!</f>
        <v>#REF!</v>
      </c>
      <c r="F9" s="30" t="s">
        <v>472</v>
      </c>
    </row>
    <row r="10" spans="1:7" ht="15" customHeight="1" x14ac:dyDescent="0.2">
      <c r="A10" s="30">
        <f>'Q3 Calculation'!A17</f>
        <v>2022</v>
      </c>
      <c r="B10" s="30" t="str">
        <f>'Q3 Calculation'!B17</f>
        <v>October</v>
      </c>
      <c r="C10" s="12">
        <f>'Q3 Calculation'!O17</f>
        <v>176.47500000000002</v>
      </c>
      <c r="D10" s="25">
        <f>'Q3 Calculation'!Q17</f>
        <v>6.9421330417005489E-3</v>
      </c>
      <c r="E10" s="30" t="e">
        <f>'Q3 Calculation'!#REF!</f>
        <v>#REF!</v>
      </c>
      <c r="F10" s="30" t="s">
        <v>472</v>
      </c>
    </row>
    <row r="11" spans="1:7" ht="15" customHeight="1" x14ac:dyDescent="0.2">
      <c r="A11" s="30">
        <f>'Q3 Calculation'!A18</f>
        <v>2022</v>
      </c>
      <c r="B11" s="30" t="str">
        <f>'Q3 Calculation'!B18</f>
        <v>November</v>
      </c>
      <c r="C11" s="12">
        <f>'Q3 Calculation'!O18</f>
        <v>176.54166666666666</v>
      </c>
      <c r="D11" s="25">
        <f>'Q3 Calculation'!Q18</f>
        <v>3.7776833356928385E-4</v>
      </c>
      <c r="E11" s="30" t="e">
        <f>'Q3 Calculation'!#REF!</f>
        <v>#REF!</v>
      </c>
      <c r="F11" s="30" t="s">
        <v>472</v>
      </c>
    </row>
    <row r="12" spans="1:7" ht="15" customHeight="1" x14ac:dyDescent="0.2">
      <c r="A12" s="30">
        <f>'Q3 Calculation'!A19</f>
        <v>2022</v>
      </c>
      <c r="B12" s="30" t="str">
        <f>'Q3 Calculation'!B19</f>
        <v>December</v>
      </c>
      <c r="C12" s="12">
        <f>'Q3 Calculation'!O19</f>
        <v>175.625</v>
      </c>
      <c r="D12" s="25">
        <f>'Q3 Calculation'!Q19</f>
        <v>-5.1923530800094264E-3</v>
      </c>
      <c r="E12" s="30" t="e">
        <f>'Q3 Calculation'!#REF!</f>
        <v>#REF!</v>
      </c>
      <c r="F12" s="30" t="s">
        <v>472</v>
      </c>
    </row>
    <row r="13" spans="1:7" ht="15" customHeight="1" x14ac:dyDescent="0.2">
      <c r="A13" s="30">
        <f>'Q3 Calculation'!A20</f>
        <v>2023</v>
      </c>
      <c r="B13" s="30" t="str">
        <f>'Q3 Calculation'!B20</f>
        <v>January</v>
      </c>
      <c r="C13" s="12">
        <f>'Q3 Calculation'!O20</f>
        <v>176.33333333333334</v>
      </c>
      <c r="D13" s="25">
        <f>'Q3 Calculation'!Q20</f>
        <v>4.0332147093713466E-3</v>
      </c>
      <c r="E13" s="30" t="e">
        <f>'Q3 Calculation'!#REF!</f>
        <v>#REF!</v>
      </c>
      <c r="F13" s="30" t="s">
        <v>472</v>
      </c>
    </row>
    <row r="14" spans="1:7" ht="15" customHeight="1" x14ac:dyDescent="0.2">
      <c r="A14" s="30">
        <f>'Q3 Calculation'!A21</f>
        <v>2023</v>
      </c>
      <c r="B14" s="30" t="str">
        <f>'Q3 Calculation'!B21</f>
        <v>February</v>
      </c>
      <c r="C14" s="12">
        <f>'Q3 Calculation'!O21</f>
        <v>175.17499999999998</v>
      </c>
      <c r="D14" s="25">
        <f>'Q3 Calculation'!Q21</f>
        <v>-6.5689981096409555E-3</v>
      </c>
      <c r="E14" s="30" t="e">
        <f>'Q3 Calculation'!#REF!</f>
        <v>#REF!</v>
      </c>
      <c r="F14" s="30" t="s">
        <v>472</v>
      </c>
    </row>
    <row r="15" spans="1:7" ht="15" customHeight="1" x14ac:dyDescent="0.2">
      <c r="A15" s="30">
        <f>'Q3 Calculation'!A22</f>
        <v>2023</v>
      </c>
      <c r="B15" s="30" t="str">
        <f>'Q3 Calculation'!B22</f>
        <v>March</v>
      </c>
      <c r="C15" s="12">
        <f>'Q3 Calculation'!O22</f>
        <v>175.18333333333331</v>
      </c>
      <c r="D15" s="25">
        <f>'Q3 Calculation'!Q22</f>
        <v>4.7571476142760361E-5</v>
      </c>
      <c r="E15" s="30" t="e">
        <f>'Q3 Calculation'!#REF!</f>
        <v>#REF!</v>
      </c>
      <c r="F15" s="30" t="s">
        <v>472</v>
      </c>
    </row>
    <row r="16" spans="1:7" ht="15" customHeight="1" x14ac:dyDescent="0.2">
      <c r="A16" s="30">
        <f>'Q3 Calculation'!A23</f>
        <v>2023</v>
      </c>
      <c r="B16" s="30" t="str">
        <f>'Q3 Calculation'!B23</f>
        <v>April</v>
      </c>
      <c r="C16" s="12">
        <f>'Q3 Calculation'!O23</f>
        <v>175.97500000000002</v>
      </c>
      <c r="D16" s="25">
        <f>'Q3 Calculation'!Q23</f>
        <v>4.5190752544954638E-3</v>
      </c>
      <c r="E16" s="30" t="e">
        <f>'Q3 Calculation'!#REF!</f>
        <v>#REF!</v>
      </c>
      <c r="F16" s="30" t="s">
        <v>472</v>
      </c>
    </row>
    <row r="17" spans="1:6" ht="15" customHeight="1" x14ac:dyDescent="0.2">
      <c r="A17" s="30">
        <f>'Q3 Calculation'!A24</f>
        <v>2023</v>
      </c>
      <c r="B17" s="30" t="str">
        <f>'Q3 Calculation'!B24</f>
        <v>May</v>
      </c>
      <c r="C17" s="12">
        <f>'Q3 Calculation'!O24</f>
        <v>177.31666666666669</v>
      </c>
      <c r="D17" s="25">
        <f>'Q3 Calculation'!Q24</f>
        <v>7.6241890420041258E-3</v>
      </c>
      <c r="E17" s="30" t="e">
        <f>'Q3 Calculation'!#REF!</f>
        <v>#REF!</v>
      </c>
      <c r="F17" s="30" t="s">
        <v>472</v>
      </c>
    </row>
    <row r="20" spans="1:6" ht="41.25" customHeight="1" x14ac:dyDescent="0.2">
      <c r="A20" s="16" t="s">
        <v>286</v>
      </c>
    </row>
    <row r="21" spans="1:6" ht="15" customHeight="1" x14ac:dyDescent="0.2">
      <c r="A21" s="30" t="s">
        <v>287</v>
      </c>
      <c r="B21" s="141" t="s">
        <v>473</v>
      </c>
      <c r="C21" s="115"/>
      <c r="D21" s="115"/>
      <c r="E21" s="115"/>
      <c r="F21" s="115"/>
    </row>
    <row r="22" spans="1:6" ht="27.75" customHeight="1" x14ac:dyDescent="0.2">
      <c r="A22" s="30" t="s">
        <v>345</v>
      </c>
      <c r="B22" s="141" t="s">
        <v>474</v>
      </c>
      <c r="C22" s="115"/>
      <c r="D22" s="115"/>
      <c r="E22" s="115"/>
      <c r="F22" s="115"/>
    </row>
  </sheetData>
  <mergeCells count="3">
    <mergeCell ref="B21:F21"/>
    <mergeCell ref="A1:F1"/>
    <mergeCell ref="B22:F22"/>
  </mergeCells>
  <hyperlinks>
    <hyperlink ref="G2" r:id="rId1" location="'Dashboard'!A1" xr:uid="{00000000-0004-0000-1000-000000000000}"/>
  </hyperlinks>
  <pageMargins left="0.7" right="0.7" top="0.75" bottom="0.75" header="0.511811023622047" footer="0.511811023622047"/>
  <pageSetup paperSize="9" fitToHeight="0" orientation="landscape" horizontalDpi="300" verticalDpi="30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48235"/>
    <pageSetUpPr fitToPage="1"/>
  </sheetPr>
  <dimension ref="A1:I53"/>
  <sheetViews>
    <sheetView showGridLines="0" topLeftCell="A13" zoomScale="90" zoomScaleNormal="90" workbookViewId="0">
      <selection activeCell="C30" sqref="C30"/>
    </sheetView>
  </sheetViews>
  <sheetFormatPr defaultColWidth="8.7109375" defaultRowHeight="15" customHeight="1" x14ac:dyDescent="0.2"/>
  <cols>
    <col min="1" max="1" width="29.7109375" customWidth="1"/>
    <col min="2" max="2" width="42" customWidth="1"/>
    <col min="3" max="3" width="14" customWidth="1"/>
    <col min="4" max="4" width="34.140625" customWidth="1"/>
    <col min="5" max="5" width="18.85546875" customWidth="1"/>
    <col min="6" max="9" width="14" customWidth="1"/>
  </cols>
  <sheetData>
    <row r="1" spans="1:9" ht="24" customHeight="1" x14ac:dyDescent="0.2">
      <c r="A1" s="140" t="s">
        <v>475</v>
      </c>
      <c r="B1" s="115"/>
      <c r="C1" s="115"/>
      <c r="D1" s="115"/>
      <c r="E1" s="115"/>
      <c r="F1" s="115"/>
      <c r="G1" s="115"/>
      <c r="H1" s="115"/>
    </row>
    <row r="2" spans="1:9" ht="15" customHeight="1" x14ac:dyDescent="0.2">
      <c r="I2" s="10" t="s">
        <v>86</v>
      </c>
    </row>
    <row r="3" spans="1:9" ht="27.75" customHeight="1" x14ac:dyDescent="0.2">
      <c r="A3" s="18" t="s">
        <v>427</v>
      </c>
      <c r="B3" s="30" t="s">
        <v>428</v>
      </c>
      <c r="D3" s="18" t="s">
        <v>476</v>
      </c>
      <c r="E3" s="30" t="str">
        <f>'Q3 Calculation'!B30</f>
        <v>June</v>
      </c>
      <c r="F3" s="18" t="s">
        <v>477</v>
      </c>
      <c r="G3" s="25">
        <f>'Q3 Calculation'!B29</f>
        <v>1.0360185902400953E-2</v>
      </c>
    </row>
    <row r="5" spans="1:9" ht="27.75" customHeight="1" x14ac:dyDescent="0.2">
      <c r="A5" s="11" t="s">
        <v>56</v>
      </c>
      <c r="B5" s="11" t="s">
        <v>429</v>
      </c>
      <c r="C5" s="11" t="s">
        <v>432</v>
      </c>
    </row>
    <row r="6" spans="1:9" ht="15" customHeight="1" x14ac:dyDescent="0.2">
      <c r="A6" s="30" t="str">
        <f>'Q3 Pivot'!B6</f>
        <v>June</v>
      </c>
      <c r="B6" s="12">
        <f>'Q3 Pivot'!C6</f>
        <v>173.91666666666666</v>
      </c>
      <c r="C6" s="25">
        <f>'Q3 Pivot'!D6</f>
        <v>1.0360185902400953E-2</v>
      </c>
    </row>
    <row r="7" spans="1:9" ht="15" customHeight="1" x14ac:dyDescent="0.2">
      <c r="A7" s="30" t="str">
        <f>'Q3 Pivot'!B7</f>
        <v>July</v>
      </c>
      <c r="B7" s="12">
        <f>'Q3 Pivot'!C7</f>
        <v>174.27500000000001</v>
      </c>
      <c r="C7" s="25">
        <f>'Q3 Pivot'!D7</f>
        <v>2.0603737422137947E-3</v>
      </c>
    </row>
    <row r="8" spans="1:9" ht="15" customHeight="1" x14ac:dyDescent="0.2">
      <c r="A8" s="30" t="str">
        <f>'Q3 Pivot'!B8</f>
        <v>August</v>
      </c>
      <c r="B8" s="12">
        <f>'Q3 Pivot'!C8</f>
        <v>174.40833333333333</v>
      </c>
      <c r="C8" s="25">
        <f>'Q3 Pivot'!D8</f>
        <v>7.6507435566397497E-4</v>
      </c>
    </row>
    <row r="9" spans="1:9" ht="15" customHeight="1" x14ac:dyDescent="0.2">
      <c r="A9" s="30" t="str">
        <f>'Q3 Pivot'!B9</f>
        <v>September</v>
      </c>
      <c r="B9" s="12">
        <f>'Q3 Pivot'!C9</f>
        <v>175.25833333333333</v>
      </c>
      <c r="C9" s="25">
        <f>'Q3 Pivot'!D9</f>
        <v>4.873620335419826E-3</v>
      </c>
    </row>
    <row r="10" spans="1:9" ht="15" customHeight="1" x14ac:dyDescent="0.2">
      <c r="A10" s="30" t="str">
        <f>'Q3 Pivot'!B10</f>
        <v>October</v>
      </c>
      <c r="B10" s="12">
        <f>'Q3 Pivot'!C10</f>
        <v>176.47500000000002</v>
      </c>
      <c r="C10" s="25">
        <f>'Q3 Pivot'!D10</f>
        <v>6.9421330417005489E-3</v>
      </c>
    </row>
    <row r="11" spans="1:9" ht="15" customHeight="1" x14ac:dyDescent="0.2">
      <c r="A11" s="30" t="str">
        <f>'Q3 Pivot'!B11</f>
        <v>November</v>
      </c>
      <c r="B11" s="12">
        <f>'Q3 Pivot'!C11</f>
        <v>176.54166666666666</v>
      </c>
      <c r="C11" s="25">
        <f>'Q3 Pivot'!D11</f>
        <v>3.7776833356928385E-4</v>
      </c>
    </row>
    <row r="12" spans="1:9" ht="15" customHeight="1" x14ac:dyDescent="0.2">
      <c r="A12" s="30" t="str">
        <f>'Q3 Pivot'!B12</f>
        <v>December</v>
      </c>
      <c r="B12" s="12">
        <f>'Q3 Pivot'!C12</f>
        <v>175.625</v>
      </c>
      <c r="C12" s="25">
        <f>'Q3 Pivot'!D12</f>
        <v>-5.1923530800094264E-3</v>
      </c>
    </row>
    <row r="13" spans="1:9" ht="15" customHeight="1" x14ac:dyDescent="0.2">
      <c r="A13" s="30" t="str">
        <f>'Q3 Pivot'!B13</f>
        <v>January</v>
      </c>
      <c r="B13" s="12">
        <f>'Q3 Pivot'!C13</f>
        <v>176.33333333333334</v>
      </c>
      <c r="C13" s="25">
        <f>'Q3 Pivot'!D13</f>
        <v>4.0332147093713466E-3</v>
      </c>
    </row>
    <row r="14" spans="1:9" ht="15" customHeight="1" x14ac:dyDescent="0.2">
      <c r="A14" s="30" t="str">
        <f>'Q3 Pivot'!B14</f>
        <v>February</v>
      </c>
      <c r="B14" s="12">
        <f>'Q3 Pivot'!C14</f>
        <v>175.17499999999998</v>
      </c>
      <c r="C14" s="25">
        <f>'Q3 Pivot'!D14</f>
        <v>-6.5689981096409555E-3</v>
      </c>
    </row>
    <row r="15" spans="1:9" ht="15" customHeight="1" x14ac:dyDescent="0.2">
      <c r="A15" s="30" t="str">
        <f>'Q3 Pivot'!B15</f>
        <v>March</v>
      </c>
      <c r="B15" s="12">
        <f>'Q3 Pivot'!C15</f>
        <v>175.18333333333331</v>
      </c>
      <c r="C15" s="25">
        <f>'Q3 Pivot'!D15</f>
        <v>4.7571476142760361E-5</v>
      </c>
    </row>
    <row r="16" spans="1:9" ht="15" customHeight="1" x14ac:dyDescent="0.2">
      <c r="A16" s="30" t="str">
        <f>'Q3 Pivot'!B16</f>
        <v>April</v>
      </c>
      <c r="B16" s="12">
        <f>'Q3 Pivot'!C16</f>
        <v>175.97500000000002</v>
      </c>
      <c r="C16" s="25">
        <f>'Q3 Pivot'!D16</f>
        <v>4.5190752544954638E-3</v>
      </c>
    </row>
    <row r="17" spans="1:4" ht="15" customHeight="1" x14ac:dyDescent="0.2">
      <c r="A17" s="30" t="str">
        <f>'Q3 Pivot'!B17</f>
        <v>May</v>
      </c>
      <c r="B17" s="12">
        <f>'Q3 Pivot'!C17</f>
        <v>177.31666666666669</v>
      </c>
      <c r="C17" s="25">
        <f>'Q3 Pivot'!D17</f>
        <v>7.6241890420041258E-3</v>
      </c>
    </row>
    <row r="18" spans="1:4" ht="15" customHeight="1" x14ac:dyDescent="0.2">
      <c r="A18" t="s">
        <v>717</v>
      </c>
      <c r="B18" t="str">
        <f>_xlfn.XLOOKUP(MIN(C6:C17),C6:C17,A6:A17,0)</f>
        <v>February</v>
      </c>
    </row>
    <row r="21" spans="1:4" ht="27.75" customHeight="1" x14ac:dyDescent="0.2">
      <c r="A21" s="16" t="s">
        <v>478</v>
      </c>
    </row>
    <row r="22" spans="1:4" ht="27.75" customHeight="1" x14ac:dyDescent="0.2">
      <c r="A22" s="11" t="s">
        <v>451</v>
      </c>
      <c r="B22" s="11" t="s">
        <v>454</v>
      </c>
      <c r="C22" s="11" t="s">
        <v>455</v>
      </c>
      <c r="D22" s="11" t="s">
        <v>456</v>
      </c>
    </row>
    <row r="23" spans="1:4" ht="15" customHeight="1" x14ac:dyDescent="0.2">
      <c r="A23" s="30" t="str">
        <f>'Q3 Calculation'!A41</f>
        <v>Cereals and products</v>
      </c>
      <c r="B23" s="12">
        <f>'Q3 Calculation'!D41</f>
        <v>19.599999999999994</v>
      </c>
      <c r="C23" s="25">
        <f>'Q3 Calculation'!E41</f>
        <v>0.12719013627514597</v>
      </c>
      <c r="D23" s="25">
        <f>'Q3 Calculation'!F41</f>
        <v>0.17625899280575541</v>
      </c>
    </row>
    <row r="24" spans="1:4" ht="15" customHeight="1" x14ac:dyDescent="0.2">
      <c r="A24" s="30" t="str">
        <f>'Q3 Calculation'!A42</f>
        <v>Meat and fish</v>
      </c>
      <c r="B24" s="12">
        <f>'Q3 Calculation'!D42</f>
        <v>-2.6999999999999886</v>
      </c>
      <c r="C24" s="25">
        <f>'Q3 Calculation'!E42</f>
        <v>-1.2442396313363968E-2</v>
      </c>
      <c r="D24" s="25">
        <f>'Q3 Calculation'!F42</f>
        <v>0</v>
      </c>
    </row>
    <row r="25" spans="1:4" ht="15" customHeight="1" x14ac:dyDescent="0.2">
      <c r="A25" s="30" t="str">
        <f>'Q3 Calculation'!A43</f>
        <v>Egg</v>
      </c>
      <c r="B25" s="12">
        <f>'Q3 Calculation'!D43</f>
        <v>10.799999999999983</v>
      </c>
      <c r="C25" s="25">
        <f>'Q3 Calculation'!E43</f>
        <v>6.6502463054187055E-2</v>
      </c>
      <c r="D25" s="25">
        <f>'Q3 Calculation'!F43</f>
        <v>9.7122302158273263E-2</v>
      </c>
    </row>
    <row r="26" spans="1:4" ht="15" customHeight="1" x14ac:dyDescent="0.2">
      <c r="A26" s="30" t="str">
        <f>'Q3 Calculation'!A44</f>
        <v>Milk and products</v>
      </c>
      <c r="B26" s="12">
        <f>'Q3 Calculation'!D44</f>
        <v>14.599999999999994</v>
      </c>
      <c r="C26" s="25">
        <f>'Q3 Calculation'!E44</f>
        <v>8.8538508186779774E-2</v>
      </c>
      <c r="D26" s="25">
        <f>'Q3 Calculation'!F44</f>
        <v>0.13129496402877697</v>
      </c>
    </row>
    <row r="27" spans="1:4" ht="15" customHeight="1" x14ac:dyDescent="0.2">
      <c r="A27" s="30" t="str">
        <f>'Q3 Calculation'!A45</f>
        <v>Oils and fats</v>
      </c>
      <c r="B27" s="12">
        <f>'Q3 Calculation'!D45</f>
        <v>-32.400000000000006</v>
      </c>
      <c r="C27" s="25">
        <f>'Q3 Calculation'!E45</f>
        <v>-0.16007905138339928</v>
      </c>
      <c r="D27" s="25">
        <f>'Q3 Calculation'!F45</f>
        <v>0</v>
      </c>
    </row>
    <row r="28" spans="1:4" ht="15" customHeight="1" x14ac:dyDescent="0.2">
      <c r="A28" s="30" t="str">
        <f>'Q3 Calculation'!A46</f>
        <v>Fruits</v>
      </c>
      <c r="B28" s="12">
        <f>'Q3 Calculation'!D46</f>
        <v>1.1999999999999886</v>
      </c>
      <c r="C28" s="25">
        <f>'Q3 Calculation'!E46</f>
        <v>7.0175438596491446E-3</v>
      </c>
      <c r="D28" s="25">
        <f>'Q3 Calculation'!F46</f>
        <v>1.0791366906474722E-2</v>
      </c>
    </row>
    <row r="29" spans="1:4" ht="15" customHeight="1" x14ac:dyDescent="0.2">
      <c r="A29" s="30" t="str">
        <f>'Q3 Calculation'!A47</f>
        <v>Vegetables</v>
      </c>
      <c r="B29" s="12">
        <f>'Q3 Calculation'!D47</f>
        <v>-13.900000000000006</v>
      </c>
      <c r="C29" s="25">
        <f>'Q3 Calculation'!E47</f>
        <v>-7.9473985134362546E-2</v>
      </c>
      <c r="D29" s="25">
        <f>'Q3 Calculation'!F47</f>
        <v>0</v>
      </c>
    </row>
    <row r="30" spans="1:4" ht="15" customHeight="1" x14ac:dyDescent="0.2">
      <c r="A30" s="30" t="str">
        <f>'Q3 Calculation'!A48</f>
        <v>Pulses and products</v>
      </c>
      <c r="B30" s="12">
        <f>'Q3 Calculation'!D48</f>
        <v>10.900000000000006</v>
      </c>
      <c r="C30" s="25">
        <f>'Q3 Calculation'!E48</f>
        <v>6.6180935033394173E-2</v>
      </c>
      <c r="D30" s="25">
        <f>'Q3 Calculation'!F48</f>
        <v>9.8021582733813034E-2</v>
      </c>
    </row>
    <row r="31" spans="1:4" ht="15" customHeight="1" x14ac:dyDescent="0.2">
      <c r="A31" s="30" t="str">
        <f>'Q3 Calculation'!A49</f>
        <v>Sugar and Confectionery</v>
      </c>
      <c r="B31" s="12">
        <f>'Q3 Calculation'!D49</f>
        <v>3</v>
      </c>
      <c r="C31" s="25">
        <f>'Q3 Calculation'!E49</f>
        <v>2.506265664160412E-2</v>
      </c>
      <c r="D31" s="25">
        <f>'Q3 Calculation'!F49</f>
        <v>2.697841726618706E-2</v>
      </c>
    </row>
    <row r="32" spans="1:4" ht="15" customHeight="1" x14ac:dyDescent="0.2">
      <c r="A32" s="30" t="str">
        <f>'Q3 Calculation'!A50</f>
        <v>Spices</v>
      </c>
      <c r="B32" s="12">
        <f>'Q3 Calculation'!D50</f>
        <v>33.099999999999994</v>
      </c>
      <c r="C32" s="25">
        <f>'Q3 Calculation'!E50</f>
        <v>0.17901568415359659</v>
      </c>
      <c r="D32" s="25">
        <f>'Q3 Calculation'!F50</f>
        <v>0.29766187050359716</v>
      </c>
    </row>
    <row r="33" spans="1:8" ht="15" customHeight="1" x14ac:dyDescent="0.2">
      <c r="A33" s="30" t="str">
        <f>'Q3 Calculation'!A51</f>
        <v>Non-alcoholic beverages</v>
      </c>
      <c r="B33" s="12">
        <f>'Q3 Calculation'!D51</f>
        <v>6.3000000000000114</v>
      </c>
      <c r="C33" s="25">
        <f>'Q3 Calculation'!E51</f>
        <v>3.7701974865350207E-2</v>
      </c>
      <c r="D33" s="25">
        <f>'Q3 Calculation'!F51</f>
        <v>5.6654676258992925E-2</v>
      </c>
    </row>
    <row r="34" spans="1:8" ht="27.75" customHeight="1" x14ac:dyDescent="0.2">
      <c r="A34" s="30" t="str">
        <f>'Q3 Calculation'!A52</f>
        <v>Prepared meals, snacks, sweets etc.</v>
      </c>
      <c r="B34" s="12">
        <f>'Q3 Calculation'!D52</f>
        <v>11.699999999999989</v>
      </c>
      <c r="C34" s="25">
        <f>'Q3 Calculation'!E52</f>
        <v>6.4109589041095871E-2</v>
      </c>
      <c r="D34" s="25">
        <f>'Q3 Calculation'!F52</f>
        <v>0.10521582733812943</v>
      </c>
    </row>
    <row r="38" spans="1:8" ht="24" customHeight="1" x14ac:dyDescent="0.2">
      <c r="A38" s="105" t="s">
        <v>479</v>
      </c>
      <c r="B38" s="106"/>
      <c r="C38" s="106"/>
      <c r="D38" s="106"/>
      <c r="E38" s="106"/>
      <c r="F38" s="106"/>
      <c r="G38" s="106"/>
      <c r="H38" s="106"/>
    </row>
    <row r="39" spans="1:8" ht="30" customHeight="1" x14ac:dyDescent="0.2">
      <c r="A39" s="142" t="s">
        <v>480</v>
      </c>
      <c r="B39" s="106"/>
      <c r="C39" s="106"/>
      <c r="D39" s="106"/>
      <c r="E39" s="106"/>
      <c r="F39" s="106"/>
      <c r="G39" s="106"/>
      <c r="H39" s="106"/>
    </row>
    <row r="40" spans="1:8" ht="30" customHeight="1" x14ac:dyDescent="0.2">
      <c r="A40" s="106"/>
      <c r="B40" s="106"/>
      <c r="C40" s="106"/>
      <c r="D40" s="106"/>
      <c r="E40" s="106"/>
      <c r="F40" s="106"/>
      <c r="G40" s="106"/>
      <c r="H40" s="106"/>
    </row>
    <row r="41" spans="1:8" ht="30" customHeight="1" x14ac:dyDescent="0.2">
      <c r="A41" s="106"/>
      <c r="B41" s="106"/>
      <c r="C41" s="106"/>
      <c r="D41" s="106"/>
      <c r="E41" s="106"/>
      <c r="F41" s="106"/>
      <c r="G41" s="106"/>
      <c r="H41" s="106"/>
    </row>
    <row r="42" spans="1:8" ht="15" customHeight="1" x14ac:dyDescent="0.2">
      <c r="A42" s="30" t="s">
        <v>481</v>
      </c>
      <c r="B42" s="25">
        <f>'Q3 Calculation'!B36</f>
        <v>3.0112316034082154E-2</v>
      </c>
    </row>
    <row r="43" spans="1:8" ht="15" customHeight="1" x14ac:dyDescent="0.2">
      <c r="A43" s="30" t="s">
        <v>482</v>
      </c>
      <c r="B43" s="30" t="str">
        <f>'Q3 Calculation'!B53</f>
        <v>Spices</v>
      </c>
      <c r="C43" s="12">
        <f>'Q3 Calculation'!D53</f>
        <v>33.099999999999994</v>
      </c>
    </row>
    <row r="45" spans="1:8" ht="15" customHeight="1" x14ac:dyDescent="0.2">
      <c r="A45" s="16" t="s">
        <v>286</v>
      </c>
    </row>
    <row r="46" spans="1:8" ht="15" customHeight="1" x14ac:dyDescent="0.2">
      <c r="A46" s="18" t="s">
        <v>287</v>
      </c>
      <c r="B46" s="141" t="s">
        <v>459</v>
      </c>
      <c r="C46" s="115"/>
      <c r="D46" s="115"/>
      <c r="E46" s="115"/>
      <c r="F46" s="115"/>
      <c r="G46" s="115"/>
      <c r="H46" s="115"/>
    </row>
    <row r="47" spans="1:8" ht="15" customHeight="1" x14ac:dyDescent="0.2">
      <c r="A47" s="18" t="s">
        <v>460</v>
      </c>
      <c r="B47" s="141" t="s">
        <v>461</v>
      </c>
      <c r="C47" s="115"/>
      <c r="D47" s="115"/>
      <c r="E47" s="115"/>
      <c r="F47" s="115"/>
      <c r="G47" s="115"/>
      <c r="H47" s="115"/>
    </row>
    <row r="48" spans="1:8" ht="15" customHeight="1" x14ac:dyDescent="0.2">
      <c r="A48" s="18" t="s">
        <v>330</v>
      </c>
      <c r="B48" s="141" t="s">
        <v>462</v>
      </c>
      <c r="C48" s="115"/>
      <c r="D48" s="115"/>
      <c r="E48" s="115"/>
      <c r="F48" s="115"/>
      <c r="G48" s="115"/>
      <c r="H48" s="115"/>
    </row>
    <row r="49" spans="1:8" ht="15" customHeight="1" x14ac:dyDescent="0.2">
      <c r="A49" s="18" t="s">
        <v>440</v>
      </c>
      <c r="B49" s="150" t="s">
        <v>463</v>
      </c>
      <c r="C49" s="115"/>
      <c r="D49" s="115"/>
      <c r="E49" s="115"/>
      <c r="F49" s="115"/>
      <c r="G49" s="115"/>
      <c r="H49" s="115"/>
    </row>
    <row r="50" spans="1:8" ht="15" customHeight="1" x14ac:dyDescent="0.2">
      <c r="A50" s="18" t="s">
        <v>332</v>
      </c>
      <c r="B50" s="141" t="s">
        <v>464</v>
      </c>
      <c r="C50" s="115"/>
      <c r="D50" s="115"/>
      <c r="E50" s="115"/>
      <c r="F50" s="115"/>
      <c r="G50" s="115"/>
      <c r="H50" s="115"/>
    </row>
    <row r="51" spans="1:8" ht="15" customHeight="1" x14ac:dyDescent="0.2">
      <c r="A51" s="18" t="s">
        <v>465</v>
      </c>
      <c r="B51" s="141" t="s">
        <v>466</v>
      </c>
      <c r="C51" s="115"/>
      <c r="D51" s="115"/>
      <c r="E51" s="115"/>
      <c r="F51" s="115"/>
      <c r="G51" s="115"/>
      <c r="H51" s="115"/>
    </row>
    <row r="52" spans="1:8" ht="15" customHeight="1" x14ac:dyDescent="0.2">
      <c r="A52" s="18" t="s">
        <v>447</v>
      </c>
      <c r="B52" s="141" t="s">
        <v>467</v>
      </c>
      <c r="C52" s="115"/>
      <c r="D52" s="115"/>
      <c r="E52" s="115"/>
      <c r="F52" s="115"/>
      <c r="G52" s="115"/>
      <c r="H52" s="115"/>
    </row>
    <row r="53" spans="1:8" ht="15" customHeight="1" x14ac:dyDescent="0.2">
      <c r="A53" s="18" t="s">
        <v>468</v>
      </c>
      <c r="B53" s="141" t="s">
        <v>469</v>
      </c>
      <c r="C53" s="115"/>
      <c r="D53" s="115"/>
      <c r="E53" s="115"/>
      <c r="F53" s="115"/>
      <c r="G53" s="115"/>
      <c r="H53" s="115"/>
    </row>
  </sheetData>
  <mergeCells count="11">
    <mergeCell ref="A1:H1"/>
    <mergeCell ref="B51:H51"/>
    <mergeCell ref="A39:H41"/>
    <mergeCell ref="B46:H46"/>
    <mergeCell ref="B50:H50"/>
    <mergeCell ref="B49:H49"/>
    <mergeCell ref="B53:H53"/>
    <mergeCell ref="B52:H52"/>
    <mergeCell ref="A38:H38"/>
    <mergeCell ref="B47:H47"/>
    <mergeCell ref="B48:H48"/>
  </mergeCells>
  <hyperlinks>
    <hyperlink ref="I2" r:id="rId1" location="'Dashboard'!A1" xr:uid="{00000000-0004-0000-1100-000000000000}"/>
  </hyperlinks>
  <pageMargins left="0.7" right="0.7" top="0.75" bottom="0.75" header="0.511811023622047" footer="0.511811023622047"/>
  <pageSetup paperSize="9" fitToHeight="0" orientation="landscape" horizontalDpi="300" verticalDpi="30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69214"/>
    <pageSetUpPr fitToPage="1"/>
  </sheetPr>
  <dimension ref="A1:V49"/>
  <sheetViews>
    <sheetView showGridLines="0" topLeftCell="E6" zoomScale="95" zoomScaleNormal="90" workbookViewId="0">
      <selection activeCell="L20" sqref="L20"/>
    </sheetView>
  </sheetViews>
  <sheetFormatPr defaultColWidth="8.7109375" defaultRowHeight="15" customHeight="1" x14ac:dyDescent="0.2"/>
  <cols>
    <col min="1" max="8" width="42" customWidth="1"/>
    <col min="9" max="9" width="24.7109375" customWidth="1"/>
    <col min="10" max="12" width="11.7109375" customWidth="1"/>
    <col min="13" max="13" width="21.5703125" customWidth="1"/>
    <col min="14" max="14" width="42" customWidth="1"/>
    <col min="16" max="16" width="41.42578125" customWidth="1"/>
    <col min="17" max="17" width="42" customWidth="1"/>
    <col min="18" max="19" width="18" customWidth="1"/>
    <col min="20" max="20" width="42" customWidth="1"/>
    <col min="21" max="21" width="12.5703125" customWidth="1"/>
    <col min="22" max="22" width="10" customWidth="1"/>
  </cols>
  <sheetData>
    <row r="1" spans="1:22" ht="24" customHeight="1" x14ac:dyDescent="0.2">
      <c r="A1" s="151" t="s">
        <v>483</v>
      </c>
      <c r="B1" s="115"/>
      <c r="C1" s="115"/>
      <c r="D1" s="115"/>
      <c r="E1" s="115"/>
      <c r="F1" s="115"/>
      <c r="G1" s="115"/>
      <c r="H1" s="115"/>
      <c r="I1" s="115"/>
      <c r="J1" s="115"/>
      <c r="K1" s="115"/>
      <c r="L1" s="115"/>
      <c r="M1" s="115"/>
      <c r="N1" s="115"/>
      <c r="P1" s="153" t="s">
        <v>484</v>
      </c>
      <c r="Q1" s="115"/>
      <c r="R1" s="115"/>
      <c r="S1" s="115"/>
      <c r="T1" s="115"/>
    </row>
    <row r="2" spans="1:22" ht="41.25" customHeight="1" x14ac:dyDescent="0.25">
      <c r="A2" s="30" t="s">
        <v>350</v>
      </c>
      <c r="B2" s="30" t="s">
        <v>89</v>
      </c>
      <c r="C2" s="40"/>
      <c r="D2" s="30" t="s">
        <v>485</v>
      </c>
      <c r="E2" s="30" t="s">
        <v>486</v>
      </c>
      <c r="F2" s="40"/>
      <c r="G2" s="30" t="s">
        <v>487</v>
      </c>
      <c r="H2" s="17" t="s">
        <v>488</v>
      </c>
      <c r="I2" s="40"/>
      <c r="J2" s="40"/>
      <c r="K2" s="40"/>
      <c r="L2" s="40"/>
      <c r="M2" s="40"/>
      <c r="V2" s="10" t="s">
        <v>86</v>
      </c>
    </row>
    <row r="3" spans="1:22" ht="15" customHeight="1" x14ac:dyDescent="0.25">
      <c r="A3" s="152"/>
      <c r="B3" s="115"/>
      <c r="C3" s="115"/>
      <c r="D3" s="115"/>
      <c r="E3" s="115"/>
      <c r="F3" s="115"/>
      <c r="G3" s="115"/>
      <c r="H3" s="115"/>
      <c r="I3" s="115"/>
      <c r="J3" s="115"/>
      <c r="K3" s="115"/>
      <c r="L3" s="115"/>
      <c r="M3" s="115"/>
      <c r="P3" s="41" t="s">
        <v>489</v>
      </c>
      <c r="Q3" s="41" t="s">
        <v>489</v>
      </c>
      <c r="R3" s="41" t="s">
        <v>490</v>
      </c>
      <c r="S3" s="41" t="s">
        <v>491</v>
      </c>
      <c r="T3" s="41" t="s">
        <v>492</v>
      </c>
      <c r="U3" s="3" t="s">
        <v>325</v>
      </c>
    </row>
    <row r="4" spans="1:22" ht="409.6" customHeight="1" x14ac:dyDescent="0.25">
      <c r="A4" s="30" t="s">
        <v>353</v>
      </c>
      <c r="B4" s="17" t="s">
        <v>493</v>
      </c>
      <c r="C4" s="40"/>
      <c r="D4" s="40"/>
      <c r="E4" s="40"/>
      <c r="F4" s="40"/>
      <c r="G4" s="40"/>
      <c r="H4" s="40"/>
      <c r="I4" s="40"/>
      <c r="J4" s="40"/>
      <c r="K4" s="40"/>
      <c r="L4" s="40"/>
      <c r="M4" s="40"/>
      <c r="N4" s="40"/>
      <c r="P4" s="3" t="s">
        <v>494</v>
      </c>
      <c r="Q4" s="25">
        <f>AVERAGE(J21:J32)</f>
        <v>4.7566777345435352E-2</v>
      </c>
      <c r="R4" s="25">
        <f>AVERAGE(J33:J44)</f>
        <v>5.8049244104553775E-2</v>
      </c>
      <c r="S4" s="25">
        <f>R4-Q4</f>
        <v>1.0482466759118424E-2</v>
      </c>
      <c r="T4" s="4" t="str">
        <f>IF(S4&gt;0,"Headline inflation increased","Headline inflation decreased")</f>
        <v>Headline inflation increased</v>
      </c>
    </row>
    <row r="5" spans="1:22" ht="15" customHeight="1" x14ac:dyDescent="0.2">
      <c r="A5" s="82"/>
      <c r="B5" s="82"/>
      <c r="C5" s="82"/>
      <c r="D5" s="82"/>
      <c r="E5" s="82"/>
      <c r="F5" s="82"/>
      <c r="G5" s="82"/>
      <c r="H5" s="82"/>
      <c r="I5" s="82"/>
      <c r="J5" s="82"/>
      <c r="K5" s="82"/>
      <c r="L5" s="82"/>
      <c r="M5" s="82"/>
      <c r="N5" s="83"/>
      <c r="O5" s="83"/>
      <c r="P5" s="84" t="s">
        <v>255</v>
      </c>
      <c r="Q5" s="85">
        <f>AVERAGE(K21:K32)</f>
        <v>6.068042086288028E-2</v>
      </c>
      <c r="R5" s="85">
        <f>AVERAGE(K33:K44)</f>
        <v>6.9071211168838201E-2</v>
      </c>
      <c r="S5" s="85">
        <f>R5-Q5</f>
        <v>8.3907903059579209E-3</v>
      </c>
      <c r="T5" s="86" t="str">
        <f>IF(S5&gt;0,"Food inflation increased","Food inflation decreased")</f>
        <v>Food inflation increased</v>
      </c>
    </row>
    <row r="6" spans="1:22" ht="15" customHeight="1" x14ac:dyDescent="0.25">
      <c r="A6" s="87"/>
      <c r="B6" s="87"/>
      <c r="C6" s="87"/>
      <c r="D6" s="87"/>
      <c r="E6" s="88"/>
      <c r="F6" s="87"/>
      <c r="G6" s="88"/>
      <c r="H6" s="87"/>
      <c r="I6" s="88"/>
      <c r="J6" s="87"/>
      <c r="K6" s="88"/>
      <c r="L6" s="88"/>
      <c r="M6" s="87"/>
      <c r="N6" s="83"/>
      <c r="O6" s="83"/>
      <c r="P6" s="84" t="s">
        <v>77</v>
      </c>
      <c r="Q6" s="85">
        <f>AVERAGE(L21:L32)</f>
        <v>6.2565953022984622E-2</v>
      </c>
      <c r="R6" s="85">
        <f>AVERAGE(L33:L44)</f>
        <v>4.964933657773396E-2</v>
      </c>
      <c r="S6" s="85">
        <f>R6-Q6</f>
        <v>-1.2916616445250662E-2</v>
      </c>
      <c r="T6" s="86" t="str">
        <f>IF(S6&gt;0,"Health inflation increased","Health inflation decreased")</f>
        <v>Health inflation decreased</v>
      </c>
    </row>
    <row r="7" spans="1:22" ht="27.75" customHeight="1" x14ac:dyDescent="0.2">
      <c r="A7" s="89" t="s">
        <v>495</v>
      </c>
      <c r="B7" s="89" t="s">
        <v>358</v>
      </c>
      <c r="C7" s="89" t="s">
        <v>496</v>
      </c>
      <c r="D7" s="89" t="s">
        <v>497</v>
      </c>
      <c r="E7" s="90" t="s">
        <v>77</v>
      </c>
      <c r="F7" s="89" t="s">
        <v>261</v>
      </c>
      <c r="G7" s="90" t="s">
        <v>263</v>
      </c>
      <c r="H7" s="89" t="s">
        <v>265</v>
      </c>
      <c r="I7" s="90" t="s">
        <v>498</v>
      </c>
      <c r="J7" s="89" t="s">
        <v>499</v>
      </c>
      <c r="K7" s="90" t="s">
        <v>500</v>
      </c>
      <c r="L7" s="90" t="s">
        <v>501</v>
      </c>
      <c r="M7" s="89" t="s">
        <v>502</v>
      </c>
      <c r="N7" s="89" t="s">
        <v>503</v>
      </c>
      <c r="O7" s="83"/>
      <c r="P7" s="84" t="s">
        <v>504</v>
      </c>
      <c r="Q7" s="85">
        <f>AVERAGE(M21:M32)</f>
        <v>2.2470986315337237E-2</v>
      </c>
      <c r="R7" s="85">
        <f>AVERAGE(M33:M44)</f>
        <v>4.5565035187974723E-2</v>
      </c>
      <c r="S7" s="85">
        <f>R7-Q7</f>
        <v>2.3094048872637486E-2</v>
      </c>
      <c r="T7" s="86" t="str">
        <f>IF(S7&gt;0,"Essential-services inflation increased","Essential-services inflation decreased")</f>
        <v>Essential-services inflation increased</v>
      </c>
    </row>
    <row r="8" spans="1:22" ht="15" customHeight="1" x14ac:dyDescent="0.25">
      <c r="A8" s="91">
        <v>43160</v>
      </c>
      <c r="B8" s="92" t="s">
        <v>505</v>
      </c>
      <c r="C8" s="92">
        <v>136.5</v>
      </c>
      <c r="D8" s="92">
        <v>137.19999999999999</v>
      </c>
      <c r="E8" s="85">
        <v>134.30000000000001</v>
      </c>
      <c r="F8" s="92">
        <v>136.5</v>
      </c>
      <c r="G8" s="85">
        <v>135.6</v>
      </c>
      <c r="H8" s="92">
        <v>121</v>
      </c>
      <c r="I8" s="85">
        <f>AVERAGE(F8:H8)</f>
        <v>131.03333333333333</v>
      </c>
      <c r="J8" s="87"/>
      <c r="K8" s="88"/>
      <c r="L8" s="88"/>
      <c r="M8" s="87"/>
      <c r="N8" s="84" t="s">
        <v>506</v>
      </c>
      <c r="O8" s="83"/>
      <c r="P8" s="83"/>
      <c r="Q8" s="83"/>
      <c r="R8" s="83"/>
      <c r="S8" s="83"/>
      <c r="T8" s="83"/>
    </row>
    <row r="9" spans="1:22" ht="15" customHeight="1" x14ac:dyDescent="0.25">
      <c r="A9" s="91">
        <v>43191</v>
      </c>
      <c r="B9" s="92" t="s">
        <v>505</v>
      </c>
      <c r="C9" s="92">
        <v>137.1</v>
      </c>
      <c r="D9" s="92">
        <v>137.5</v>
      </c>
      <c r="E9" s="85">
        <v>135.19999999999999</v>
      </c>
      <c r="F9" s="92">
        <v>136.5</v>
      </c>
      <c r="G9" s="85">
        <v>136.6</v>
      </c>
      <c r="H9" s="92">
        <v>121.9</v>
      </c>
      <c r="I9" s="85">
        <f t="shared" ref="I9:I44" si="0">AVERAGE(F9:H9)</f>
        <v>131.66666666666666</v>
      </c>
      <c r="J9" s="87"/>
      <c r="K9" s="88"/>
      <c r="L9" s="88"/>
      <c r="M9" s="87"/>
      <c r="N9" s="84" t="s">
        <v>506</v>
      </c>
      <c r="O9" s="83"/>
      <c r="P9" s="83"/>
      <c r="Q9" s="83"/>
      <c r="R9" s="83"/>
      <c r="S9" s="83"/>
      <c r="T9" s="83"/>
    </row>
    <row r="10" spans="1:22" ht="15" customHeight="1" x14ac:dyDescent="0.25">
      <c r="A10" s="91">
        <v>43221</v>
      </c>
      <c r="B10" s="92" t="s">
        <v>505</v>
      </c>
      <c r="C10" s="92">
        <v>137.80000000000001</v>
      </c>
      <c r="D10" s="92">
        <v>138.1</v>
      </c>
      <c r="E10" s="85">
        <v>136</v>
      </c>
      <c r="F10" s="92">
        <v>136.9</v>
      </c>
      <c r="G10" s="85">
        <v>137.4</v>
      </c>
      <c r="H10" s="92">
        <v>122.9</v>
      </c>
      <c r="I10" s="85">
        <f t="shared" si="0"/>
        <v>132.4</v>
      </c>
      <c r="J10" s="87"/>
      <c r="K10" s="88"/>
      <c r="L10" s="88"/>
      <c r="M10" s="87"/>
      <c r="N10" s="84" t="s">
        <v>506</v>
      </c>
      <c r="O10" s="83"/>
      <c r="P10" s="89" t="s">
        <v>507</v>
      </c>
      <c r="Q10" s="89" t="s">
        <v>508</v>
      </c>
      <c r="R10" s="93"/>
      <c r="S10" s="93"/>
      <c r="T10" s="93"/>
    </row>
    <row r="11" spans="1:22" ht="15" customHeight="1" x14ac:dyDescent="0.25">
      <c r="A11" s="91">
        <v>43252</v>
      </c>
      <c r="B11" s="92" t="s">
        <v>505</v>
      </c>
      <c r="C11" s="92">
        <v>138.5</v>
      </c>
      <c r="D11" s="92">
        <v>139.4</v>
      </c>
      <c r="E11" s="85">
        <v>136.19999999999999</v>
      </c>
      <c r="F11" s="92">
        <v>138.1</v>
      </c>
      <c r="G11" s="85">
        <v>137.9</v>
      </c>
      <c r="H11" s="92">
        <v>123.7</v>
      </c>
      <c r="I11" s="85">
        <f t="shared" si="0"/>
        <v>133.23333333333332</v>
      </c>
      <c r="J11" s="87"/>
      <c r="K11" s="88"/>
      <c r="L11" s="88"/>
      <c r="M11" s="87"/>
      <c r="N11" s="84" t="s">
        <v>506</v>
      </c>
      <c r="O11" s="83"/>
      <c r="P11" s="84" t="s">
        <v>509</v>
      </c>
      <c r="Q11" s="85">
        <f>MAX(J33:J44)</f>
        <v>6.5948855989232946E-2</v>
      </c>
      <c r="R11" s="83"/>
      <c r="S11" s="83"/>
      <c r="T11" s="83"/>
    </row>
    <row r="12" spans="1:22" ht="15" customHeight="1" x14ac:dyDescent="0.25">
      <c r="A12" s="91">
        <v>43282</v>
      </c>
      <c r="B12" s="92" t="s">
        <v>505</v>
      </c>
      <c r="C12" s="92">
        <v>139.80000000000001</v>
      </c>
      <c r="D12" s="92">
        <v>141.4</v>
      </c>
      <c r="E12" s="85">
        <v>137</v>
      </c>
      <c r="F12" s="92">
        <v>139.69999999999999</v>
      </c>
      <c r="G12" s="85">
        <v>138.6</v>
      </c>
      <c r="H12" s="92">
        <v>123.6</v>
      </c>
      <c r="I12" s="85">
        <f>AVERAGE(F12:H12)</f>
        <v>133.96666666666667</v>
      </c>
      <c r="J12" s="87"/>
      <c r="K12" s="88"/>
      <c r="L12" s="88"/>
      <c r="M12" s="87"/>
      <c r="N12" s="84" t="s">
        <v>506</v>
      </c>
      <c r="O12" s="83"/>
      <c r="P12" s="86" t="s">
        <v>510</v>
      </c>
      <c r="Q12" s="91">
        <f>INDEX(A33:A44,MATCH(MAX(J33:J44),J33:J44,0))</f>
        <v>44136</v>
      </c>
      <c r="R12" s="83"/>
      <c r="S12" s="83"/>
      <c r="T12" s="83"/>
    </row>
    <row r="13" spans="1:22" ht="15" customHeight="1" x14ac:dyDescent="0.25">
      <c r="A13" s="91">
        <v>43313</v>
      </c>
      <c r="B13" s="92" t="s">
        <v>505</v>
      </c>
      <c r="C13" s="92">
        <v>140.4</v>
      </c>
      <c r="D13" s="92">
        <v>141.69999999999999</v>
      </c>
      <c r="E13" s="85">
        <v>137.69999999999999</v>
      </c>
      <c r="F13" s="92">
        <v>140.9</v>
      </c>
      <c r="G13" s="85">
        <v>139.4</v>
      </c>
      <c r="H13" s="92">
        <v>124.3</v>
      </c>
      <c r="I13" s="85">
        <f t="shared" si="0"/>
        <v>134.86666666666667</v>
      </c>
      <c r="J13" s="87"/>
      <c r="K13" s="88"/>
      <c r="L13" s="88"/>
      <c r="M13" s="87"/>
      <c r="N13" s="84" t="s">
        <v>506</v>
      </c>
      <c r="O13" s="83"/>
      <c r="P13" s="83"/>
      <c r="Q13" s="83"/>
      <c r="R13" s="83"/>
      <c r="S13" s="83"/>
      <c r="T13" s="83"/>
    </row>
    <row r="14" spans="1:22" ht="15" customHeight="1" x14ac:dyDescent="0.25">
      <c r="A14" s="91">
        <v>43344</v>
      </c>
      <c r="B14" s="92" t="s">
        <v>505</v>
      </c>
      <c r="C14" s="92">
        <v>140.19999999999999</v>
      </c>
      <c r="D14" s="92">
        <v>140.4</v>
      </c>
      <c r="E14" s="85">
        <v>138.4</v>
      </c>
      <c r="F14" s="92">
        <v>142.30000000000001</v>
      </c>
      <c r="G14" s="85">
        <v>139.69999999999999</v>
      </c>
      <c r="H14" s="92">
        <v>126</v>
      </c>
      <c r="I14" s="85">
        <f t="shared" si="0"/>
        <v>136</v>
      </c>
      <c r="J14" s="87"/>
      <c r="K14" s="88"/>
      <c r="L14" s="88"/>
      <c r="M14" s="87"/>
      <c r="N14" s="84" t="s">
        <v>506</v>
      </c>
      <c r="O14" s="83"/>
      <c r="P14" s="94" t="s">
        <v>286</v>
      </c>
      <c r="Q14" s="95"/>
      <c r="R14" s="95"/>
      <c r="S14" s="95"/>
      <c r="T14" s="95"/>
    </row>
    <row r="15" spans="1:22" ht="15" customHeight="1" x14ac:dyDescent="0.25">
      <c r="A15" s="91">
        <v>43374</v>
      </c>
      <c r="B15" s="92" t="s">
        <v>505</v>
      </c>
      <c r="C15" s="92">
        <v>140.80000000000001</v>
      </c>
      <c r="D15" s="92">
        <v>139.69999999999999</v>
      </c>
      <c r="E15" s="85">
        <v>142.1</v>
      </c>
      <c r="F15" s="92">
        <v>145.30000000000001</v>
      </c>
      <c r="G15" s="85">
        <v>142.19999999999999</v>
      </c>
      <c r="H15" s="92">
        <v>125.5</v>
      </c>
      <c r="I15" s="85">
        <f t="shared" si="0"/>
        <v>137.66666666666666</v>
      </c>
      <c r="J15" s="87"/>
      <c r="K15" s="88"/>
      <c r="L15" s="88"/>
      <c r="M15" s="87"/>
      <c r="N15" s="84" t="s">
        <v>506</v>
      </c>
      <c r="O15" s="83"/>
      <c r="P15" s="84" t="s">
        <v>369</v>
      </c>
      <c r="Q15" s="86" t="s">
        <v>511</v>
      </c>
      <c r="R15" s="83"/>
      <c r="S15" s="83"/>
      <c r="T15" s="83"/>
    </row>
    <row r="16" spans="1:22" ht="15" customHeight="1" x14ac:dyDescent="0.25">
      <c r="A16" s="91">
        <v>43405</v>
      </c>
      <c r="B16" s="92" t="s">
        <v>505</v>
      </c>
      <c r="C16" s="92">
        <v>140.80000000000001</v>
      </c>
      <c r="D16" s="92">
        <v>139.69999999999999</v>
      </c>
      <c r="E16" s="85">
        <v>142.1</v>
      </c>
      <c r="F16" s="92">
        <v>145.1</v>
      </c>
      <c r="G16" s="85">
        <v>142.19999999999999</v>
      </c>
      <c r="H16" s="92">
        <v>125.5</v>
      </c>
      <c r="I16" s="85">
        <f t="shared" si="0"/>
        <v>137.6</v>
      </c>
      <c r="J16" s="87"/>
      <c r="K16" s="88"/>
      <c r="L16" s="88"/>
      <c r="M16" s="87"/>
      <c r="N16" s="84" t="s">
        <v>506</v>
      </c>
      <c r="O16" s="83"/>
      <c r="P16" s="84" t="s">
        <v>287</v>
      </c>
      <c r="Q16" s="86" t="s">
        <v>512</v>
      </c>
      <c r="R16" s="83"/>
      <c r="S16" s="83"/>
      <c r="T16" s="83"/>
    </row>
    <row r="17" spans="1:20" ht="15" customHeight="1" x14ac:dyDescent="0.25">
      <c r="A17" s="91">
        <v>43435</v>
      </c>
      <c r="B17" s="92" t="s">
        <v>505</v>
      </c>
      <c r="C17" s="92">
        <v>140.1</v>
      </c>
      <c r="D17" s="92">
        <v>138.19999999999999</v>
      </c>
      <c r="E17" s="85">
        <v>144.9</v>
      </c>
      <c r="F17" s="92">
        <v>142.69999999999999</v>
      </c>
      <c r="G17" s="85">
        <v>143.19999999999999</v>
      </c>
      <c r="H17" s="92">
        <v>123.6</v>
      </c>
      <c r="I17" s="85">
        <f t="shared" si="0"/>
        <v>136.5</v>
      </c>
      <c r="J17" s="87"/>
      <c r="K17" s="88"/>
      <c r="L17" s="88"/>
      <c r="M17" s="87"/>
      <c r="N17" s="84" t="s">
        <v>506</v>
      </c>
      <c r="O17" s="83"/>
      <c r="P17" s="84" t="s">
        <v>371</v>
      </c>
      <c r="Q17" s="86" t="s">
        <v>513</v>
      </c>
      <c r="R17" s="83"/>
      <c r="S17" s="83"/>
      <c r="T17" s="83"/>
    </row>
    <row r="18" spans="1:20" ht="15" customHeight="1" x14ac:dyDescent="0.25">
      <c r="A18" s="91">
        <v>43466</v>
      </c>
      <c r="B18" s="92" t="s">
        <v>505</v>
      </c>
      <c r="C18" s="92">
        <v>139.6</v>
      </c>
      <c r="D18" s="92">
        <v>137.4</v>
      </c>
      <c r="E18" s="85">
        <v>145.1</v>
      </c>
      <c r="F18" s="92">
        <v>139.5</v>
      </c>
      <c r="G18" s="85">
        <v>143.6</v>
      </c>
      <c r="H18" s="92">
        <v>123.3</v>
      </c>
      <c r="I18" s="85">
        <f t="shared" si="0"/>
        <v>135.46666666666667</v>
      </c>
      <c r="J18" s="87"/>
      <c r="K18" s="88"/>
      <c r="L18" s="88"/>
      <c r="M18" s="87"/>
      <c r="N18" s="84" t="s">
        <v>506</v>
      </c>
      <c r="O18" s="83"/>
      <c r="P18" s="84" t="s">
        <v>330</v>
      </c>
      <c r="Q18" s="84" t="s">
        <v>514</v>
      </c>
      <c r="R18" s="83"/>
      <c r="S18" s="83"/>
      <c r="T18" s="83"/>
    </row>
    <row r="19" spans="1:20" ht="15" customHeight="1" x14ac:dyDescent="0.25">
      <c r="A19" s="91">
        <v>43497</v>
      </c>
      <c r="B19" s="92" t="s">
        <v>505</v>
      </c>
      <c r="C19" s="92">
        <v>139.9</v>
      </c>
      <c r="D19" s="92">
        <v>137.5</v>
      </c>
      <c r="E19" s="85">
        <v>145.6</v>
      </c>
      <c r="F19" s="92">
        <v>138.4</v>
      </c>
      <c r="G19" s="85">
        <v>143.69999999999999</v>
      </c>
      <c r="H19" s="92">
        <v>123.9</v>
      </c>
      <c r="I19" s="85">
        <f t="shared" si="0"/>
        <v>135.33333333333334</v>
      </c>
      <c r="J19" s="87"/>
      <c r="K19" s="88"/>
      <c r="L19" s="88"/>
      <c r="M19" s="87"/>
      <c r="N19" s="84" t="s">
        <v>506</v>
      </c>
      <c r="O19" s="83"/>
      <c r="P19" s="84" t="s">
        <v>332</v>
      </c>
      <c r="Q19" s="86" t="s">
        <v>515</v>
      </c>
      <c r="R19" s="83"/>
      <c r="S19" s="83"/>
      <c r="T19" s="83"/>
    </row>
    <row r="20" spans="1:20" ht="15" customHeight="1" x14ac:dyDescent="0.2">
      <c r="A20" s="91">
        <v>43525</v>
      </c>
      <c r="B20" s="92" t="s">
        <v>505</v>
      </c>
      <c r="C20" s="92">
        <v>140.4</v>
      </c>
      <c r="D20" s="92">
        <v>138.1</v>
      </c>
      <c r="E20" s="85">
        <v>146.19999999999999</v>
      </c>
      <c r="F20" s="92">
        <v>139.69999999999999</v>
      </c>
      <c r="G20" s="85">
        <v>143.80000000000001</v>
      </c>
      <c r="H20" s="92">
        <v>124.6</v>
      </c>
      <c r="I20" s="85">
        <f t="shared" si="0"/>
        <v>136.03333333333333</v>
      </c>
      <c r="J20" s="85">
        <f>C20/C8-1</f>
        <v>2.8571428571428692E-2</v>
      </c>
      <c r="K20" s="85">
        <f>D20/D8-1</f>
        <v>6.5597667638483959E-3</v>
      </c>
      <c r="L20" s="85">
        <f>E20/E8-1</f>
        <v>8.8607594936708667E-2</v>
      </c>
      <c r="M20" s="85">
        <f t="shared" ref="M20:M44" si="1">I20/I8-1</f>
        <v>3.8158229458153059E-2</v>
      </c>
      <c r="N20" s="84" t="s">
        <v>506</v>
      </c>
      <c r="O20" s="83"/>
      <c r="P20" s="84" t="s">
        <v>447</v>
      </c>
      <c r="Q20" s="86" t="s">
        <v>516</v>
      </c>
      <c r="R20" s="83"/>
      <c r="S20" s="83"/>
      <c r="T20" s="83"/>
    </row>
    <row r="21" spans="1:20" ht="15" customHeight="1" x14ac:dyDescent="0.2">
      <c r="A21" s="91">
        <v>43556</v>
      </c>
      <c r="B21" s="92" t="s">
        <v>505</v>
      </c>
      <c r="C21" s="92">
        <f t="shared" ref="C21:H21" si="2">C20+(C22-C20)*0.5</f>
        <v>141.19999999999999</v>
      </c>
      <c r="D21" s="92">
        <f t="shared" si="2"/>
        <v>139.5</v>
      </c>
      <c r="E21" s="85">
        <f t="shared" si="2"/>
        <v>146.55000000000001</v>
      </c>
      <c r="F21" s="92">
        <f t="shared" si="2"/>
        <v>140</v>
      </c>
      <c r="G21" s="85">
        <f t="shared" si="2"/>
        <v>143.75</v>
      </c>
      <c r="H21" s="92">
        <f t="shared" si="2"/>
        <v>124.75</v>
      </c>
      <c r="I21" s="85">
        <f t="shared" si="0"/>
        <v>136.16666666666666</v>
      </c>
      <c r="J21" s="85">
        <f t="shared" ref="J21:J44" si="3">C21/C9-1</f>
        <v>2.9905178701677526E-2</v>
      </c>
      <c r="K21" s="85">
        <f t="shared" ref="K21:K44" si="4">D21/D9-1</f>
        <v>1.4545454545454639E-2</v>
      </c>
      <c r="L21" s="85">
        <f t="shared" ref="L21:L44" si="5">E21/E9-1</f>
        <v>8.3949704142012083E-2</v>
      </c>
      <c r="M21" s="85">
        <f t="shared" si="1"/>
        <v>3.4177215189873378E-2</v>
      </c>
      <c r="N21" s="84" t="s">
        <v>517</v>
      </c>
      <c r="O21" s="83"/>
      <c r="P21" s="83"/>
      <c r="Q21" s="83"/>
      <c r="R21" s="83"/>
      <c r="S21" s="83"/>
      <c r="T21" s="83"/>
    </row>
    <row r="22" spans="1:20" ht="15" customHeight="1" x14ac:dyDescent="0.2">
      <c r="A22" s="91">
        <v>43586</v>
      </c>
      <c r="B22" s="92" t="s">
        <v>505</v>
      </c>
      <c r="C22" s="92">
        <v>142</v>
      </c>
      <c r="D22" s="92">
        <v>140.9</v>
      </c>
      <c r="E22" s="85">
        <v>146.9</v>
      </c>
      <c r="F22" s="92">
        <v>140.30000000000001</v>
      </c>
      <c r="G22" s="85">
        <v>143.69999999999999</v>
      </c>
      <c r="H22" s="92">
        <v>124.9</v>
      </c>
      <c r="I22" s="85">
        <f t="shared" si="0"/>
        <v>136.29999999999998</v>
      </c>
      <c r="J22" s="85">
        <f t="shared" si="3"/>
        <v>3.0478955007256836E-2</v>
      </c>
      <c r="K22" s="85">
        <f t="shared" si="4"/>
        <v>2.0275162925416534E-2</v>
      </c>
      <c r="L22" s="85">
        <f t="shared" si="5"/>
        <v>8.0147058823529349E-2</v>
      </c>
      <c r="M22" s="85">
        <f t="shared" si="1"/>
        <v>2.9456193353474047E-2</v>
      </c>
      <c r="N22" s="84" t="s">
        <v>506</v>
      </c>
      <c r="O22" s="83"/>
      <c r="P22" s="83"/>
      <c r="Q22" s="83"/>
      <c r="R22" s="83"/>
      <c r="S22" s="83"/>
      <c r="T22" s="83"/>
    </row>
    <row r="23" spans="1:20" ht="15" customHeight="1" x14ac:dyDescent="0.2">
      <c r="A23" s="91">
        <v>43617</v>
      </c>
      <c r="B23" s="92" t="s">
        <v>505</v>
      </c>
      <c r="C23" s="92">
        <v>142.9</v>
      </c>
      <c r="D23" s="92">
        <v>142.69999999999999</v>
      </c>
      <c r="E23" s="85">
        <v>147.4</v>
      </c>
      <c r="F23" s="92">
        <v>141.19999999999999</v>
      </c>
      <c r="G23" s="85">
        <v>143.80000000000001</v>
      </c>
      <c r="H23" s="92">
        <v>124.6</v>
      </c>
      <c r="I23" s="85">
        <f t="shared" si="0"/>
        <v>136.53333333333333</v>
      </c>
      <c r="J23" s="85">
        <f t="shared" si="3"/>
        <v>3.1768953068592065E-2</v>
      </c>
      <c r="K23" s="85">
        <f t="shared" si="4"/>
        <v>2.3672883787661192E-2</v>
      </c>
      <c r="L23" s="85">
        <f t="shared" si="5"/>
        <v>8.2232011747430445E-2</v>
      </c>
      <c r="M23" s="85">
        <f t="shared" si="1"/>
        <v>2.4768576432324441E-2</v>
      </c>
      <c r="N23" s="84" t="s">
        <v>506</v>
      </c>
      <c r="O23" s="83"/>
      <c r="P23" s="83"/>
      <c r="Q23" s="83"/>
      <c r="R23" s="83"/>
      <c r="S23" s="83"/>
      <c r="T23" s="83"/>
    </row>
    <row r="24" spans="1:20" ht="15" customHeight="1" x14ac:dyDescent="0.2">
      <c r="A24" s="91">
        <v>43647</v>
      </c>
      <c r="B24" s="92" t="s">
        <v>505</v>
      </c>
      <c r="C24" s="92">
        <v>144.19999999999999</v>
      </c>
      <c r="D24" s="92">
        <v>144.69999999999999</v>
      </c>
      <c r="E24" s="85">
        <v>147.9</v>
      </c>
      <c r="F24" s="92">
        <v>139.30000000000001</v>
      </c>
      <c r="G24" s="85">
        <v>144.19999999999999</v>
      </c>
      <c r="H24" s="92">
        <v>125.6</v>
      </c>
      <c r="I24" s="85">
        <f t="shared" si="0"/>
        <v>136.36666666666667</v>
      </c>
      <c r="J24" s="85">
        <f t="shared" si="3"/>
        <v>3.1473533619456262E-2</v>
      </c>
      <c r="K24" s="85">
        <f t="shared" si="4"/>
        <v>2.33380480905232E-2</v>
      </c>
      <c r="L24" s="85">
        <f t="shared" si="5"/>
        <v>7.9562043795620374E-2</v>
      </c>
      <c r="M24" s="85">
        <f t="shared" si="1"/>
        <v>1.7914904205026172E-2</v>
      </c>
      <c r="N24" s="84" t="s">
        <v>506</v>
      </c>
      <c r="O24" s="83"/>
      <c r="P24" s="83"/>
      <c r="Q24" s="83"/>
      <c r="R24" s="83"/>
      <c r="S24" s="83"/>
      <c r="T24" s="83"/>
    </row>
    <row r="25" spans="1:20" ht="15" customHeight="1" x14ac:dyDescent="0.2">
      <c r="A25" s="91">
        <v>43678</v>
      </c>
      <c r="B25" s="92" t="s">
        <v>505</v>
      </c>
      <c r="C25" s="92">
        <v>145</v>
      </c>
      <c r="D25" s="92">
        <v>145.9</v>
      </c>
      <c r="E25" s="85">
        <v>148.5</v>
      </c>
      <c r="F25" s="92">
        <v>138.5</v>
      </c>
      <c r="G25" s="85">
        <v>144.5</v>
      </c>
      <c r="H25" s="92">
        <v>125.8</v>
      </c>
      <c r="I25" s="85">
        <f t="shared" si="0"/>
        <v>136.26666666666668</v>
      </c>
      <c r="J25" s="85">
        <f t="shared" si="3"/>
        <v>3.2763532763532721E-2</v>
      </c>
      <c r="K25" s="85">
        <f t="shared" si="4"/>
        <v>2.9640084685956358E-2</v>
      </c>
      <c r="L25" s="85">
        <f t="shared" si="5"/>
        <v>7.8431372549019773E-2</v>
      </c>
      <c r="M25" s="85">
        <f t="shared" si="1"/>
        <v>1.0380622837370179E-2</v>
      </c>
      <c r="N25" s="84" t="s">
        <v>506</v>
      </c>
      <c r="O25" s="83"/>
      <c r="P25" s="83"/>
      <c r="Q25" s="83"/>
      <c r="R25" s="83"/>
      <c r="S25" s="83"/>
      <c r="T25" s="83"/>
    </row>
    <row r="26" spans="1:20" ht="15" customHeight="1" x14ac:dyDescent="0.2">
      <c r="A26" s="91">
        <v>43709</v>
      </c>
      <c r="B26" s="92" t="s">
        <v>505</v>
      </c>
      <c r="C26" s="92">
        <v>145.80000000000001</v>
      </c>
      <c r="D26" s="92">
        <v>147</v>
      </c>
      <c r="E26" s="85">
        <v>149</v>
      </c>
      <c r="F26" s="92">
        <v>139.19999999999999</v>
      </c>
      <c r="G26" s="85">
        <v>144.6</v>
      </c>
      <c r="H26" s="92">
        <v>126.1</v>
      </c>
      <c r="I26" s="85">
        <f t="shared" si="0"/>
        <v>136.63333333333333</v>
      </c>
      <c r="J26" s="85">
        <f t="shared" si="3"/>
        <v>3.9942938659058624E-2</v>
      </c>
      <c r="K26" s="85">
        <f t="shared" si="4"/>
        <v>4.7008547008547064E-2</v>
      </c>
      <c r="L26" s="85">
        <f t="shared" si="5"/>
        <v>7.6589595375722519E-2</v>
      </c>
      <c r="M26" s="85">
        <f t="shared" si="1"/>
        <v>4.6568627450980227E-3</v>
      </c>
      <c r="N26" s="84" t="s">
        <v>506</v>
      </c>
      <c r="O26" s="83"/>
      <c r="P26" s="83"/>
      <c r="Q26" s="83"/>
      <c r="R26" s="83"/>
      <c r="S26" s="83"/>
      <c r="T26" s="83"/>
    </row>
    <row r="27" spans="1:20" ht="15" customHeight="1" x14ac:dyDescent="0.2">
      <c r="A27" s="91">
        <v>43739</v>
      </c>
      <c r="B27" s="92" t="s">
        <v>505</v>
      </c>
      <c r="C27" s="92">
        <v>147.19999999999999</v>
      </c>
      <c r="D27" s="92">
        <v>149.6</v>
      </c>
      <c r="E27" s="85">
        <v>149.4</v>
      </c>
      <c r="F27" s="92">
        <v>140.6</v>
      </c>
      <c r="G27" s="85">
        <v>145</v>
      </c>
      <c r="H27" s="92">
        <v>126.3</v>
      </c>
      <c r="I27" s="85">
        <f t="shared" si="0"/>
        <v>137.30000000000001</v>
      </c>
      <c r="J27" s="85">
        <f t="shared" si="3"/>
        <v>4.5454545454545192E-2</v>
      </c>
      <c r="K27" s="85">
        <f t="shared" si="4"/>
        <v>7.0866141732283561E-2</v>
      </c>
      <c r="L27" s="85">
        <f t="shared" si="5"/>
        <v>5.1372273047149974E-2</v>
      </c>
      <c r="M27" s="85">
        <f t="shared" si="1"/>
        <v>-2.6634382566584902E-3</v>
      </c>
      <c r="N27" s="84" t="s">
        <v>506</v>
      </c>
      <c r="O27" s="83"/>
      <c r="P27" s="83"/>
      <c r="Q27" s="83"/>
      <c r="R27" s="83"/>
      <c r="S27" s="83"/>
      <c r="T27" s="83"/>
    </row>
    <row r="28" spans="1:20" ht="15" customHeight="1" x14ac:dyDescent="0.2">
      <c r="A28" s="91">
        <v>43770</v>
      </c>
      <c r="B28" s="92" t="s">
        <v>505</v>
      </c>
      <c r="C28" s="92">
        <v>148.6</v>
      </c>
      <c r="D28" s="92">
        <v>151.9</v>
      </c>
      <c r="E28" s="85">
        <v>149.9</v>
      </c>
      <c r="F28" s="92">
        <v>142.30000000000001</v>
      </c>
      <c r="G28" s="85">
        <v>145.30000000000001</v>
      </c>
      <c r="H28" s="92">
        <v>126.6</v>
      </c>
      <c r="I28" s="85">
        <f t="shared" si="0"/>
        <v>138.06666666666669</v>
      </c>
      <c r="J28" s="85">
        <f t="shared" si="3"/>
        <v>5.5397727272727071E-2</v>
      </c>
      <c r="K28" s="85">
        <f t="shared" si="4"/>
        <v>8.7329992841804094E-2</v>
      </c>
      <c r="L28" s="85">
        <f t="shared" si="5"/>
        <v>5.4890921885995869E-2</v>
      </c>
      <c r="M28" s="85">
        <f t="shared" si="1"/>
        <v>3.3914728682171713E-3</v>
      </c>
      <c r="N28" s="84" t="s">
        <v>506</v>
      </c>
      <c r="O28" s="83"/>
      <c r="P28" s="83"/>
      <c r="Q28" s="83"/>
      <c r="R28" s="83"/>
      <c r="S28" s="83"/>
      <c r="T28" s="83"/>
    </row>
    <row r="29" spans="1:20" ht="15" customHeight="1" x14ac:dyDescent="0.2">
      <c r="A29" s="91">
        <v>43800</v>
      </c>
      <c r="B29" s="92" t="s">
        <v>505</v>
      </c>
      <c r="C29" s="92">
        <v>150.4</v>
      </c>
      <c r="D29" s="92">
        <v>155</v>
      </c>
      <c r="E29" s="85">
        <v>150.4</v>
      </c>
      <c r="F29" s="92">
        <v>143.69999999999999</v>
      </c>
      <c r="G29" s="85">
        <v>145.80000000000001</v>
      </c>
      <c r="H29" s="92">
        <v>129.80000000000001</v>
      </c>
      <c r="I29" s="85">
        <f t="shared" si="0"/>
        <v>139.76666666666668</v>
      </c>
      <c r="J29" s="85">
        <f t="shared" si="3"/>
        <v>7.3518915060670986E-2</v>
      </c>
      <c r="K29" s="85">
        <f t="shared" si="4"/>
        <v>0.12156295224312608</v>
      </c>
      <c r="L29" s="85">
        <f t="shared" si="5"/>
        <v>3.7957211870255358E-2</v>
      </c>
      <c r="M29" s="85">
        <f t="shared" si="1"/>
        <v>2.3931623931624069E-2</v>
      </c>
      <c r="N29" s="84" t="s">
        <v>506</v>
      </c>
      <c r="O29" s="83"/>
      <c r="P29" s="83"/>
      <c r="Q29" s="83"/>
      <c r="R29" s="83"/>
      <c r="S29" s="83"/>
      <c r="T29" s="83"/>
    </row>
    <row r="30" spans="1:20" ht="15" customHeight="1" x14ac:dyDescent="0.2">
      <c r="A30" s="91">
        <v>43831</v>
      </c>
      <c r="B30" s="92" t="s">
        <v>505</v>
      </c>
      <c r="C30" s="92">
        <v>150.19999999999999</v>
      </c>
      <c r="D30" s="92">
        <v>153.5</v>
      </c>
      <c r="E30" s="85">
        <v>151.19999999999999</v>
      </c>
      <c r="F30" s="92">
        <v>144.6</v>
      </c>
      <c r="G30" s="85">
        <v>146.19999999999999</v>
      </c>
      <c r="H30" s="92">
        <v>130.9</v>
      </c>
      <c r="I30" s="85">
        <f t="shared" si="0"/>
        <v>140.56666666666663</v>
      </c>
      <c r="J30" s="85">
        <f t="shared" si="3"/>
        <v>7.5931232091690504E-2</v>
      </c>
      <c r="K30" s="85">
        <f t="shared" si="4"/>
        <v>0.11717612809315869</v>
      </c>
      <c r="L30" s="85">
        <f t="shared" si="5"/>
        <v>4.2039972432804884E-2</v>
      </c>
      <c r="M30" s="85">
        <f t="shared" si="1"/>
        <v>3.7647637795275246E-2</v>
      </c>
      <c r="N30" s="84" t="s">
        <v>506</v>
      </c>
      <c r="O30" s="83"/>
      <c r="P30" s="83"/>
      <c r="Q30" s="83"/>
      <c r="R30" s="83"/>
      <c r="S30" s="83"/>
      <c r="T30" s="83"/>
    </row>
    <row r="31" spans="1:20" ht="15" customHeight="1" x14ac:dyDescent="0.2">
      <c r="A31" s="91">
        <v>43862</v>
      </c>
      <c r="B31" s="92" t="s">
        <v>505</v>
      </c>
      <c r="C31" s="92">
        <v>149.1</v>
      </c>
      <c r="D31" s="92">
        <v>150.5</v>
      </c>
      <c r="E31" s="92">
        <v>151.69999999999999</v>
      </c>
      <c r="F31" s="92">
        <v>147.19999999999999</v>
      </c>
      <c r="G31" s="92">
        <v>146.4</v>
      </c>
      <c r="H31" s="92">
        <v>130.30000000000001</v>
      </c>
      <c r="I31" s="92">
        <f t="shared" si="0"/>
        <v>141.30000000000001</v>
      </c>
      <c r="J31" s="85">
        <f t="shared" si="3"/>
        <v>6.5761258041458159E-2</v>
      </c>
      <c r="K31" s="85">
        <f t="shared" si="4"/>
        <v>9.4545454545454488E-2</v>
      </c>
      <c r="L31" s="85">
        <f t="shared" si="5"/>
        <v>4.1895604395604469E-2</v>
      </c>
      <c r="M31" s="85">
        <f t="shared" si="1"/>
        <v>4.4088669950739012E-2</v>
      </c>
      <c r="N31" s="84" t="s">
        <v>506</v>
      </c>
      <c r="O31" s="83"/>
      <c r="P31" s="83"/>
      <c r="Q31" s="83"/>
      <c r="R31" s="83"/>
      <c r="S31" s="83"/>
      <c r="T31" s="83"/>
    </row>
    <row r="32" spans="1:20" ht="15" customHeight="1" x14ac:dyDescent="0.2">
      <c r="A32" s="91">
        <v>43891</v>
      </c>
      <c r="B32" s="92" t="s">
        <v>518</v>
      </c>
      <c r="C32" s="92">
        <v>148.6</v>
      </c>
      <c r="D32" s="92">
        <v>148.9</v>
      </c>
      <c r="E32" s="92">
        <v>152.30000000000001</v>
      </c>
      <c r="F32" s="92">
        <v>148.9</v>
      </c>
      <c r="G32" s="92">
        <v>146.4</v>
      </c>
      <c r="H32" s="92">
        <v>129.9</v>
      </c>
      <c r="I32" s="92">
        <f t="shared" si="0"/>
        <v>141.73333333333335</v>
      </c>
      <c r="J32" s="85">
        <f t="shared" si="3"/>
        <v>5.8404558404558271E-2</v>
      </c>
      <c r="K32" s="85">
        <f t="shared" si="4"/>
        <v>7.8204199855177459E-2</v>
      </c>
      <c r="L32" s="85">
        <f t="shared" si="5"/>
        <v>4.1723666210670363E-2</v>
      </c>
      <c r="M32" s="85">
        <f t="shared" si="1"/>
        <v>4.1901494731683586E-2</v>
      </c>
      <c r="N32" s="84" t="s">
        <v>506</v>
      </c>
      <c r="O32" s="83"/>
      <c r="P32" s="83"/>
      <c r="Q32" s="83"/>
      <c r="R32" s="83"/>
      <c r="S32" s="83"/>
      <c r="T32" s="83"/>
    </row>
    <row r="33" spans="1:20" ht="15" customHeight="1" x14ac:dyDescent="0.2">
      <c r="A33" s="96">
        <v>43922</v>
      </c>
      <c r="B33" s="84" t="s">
        <v>519</v>
      </c>
      <c r="C33" s="84">
        <f t="shared" ref="C33:H33" si="6">C32+(C35-C32)*(1/3)</f>
        <v>149.66666666666666</v>
      </c>
      <c r="D33" s="84">
        <f t="shared" si="6"/>
        <v>150.6</v>
      </c>
      <c r="E33" s="84">
        <f t="shared" si="6"/>
        <v>153</v>
      </c>
      <c r="F33" s="84">
        <f t="shared" si="6"/>
        <v>146.56666666666666</v>
      </c>
      <c r="G33" s="92">
        <f t="shared" si="6"/>
        <v>146.4</v>
      </c>
      <c r="H33" s="92">
        <f t="shared" si="6"/>
        <v>131.6</v>
      </c>
      <c r="I33" s="92">
        <f t="shared" si="0"/>
        <v>141.52222222222224</v>
      </c>
      <c r="J33" s="85">
        <f t="shared" si="3"/>
        <v>5.996222851746924E-2</v>
      </c>
      <c r="K33" s="85">
        <f t="shared" si="4"/>
        <v>7.9569892473118298E-2</v>
      </c>
      <c r="L33" s="85">
        <f t="shared" si="5"/>
        <v>4.4012282497441158E-2</v>
      </c>
      <c r="M33" s="85">
        <f t="shared" si="1"/>
        <v>3.9330885352917289E-2</v>
      </c>
      <c r="N33" s="86" t="s">
        <v>520</v>
      </c>
      <c r="O33" s="83"/>
      <c r="P33" s="83"/>
      <c r="Q33" s="83"/>
      <c r="R33" s="83"/>
      <c r="S33" s="83"/>
      <c r="T33" s="83"/>
    </row>
    <row r="34" spans="1:20" ht="15" customHeight="1" x14ac:dyDescent="0.2">
      <c r="A34" s="91">
        <v>43952</v>
      </c>
      <c r="B34" s="92" t="s">
        <v>519</v>
      </c>
      <c r="C34" s="92">
        <f t="shared" ref="C34:H34" si="7">C32+(C35-C32)*(2/3)</f>
        <v>150.73333333333335</v>
      </c>
      <c r="D34" s="92">
        <f t="shared" si="7"/>
        <v>152.30000000000001</v>
      </c>
      <c r="E34" s="92">
        <f t="shared" si="7"/>
        <v>153.70000000000002</v>
      </c>
      <c r="F34" s="92">
        <f t="shared" si="7"/>
        <v>144.23333333333335</v>
      </c>
      <c r="G34" s="92">
        <f t="shared" si="7"/>
        <v>146.4</v>
      </c>
      <c r="H34" s="92">
        <f t="shared" si="7"/>
        <v>133.30000000000001</v>
      </c>
      <c r="I34" s="92">
        <f t="shared" si="0"/>
        <v>141.3111111111111</v>
      </c>
      <c r="J34" s="85">
        <f t="shared" si="3"/>
        <v>6.1502347417840442E-2</v>
      </c>
      <c r="K34" s="85">
        <f t="shared" si="4"/>
        <v>8.0908445706174614E-2</v>
      </c>
      <c r="L34" s="85">
        <f t="shared" si="5"/>
        <v>4.6289993192648149E-2</v>
      </c>
      <c r="M34" s="85">
        <f t="shared" si="1"/>
        <v>3.6765305290617167E-2</v>
      </c>
      <c r="N34" s="86" t="s">
        <v>521</v>
      </c>
      <c r="O34" s="83"/>
      <c r="P34" s="83"/>
      <c r="Q34" s="83"/>
      <c r="R34" s="83"/>
      <c r="S34" s="83"/>
      <c r="T34" s="83"/>
    </row>
    <row r="35" spans="1:20" ht="15" customHeight="1" x14ac:dyDescent="0.2">
      <c r="A35" s="97">
        <v>43983</v>
      </c>
      <c r="B35" s="98" t="s">
        <v>519</v>
      </c>
      <c r="C35" s="98">
        <v>151.80000000000001</v>
      </c>
      <c r="D35" s="98">
        <v>154</v>
      </c>
      <c r="E35" s="98">
        <v>154.4</v>
      </c>
      <c r="F35" s="98">
        <v>141.9</v>
      </c>
      <c r="G35" s="92">
        <v>146.4</v>
      </c>
      <c r="H35" s="92">
        <v>135</v>
      </c>
      <c r="I35" s="92">
        <f t="shared" si="0"/>
        <v>141.1</v>
      </c>
      <c r="J35" s="85">
        <f t="shared" si="3"/>
        <v>6.2281315605318355E-2</v>
      </c>
      <c r="K35" s="85">
        <f t="shared" si="4"/>
        <v>7.9187105816398207E-2</v>
      </c>
      <c r="L35" s="85">
        <f t="shared" si="5"/>
        <v>4.7489823609226489E-2</v>
      </c>
      <c r="M35" s="85">
        <f t="shared" si="1"/>
        <v>3.3447265625E-2</v>
      </c>
      <c r="N35" s="84" t="s">
        <v>506</v>
      </c>
      <c r="O35" s="83"/>
      <c r="P35" s="83"/>
      <c r="Q35" s="83"/>
      <c r="R35" s="83"/>
      <c r="S35" s="83"/>
      <c r="T35" s="83"/>
    </row>
    <row r="36" spans="1:20" ht="15" customHeight="1" x14ac:dyDescent="0.2">
      <c r="A36" s="91">
        <v>44013</v>
      </c>
      <c r="B36" s="85" t="s">
        <v>519</v>
      </c>
      <c r="C36" s="85">
        <v>151.80000000000001</v>
      </c>
      <c r="D36" s="85">
        <v>154</v>
      </c>
      <c r="E36" s="85">
        <v>154.4</v>
      </c>
      <c r="F36" s="92">
        <v>141.9</v>
      </c>
      <c r="G36" s="92">
        <v>146.4</v>
      </c>
      <c r="H36" s="92">
        <v>135</v>
      </c>
      <c r="I36" s="92">
        <f t="shared" si="0"/>
        <v>141.1</v>
      </c>
      <c r="J36" s="85">
        <f t="shared" si="3"/>
        <v>5.2704576976421835E-2</v>
      </c>
      <c r="K36" s="85">
        <f t="shared" si="4"/>
        <v>6.4270905321354599E-2</v>
      </c>
      <c r="L36" s="85">
        <f t="shared" si="5"/>
        <v>4.3948613928330049E-2</v>
      </c>
      <c r="M36" s="85">
        <f t="shared" si="1"/>
        <v>3.4710339770227305E-2</v>
      </c>
      <c r="N36" s="84" t="s">
        <v>506</v>
      </c>
      <c r="O36" s="83"/>
      <c r="P36" s="83"/>
      <c r="Q36" s="83"/>
      <c r="R36" s="83"/>
      <c r="S36" s="83"/>
      <c r="T36" s="83"/>
    </row>
    <row r="37" spans="1:20" ht="15" customHeight="1" x14ac:dyDescent="0.2">
      <c r="A37" s="91">
        <v>44044</v>
      </c>
      <c r="B37" s="85" t="s">
        <v>519</v>
      </c>
      <c r="C37" s="85">
        <v>153.9</v>
      </c>
      <c r="D37" s="85">
        <v>157</v>
      </c>
      <c r="E37" s="85">
        <v>155</v>
      </c>
      <c r="F37" s="92">
        <v>143</v>
      </c>
      <c r="G37" s="92">
        <v>148.4</v>
      </c>
      <c r="H37" s="92">
        <v>138.5</v>
      </c>
      <c r="I37" s="92">
        <f t="shared" si="0"/>
        <v>143.29999999999998</v>
      </c>
      <c r="J37" s="85">
        <f t="shared" si="3"/>
        <v>6.1379310344827687E-2</v>
      </c>
      <c r="K37" s="85">
        <f t="shared" si="4"/>
        <v>7.6079506511309125E-2</v>
      </c>
      <c r="L37" s="85">
        <f t="shared" si="5"/>
        <v>4.3771043771043683E-2</v>
      </c>
      <c r="M37" s="85">
        <f t="shared" si="1"/>
        <v>5.1614481409001822E-2</v>
      </c>
      <c r="N37" s="84" t="s">
        <v>506</v>
      </c>
      <c r="O37" s="83"/>
      <c r="P37" s="83"/>
      <c r="Q37" s="83"/>
      <c r="R37" s="83"/>
      <c r="S37" s="83"/>
      <c r="T37" s="83"/>
    </row>
    <row r="38" spans="1:20" ht="15" customHeight="1" x14ac:dyDescent="0.2">
      <c r="A38" s="91">
        <v>44075</v>
      </c>
      <c r="B38" s="85" t="s">
        <v>519</v>
      </c>
      <c r="C38" s="85">
        <v>154.69999999999999</v>
      </c>
      <c r="D38" s="85">
        <v>158</v>
      </c>
      <c r="E38" s="85">
        <v>155.6</v>
      </c>
      <c r="F38" s="92">
        <v>142.9</v>
      </c>
      <c r="G38" s="92">
        <v>148.69999999999999</v>
      </c>
      <c r="H38" s="92">
        <v>139.6</v>
      </c>
      <c r="I38" s="92">
        <f t="shared" si="0"/>
        <v>143.73333333333335</v>
      </c>
      <c r="J38" s="85">
        <f t="shared" si="3"/>
        <v>6.104252400548682E-2</v>
      </c>
      <c r="K38" s="85">
        <f t="shared" si="4"/>
        <v>7.4829931972789199E-2</v>
      </c>
      <c r="L38" s="85">
        <f t="shared" si="5"/>
        <v>4.4295302013422688E-2</v>
      </c>
      <c r="M38" s="85">
        <f t="shared" si="1"/>
        <v>5.1963893632593461E-2</v>
      </c>
      <c r="N38" s="84" t="s">
        <v>506</v>
      </c>
      <c r="O38" s="83"/>
      <c r="P38" s="83"/>
      <c r="Q38" s="83"/>
      <c r="R38" s="83"/>
      <c r="S38" s="83"/>
      <c r="T38" s="83"/>
    </row>
    <row r="39" spans="1:20" ht="15" customHeight="1" x14ac:dyDescent="0.2">
      <c r="A39" s="91">
        <v>44105</v>
      </c>
      <c r="B39" s="85" t="s">
        <v>519</v>
      </c>
      <c r="C39" s="85">
        <v>156.4</v>
      </c>
      <c r="D39" s="85">
        <v>161.4</v>
      </c>
      <c r="E39" s="85">
        <v>156.30000000000001</v>
      </c>
      <c r="F39" s="92">
        <v>143.1</v>
      </c>
      <c r="G39" s="92">
        <v>148.69999999999999</v>
      </c>
      <c r="H39" s="92">
        <v>140.6</v>
      </c>
      <c r="I39" s="92">
        <f t="shared" si="0"/>
        <v>144.13333333333333</v>
      </c>
      <c r="J39" s="85">
        <f t="shared" si="3"/>
        <v>6.2500000000000222E-2</v>
      </c>
      <c r="K39" s="85">
        <f t="shared" si="4"/>
        <v>7.8877005347593565E-2</v>
      </c>
      <c r="L39" s="85">
        <f t="shared" si="5"/>
        <v>4.6184738955823423E-2</v>
      </c>
      <c r="M39" s="85">
        <f t="shared" si="1"/>
        <v>4.9769361495508369E-2</v>
      </c>
      <c r="N39" s="84" t="s">
        <v>506</v>
      </c>
      <c r="O39" s="83"/>
      <c r="P39" s="83"/>
      <c r="Q39" s="83"/>
      <c r="R39" s="83"/>
      <c r="S39" s="83"/>
      <c r="T39" s="83"/>
    </row>
    <row r="40" spans="1:20" ht="15" customHeight="1" x14ac:dyDescent="0.2">
      <c r="A40" s="91">
        <v>44136</v>
      </c>
      <c r="B40" s="92" t="s">
        <v>519</v>
      </c>
      <c r="C40" s="92">
        <v>158.4</v>
      </c>
      <c r="D40" s="92">
        <v>164.7</v>
      </c>
      <c r="E40" s="92">
        <v>157.19999999999999</v>
      </c>
      <c r="F40" s="92">
        <v>143.6</v>
      </c>
      <c r="G40" s="92">
        <v>149.19999999999999</v>
      </c>
      <c r="H40" s="92">
        <v>140.4</v>
      </c>
      <c r="I40" s="92">
        <f t="shared" si="0"/>
        <v>144.39999999999998</v>
      </c>
      <c r="J40" s="85">
        <f t="shared" si="3"/>
        <v>6.5948855989232946E-2</v>
      </c>
      <c r="K40" s="85">
        <f t="shared" si="4"/>
        <v>8.4265964450296105E-2</v>
      </c>
      <c r="L40" s="85">
        <f t="shared" si="5"/>
        <v>4.8699132755170016E-2</v>
      </c>
      <c r="M40" s="85">
        <f t="shared" si="1"/>
        <v>4.5871559633027248E-2</v>
      </c>
      <c r="N40" s="84" t="s">
        <v>506</v>
      </c>
      <c r="O40" s="83"/>
      <c r="P40" s="83"/>
      <c r="Q40" s="83"/>
      <c r="R40" s="83"/>
      <c r="S40" s="83"/>
      <c r="T40" s="83"/>
    </row>
    <row r="41" spans="1:20" ht="15" customHeight="1" x14ac:dyDescent="0.2">
      <c r="A41" s="91">
        <v>44166</v>
      </c>
      <c r="B41" s="92" t="s">
        <v>519</v>
      </c>
      <c r="C41" s="92">
        <v>158.9</v>
      </c>
      <c r="D41" s="92">
        <v>165.4</v>
      </c>
      <c r="E41" s="92">
        <v>158.30000000000001</v>
      </c>
      <c r="F41" s="92">
        <v>144.6</v>
      </c>
      <c r="G41" s="92">
        <v>149.69999999999999</v>
      </c>
      <c r="H41" s="92">
        <v>140.69999999999999</v>
      </c>
      <c r="I41" s="92">
        <f>AVERAGE(F41:H41)</f>
        <v>144.99999999999997</v>
      </c>
      <c r="J41" s="85">
        <f t="shared" si="3"/>
        <v>5.6515957446808596E-2</v>
      </c>
      <c r="K41" s="85">
        <f t="shared" si="4"/>
        <v>6.7096774193548425E-2</v>
      </c>
      <c r="L41" s="85">
        <f t="shared" si="5"/>
        <v>5.2526595744680993E-2</v>
      </c>
      <c r="M41" s="85">
        <f t="shared" si="1"/>
        <v>3.7443357977581471E-2</v>
      </c>
      <c r="N41" s="84" t="s">
        <v>506</v>
      </c>
      <c r="O41" s="83"/>
      <c r="P41" s="83"/>
      <c r="Q41" s="83"/>
      <c r="R41" s="83"/>
      <c r="S41" s="83"/>
      <c r="T41" s="83"/>
    </row>
    <row r="42" spans="1:20" ht="15" customHeight="1" x14ac:dyDescent="0.2">
      <c r="A42" s="96">
        <v>44197</v>
      </c>
      <c r="B42" s="84" t="s">
        <v>519</v>
      </c>
      <c r="C42" s="86">
        <f>SUMIFS('Clean Data'!$AD:$AD,'Clean Data'!$A:$A,"Rural+Urban",'Clean Data'!$B:$B,2021,'Clean Data'!$C:$C,"January")</f>
        <v>157.30000000000001</v>
      </c>
      <c r="D42" s="86">
        <f>SUMIFS('Clean Data'!$P:$P,'Clean Data'!$A:$A,"Rural+Urban",'Clean Data'!$B:$B,2021,'Clean Data'!$C:$C,"January")</f>
        <v>161</v>
      </c>
      <c r="E42" s="86">
        <f>SUMIFS('Clean Data'!$X:$X,'Clean Data'!$A:$A,"Rural+Urban",'Clean Data'!$B:$B,2021,'Clean Data'!$C:$C,"January")</f>
        <v>159.30000000000001</v>
      </c>
      <c r="F42" s="86">
        <f>SUMIFS('Clean Data'!$V:$V,'Clean Data'!$A:$A,"Rural+Urban",'Clean Data'!$B:$B,2021,'Clean Data'!$C:$C,"January")</f>
        <v>147.9</v>
      </c>
      <c r="G42" s="86">
        <f>SUMIFS('Clean Data'!$W:$W,'Clean Data'!$A:$A,"Rural+Urban",'Clean Data'!$B:$B,2021,'Clean Data'!$C:$C,"January")</f>
        <v>150</v>
      </c>
      <c r="H42" s="86">
        <f>SUMIFS('Clean Data'!$Y:$Y,'Clean Data'!$A:$A,"Rural+Urban",'Clean Data'!$B:$B,2021,'Clean Data'!$C:$C,"January")</f>
        <v>141.9</v>
      </c>
      <c r="I42" s="92">
        <f t="shared" si="0"/>
        <v>146.6</v>
      </c>
      <c r="J42" s="85">
        <f t="shared" si="3"/>
        <v>4.7270306258322403E-2</v>
      </c>
      <c r="K42" s="85">
        <f t="shared" si="4"/>
        <v>4.8859934853420217E-2</v>
      </c>
      <c r="L42" s="85">
        <f t="shared" si="5"/>
        <v>5.3571428571428825E-2</v>
      </c>
      <c r="M42" s="85">
        <f t="shared" si="1"/>
        <v>4.2921508181171575E-2</v>
      </c>
      <c r="N42" s="84" t="s">
        <v>522</v>
      </c>
      <c r="O42" s="83"/>
      <c r="P42" s="83"/>
      <c r="Q42" s="83"/>
      <c r="R42" s="83"/>
      <c r="S42" s="83"/>
      <c r="T42" s="83"/>
    </row>
    <row r="43" spans="1:20" ht="15" customHeight="1" x14ac:dyDescent="0.2">
      <c r="A43" s="91">
        <v>44228</v>
      </c>
      <c r="B43" s="92" t="s">
        <v>519</v>
      </c>
      <c r="C43" s="92">
        <v>156.6</v>
      </c>
      <c r="D43" s="92">
        <v>156.9</v>
      </c>
      <c r="E43" s="92">
        <v>161.30000000000001</v>
      </c>
      <c r="F43" s="92">
        <v>152.4</v>
      </c>
      <c r="G43" s="92">
        <v>150.9</v>
      </c>
      <c r="H43" s="92">
        <v>145.1</v>
      </c>
      <c r="I43" s="92">
        <f t="shared" si="0"/>
        <v>149.46666666666667</v>
      </c>
      <c r="J43" s="85">
        <f t="shared" si="3"/>
        <v>5.0301810865191143E-2</v>
      </c>
      <c r="K43" s="85">
        <f t="shared" si="4"/>
        <v>4.2524916943521562E-2</v>
      </c>
      <c r="L43" s="85">
        <f t="shared" si="5"/>
        <v>6.3282794990112246E-2</v>
      </c>
      <c r="M43" s="85">
        <f t="shared" si="1"/>
        <v>5.7796650153338014E-2</v>
      </c>
      <c r="N43" s="84" t="s">
        <v>506</v>
      </c>
      <c r="O43" s="83"/>
      <c r="P43" s="83"/>
      <c r="Q43" s="83"/>
      <c r="R43" s="83"/>
      <c r="S43" s="83"/>
      <c r="T43" s="83"/>
    </row>
    <row r="44" spans="1:20" ht="15" customHeight="1" x14ac:dyDescent="0.2">
      <c r="A44" s="91">
        <v>44256</v>
      </c>
      <c r="B44" s="92" t="s">
        <v>519</v>
      </c>
      <c r="C44" s="92">
        <v>156.80000000000001</v>
      </c>
      <c r="D44" s="92">
        <v>156.69999999999999</v>
      </c>
      <c r="E44" s="92">
        <v>161.69999999999999</v>
      </c>
      <c r="F44" s="92">
        <v>155.5</v>
      </c>
      <c r="G44" s="92">
        <v>151.19999999999999</v>
      </c>
      <c r="H44" s="92">
        <v>146.19999999999999</v>
      </c>
      <c r="I44" s="92">
        <f t="shared" si="0"/>
        <v>150.96666666666667</v>
      </c>
      <c r="J44" s="85">
        <f t="shared" si="3"/>
        <v>5.5181695827725585E-2</v>
      </c>
      <c r="K44" s="85">
        <f t="shared" si="4"/>
        <v>5.2384150436534549E-2</v>
      </c>
      <c r="L44" s="85">
        <f t="shared" si="5"/>
        <v>6.1720288903479803E-2</v>
      </c>
      <c r="M44" s="85">
        <f t="shared" si="1"/>
        <v>6.5145813734712954E-2</v>
      </c>
      <c r="N44" s="84" t="s">
        <v>506</v>
      </c>
      <c r="O44" s="83"/>
      <c r="P44" s="83"/>
      <c r="Q44" s="83"/>
      <c r="R44" s="83"/>
      <c r="S44" s="83"/>
      <c r="T44" s="83"/>
    </row>
    <row r="45" spans="1:20" ht="15" customHeight="1" x14ac:dyDescent="0.25">
      <c r="A45" s="40"/>
      <c r="B45" s="40"/>
      <c r="C45" s="40"/>
      <c r="D45" s="40"/>
      <c r="E45" s="40"/>
      <c r="F45" s="40"/>
      <c r="G45" s="40"/>
      <c r="H45" s="40"/>
      <c r="I45" s="40"/>
      <c r="J45" s="40"/>
      <c r="K45" s="40"/>
      <c r="L45" s="40"/>
      <c r="M45" s="40"/>
    </row>
    <row r="46" spans="1:20" ht="15" customHeight="1" x14ac:dyDescent="0.25">
      <c r="A46" s="30" t="s">
        <v>523</v>
      </c>
      <c r="B46" s="40"/>
      <c r="C46" s="40"/>
      <c r="D46" s="40"/>
      <c r="E46" s="40"/>
      <c r="F46" s="40"/>
      <c r="G46" s="40"/>
      <c r="H46" s="40"/>
      <c r="I46" s="40"/>
      <c r="J46" s="40"/>
      <c r="K46" s="40"/>
      <c r="L46" s="40"/>
      <c r="M46" s="40"/>
    </row>
    <row r="47" spans="1:20" ht="15" customHeight="1" x14ac:dyDescent="0.2">
      <c r="A47" s="141" t="s">
        <v>524</v>
      </c>
      <c r="B47" s="115"/>
      <c r="C47" s="115"/>
      <c r="D47" s="115"/>
      <c r="E47" s="115"/>
      <c r="F47" s="115"/>
      <c r="G47" s="115"/>
      <c r="H47" s="115"/>
      <c r="I47" s="115"/>
      <c r="J47" s="115"/>
      <c r="K47" s="115"/>
      <c r="L47" s="115"/>
      <c r="M47" s="115"/>
      <c r="N47" s="115"/>
    </row>
    <row r="48" spans="1:20" ht="15" customHeight="1" x14ac:dyDescent="0.25">
      <c r="A48" s="40"/>
      <c r="B48" s="40"/>
      <c r="C48" s="40"/>
      <c r="D48" s="40"/>
      <c r="E48" s="40"/>
      <c r="F48" s="40"/>
      <c r="G48" s="40"/>
      <c r="H48" s="40"/>
      <c r="I48" s="40"/>
      <c r="J48" s="40"/>
      <c r="K48" s="40"/>
      <c r="L48" s="40"/>
      <c r="M48" s="40"/>
    </row>
    <row r="49" spans="1:13" ht="15" customHeight="1" x14ac:dyDescent="0.25">
      <c r="A49" s="40"/>
      <c r="B49" s="40"/>
      <c r="C49" s="40"/>
      <c r="D49" s="40"/>
      <c r="E49" s="40"/>
      <c r="F49" s="40"/>
      <c r="G49" s="40"/>
      <c r="H49" s="40"/>
      <c r="I49" s="40"/>
      <c r="J49" s="40"/>
      <c r="K49" s="40"/>
      <c r="L49" s="40"/>
      <c r="M49" s="40"/>
    </row>
  </sheetData>
  <mergeCells count="4">
    <mergeCell ref="A1:N1"/>
    <mergeCell ref="A3:M3"/>
    <mergeCell ref="A47:N47"/>
    <mergeCell ref="P1:T1"/>
  </mergeCells>
  <hyperlinks>
    <hyperlink ref="V2" r:id="rId1" location="'Dashboard'!A1" xr:uid="{00000000-0004-0000-1200-000000000000}"/>
  </hyperlinks>
  <pageMargins left="0.7" right="0.7" top="0.75" bottom="0.75" header="0.511811023622047" footer="0.511811023622047"/>
  <pageSetup paperSize="9"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69214"/>
    <pageSetUpPr fitToPage="1"/>
  </sheetPr>
  <dimension ref="A1:G17"/>
  <sheetViews>
    <sheetView showGridLines="0" zoomScale="90" zoomScaleNormal="90" workbookViewId="0">
      <selection sqref="A1:F1"/>
    </sheetView>
  </sheetViews>
  <sheetFormatPr defaultColWidth="8.7109375" defaultRowHeight="15" customHeight="1" x14ac:dyDescent="0.2"/>
  <cols>
    <col min="1" max="1" width="34.140625" customWidth="1"/>
    <col min="2" max="5" width="42" customWidth="1"/>
    <col min="6" max="6" width="27.85546875" customWidth="1"/>
    <col min="7" max="7" width="10" customWidth="1"/>
  </cols>
  <sheetData>
    <row r="1" spans="1:7" ht="24" customHeight="1" x14ac:dyDescent="0.2">
      <c r="A1" s="154" t="s">
        <v>525</v>
      </c>
      <c r="B1" s="115"/>
      <c r="C1" s="115"/>
      <c r="D1" s="115"/>
      <c r="E1" s="115"/>
      <c r="F1" s="115"/>
    </row>
    <row r="2" spans="1:7" ht="15" customHeight="1" x14ac:dyDescent="0.25">
      <c r="A2" s="40"/>
      <c r="B2" s="40"/>
      <c r="C2" s="40"/>
      <c r="D2" s="40"/>
      <c r="E2" s="40"/>
      <c r="F2" s="40"/>
      <c r="G2" s="10" t="s">
        <v>86</v>
      </c>
    </row>
    <row r="3" spans="1:7" ht="15" customHeight="1" x14ac:dyDescent="0.2">
      <c r="A3" s="41" t="s">
        <v>489</v>
      </c>
      <c r="B3" s="41" t="s">
        <v>490</v>
      </c>
      <c r="C3" s="41" t="s">
        <v>491</v>
      </c>
      <c r="D3" s="41" t="s">
        <v>492</v>
      </c>
      <c r="E3" s="41" t="s">
        <v>526</v>
      </c>
      <c r="F3" s="41" t="s">
        <v>487</v>
      </c>
    </row>
    <row r="4" spans="1:7" ht="15" customHeight="1" x14ac:dyDescent="0.2">
      <c r="A4" s="30" t="str">
        <f>'Q4 Calculation'!P4</f>
        <v>General CPI</v>
      </c>
      <c r="B4" s="25">
        <f>'Q4 Calculation'!Q4</f>
        <v>4.7566777345435352E-2</v>
      </c>
      <c r="C4" s="25">
        <f>'Q4 Calculation'!R4</f>
        <v>5.8049244104553775E-2</v>
      </c>
      <c r="D4" s="25">
        <f>'Q4 Calculation'!S4</f>
        <v>1.0482466759118424E-2</v>
      </c>
      <c r="E4" s="32" t="str">
        <f>IF(D4&gt;0,"Higher after onset","Lower after onset")</f>
        <v>Higher after onset</v>
      </c>
      <c r="F4" s="30" t="s">
        <v>527</v>
      </c>
    </row>
    <row r="5" spans="1:7" ht="15" customHeight="1" x14ac:dyDescent="0.2">
      <c r="A5" s="30" t="str">
        <f>'Q4 Calculation'!P5</f>
        <v>Food</v>
      </c>
      <c r="B5" s="25">
        <f>'Q4 Calculation'!Q5</f>
        <v>6.068042086288028E-2</v>
      </c>
      <c r="C5" s="25">
        <f>'Q4 Calculation'!R5</f>
        <v>6.9071211168838201E-2</v>
      </c>
      <c r="D5" s="25">
        <f>'Q4 Calculation'!S5</f>
        <v>8.3907903059579209E-3</v>
      </c>
      <c r="E5" s="32" t="str">
        <f>IF(D5&gt;0,"Higher after onset","Lower after onset")</f>
        <v>Higher after onset</v>
      </c>
      <c r="F5" s="30" t="s">
        <v>527</v>
      </c>
    </row>
    <row r="6" spans="1:7" ht="15" customHeight="1" x14ac:dyDescent="0.2">
      <c r="A6" s="30" t="str">
        <f>'Q4 Calculation'!P6</f>
        <v>Health</v>
      </c>
      <c r="B6" s="25">
        <f>'Q4 Calculation'!Q6</f>
        <v>6.2565953022984622E-2</v>
      </c>
      <c r="C6" s="25">
        <f>'Q4 Calculation'!R6</f>
        <v>4.964933657773396E-2</v>
      </c>
      <c r="D6" s="25">
        <f>'Q4 Calculation'!S6</f>
        <v>-1.2916616445250662E-2</v>
      </c>
      <c r="E6" s="32" t="str">
        <f>IF(D6&gt;0,"Higher after onset","Lower after onset")</f>
        <v>Lower after onset</v>
      </c>
      <c r="F6" s="30" t="s">
        <v>527</v>
      </c>
    </row>
    <row r="7" spans="1:7" ht="15" customHeight="1" x14ac:dyDescent="0.2">
      <c r="A7" s="30" t="str">
        <f>'Q4 Calculation'!P7</f>
        <v>Essential Services</v>
      </c>
      <c r="B7" s="25">
        <f>'Q4 Calculation'!Q7</f>
        <v>2.2470986315337237E-2</v>
      </c>
      <c r="C7" s="25">
        <f>'Q4 Calculation'!R7</f>
        <v>4.5565035187974723E-2</v>
      </c>
      <c r="D7" s="25">
        <f>'Q4 Calculation'!S7</f>
        <v>2.3094048872637486E-2</v>
      </c>
      <c r="E7" s="32" t="str">
        <f>IF(D7&gt;0,"Higher after onset","Lower after onset")</f>
        <v>Higher after onset</v>
      </c>
      <c r="F7" s="30" t="s">
        <v>527</v>
      </c>
    </row>
    <row r="8" spans="1:7" ht="15" customHeight="1" x14ac:dyDescent="0.25">
      <c r="A8" s="40"/>
      <c r="B8" s="40"/>
      <c r="C8" s="40"/>
      <c r="D8" s="40"/>
      <c r="E8" s="40"/>
      <c r="F8" s="40"/>
    </row>
    <row r="9" spans="1:7" ht="15" customHeight="1" x14ac:dyDescent="0.25">
      <c r="A9" s="40"/>
      <c r="B9" s="40"/>
      <c r="C9" s="40"/>
      <c r="D9" s="40"/>
      <c r="E9" s="40"/>
      <c r="F9" s="40"/>
    </row>
    <row r="10" spans="1:7" ht="15" customHeight="1" x14ac:dyDescent="0.2">
      <c r="A10" s="155" t="s">
        <v>528</v>
      </c>
      <c r="B10" s="115"/>
      <c r="C10" s="115"/>
      <c r="D10" s="115"/>
      <c r="E10" s="115"/>
      <c r="F10" s="115"/>
    </row>
    <row r="11" spans="1:7" ht="15" customHeight="1" x14ac:dyDescent="0.2">
      <c r="A11" s="3" t="s">
        <v>529</v>
      </c>
      <c r="B11" s="44">
        <f>'Q4 Calculation'!A32</f>
        <v>43891</v>
      </c>
      <c r="C11" s="25">
        <f>'Q4 Calculation'!J32</f>
        <v>5.8404558404558271E-2</v>
      </c>
      <c r="D11" s="25">
        <f>'Q4 Calculation'!K32</f>
        <v>7.8204199855177459E-2</v>
      </c>
      <c r="E11" s="25">
        <f>'Q4 Calculation'!L32</f>
        <v>4.1723666210670363E-2</v>
      </c>
      <c r="F11" s="25">
        <f>'Q4 Calculation'!M32</f>
        <v>4.1901494731683586E-2</v>
      </c>
    </row>
    <row r="14" spans="1:7" ht="15" customHeight="1" x14ac:dyDescent="0.25">
      <c r="A14" s="45" t="s">
        <v>286</v>
      </c>
      <c r="B14" s="46"/>
      <c r="C14" s="46"/>
      <c r="D14" s="46"/>
      <c r="E14" s="46"/>
      <c r="F14" s="46"/>
    </row>
    <row r="15" spans="1:7" ht="15" customHeight="1" x14ac:dyDescent="0.2">
      <c r="A15" s="3" t="s">
        <v>345</v>
      </c>
      <c r="B15" s="4" t="s">
        <v>530</v>
      </c>
    </row>
    <row r="16" spans="1:7" ht="15" customHeight="1" x14ac:dyDescent="0.2">
      <c r="A16" s="3" t="s">
        <v>291</v>
      </c>
      <c r="B16" s="4" t="s">
        <v>531</v>
      </c>
    </row>
    <row r="17" spans="1:2" ht="15" customHeight="1" x14ac:dyDescent="0.2">
      <c r="A17" s="3" t="s">
        <v>532</v>
      </c>
      <c r="B17" s="4" t="s">
        <v>533</v>
      </c>
    </row>
  </sheetData>
  <mergeCells count="2">
    <mergeCell ref="A1:F1"/>
    <mergeCell ref="A10:F10"/>
  </mergeCells>
  <hyperlinks>
    <hyperlink ref="G2" r:id="rId1" location="'Dashboard'!A1" xr:uid="{00000000-0004-0000-1300-000000000000}"/>
  </hyperlinks>
  <pageMargins left="0.7" right="0.7" top="0.75" bottom="0.75" header="0.511811023622047" footer="0.511811023622047"/>
  <pageSetup paperSize="9"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69214"/>
    <pageSetUpPr fitToPage="1"/>
  </sheetPr>
  <dimension ref="A1:Q36"/>
  <sheetViews>
    <sheetView showGridLines="0" topLeftCell="B1" zoomScale="90" zoomScaleNormal="90" workbookViewId="0">
      <pane ySplit="4" topLeftCell="A12" activePane="bottomLeft" state="frozen"/>
      <selection pane="bottomLeft" activeCell="A11" sqref="A11:H13"/>
    </sheetView>
  </sheetViews>
  <sheetFormatPr defaultColWidth="8.7109375" defaultRowHeight="15" customHeight="1" x14ac:dyDescent="0.2"/>
  <cols>
    <col min="1" max="1" width="36" customWidth="1"/>
    <col min="2" max="2" width="17" customWidth="1"/>
    <col min="3" max="6" width="14" customWidth="1"/>
    <col min="7" max="7" width="20.7109375" customWidth="1"/>
    <col min="8" max="8" width="42" customWidth="1"/>
    <col min="9" max="10" width="14" customWidth="1"/>
    <col min="17" max="17" width="10" customWidth="1"/>
  </cols>
  <sheetData>
    <row r="1" spans="1:17" ht="24" customHeight="1" x14ac:dyDescent="0.25">
      <c r="A1" s="159" t="s">
        <v>534</v>
      </c>
      <c r="B1" s="160"/>
      <c r="C1" s="160"/>
      <c r="D1" s="160"/>
      <c r="E1" s="160"/>
      <c r="F1" s="160"/>
      <c r="G1" s="160"/>
      <c r="H1" s="160"/>
      <c r="I1" s="160"/>
      <c r="J1" s="160"/>
      <c r="K1" s="160"/>
      <c r="L1" s="160"/>
      <c r="M1" s="160"/>
      <c r="N1" s="160"/>
      <c r="O1" s="40"/>
      <c r="P1" s="40"/>
    </row>
    <row r="2" spans="1:17" ht="15" customHeight="1" x14ac:dyDescent="0.25">
      <c r="A2" s="40"/>
      <c r="B2" s="40"/>
      <c r="C2" s="40"/>
      <c r="D2" s="40"/>
      <c r="E2" s="40"/>
      <c r="F2" s="40"/>
      <c r="G2" s="40"/>
      <c r="H2" s="40"/>
      <c r="I2" s="40"/>
      <c r="J2" s="40"/>
      <c r="K2" s="40"/>
      <c r="L2" s="40"/>
      <c r="M2" s="40"/>
      <c r="N2" s="40"/>
      <c r="O2" s="40"/>
      <c r="P2" s="40"/>
      <c r="Q2" s="10" t="s">
        <v>86</v>
      </c>
    </row>
    <row r="3" spans="1:17" ht="27.75" customHeight="1" x14ac:dyDescent="0.25">
      <c r="A3" s="41" t="s">
        <v>56</v>
      </c>
      <c r="B3" s="81" t="s">
        <v>720</v>
      </c>
      <c r="C3" s="41" t="s">
        <v>535</v>
      </c>
      <c r="D3" s="41" t="s">
        <v>536</v>
      </c>
      <c r="E3" s="41" t="s">
        <v>537</v>
      </c>
      <c r="F3" s="40"/>
      <c r="G3" s="41" t="s">
        <v>489</v>
      </c>
      <c r="H3" s="41" t="s">
        <v>538</v>
      </c>
      <c r="I3" s="41" t="s">
        <v>539</v>
      </c>
      <c r="J3" s="41" t="s">
        <v>492</v>
      </c>
      <c r="K3" s="40"/>
      <c r="L3" s="40"/>
      <c r="M3" s="40"/>
      <c r="N3" s="40"/>
      <c r="O3" s="40"/>
      <c r="P3" s="40"/>
    </row>
    <row r="4" spans="1:17" ht="15" customHeight="1" x14ac:dyDescent="0.25">
      <c r="A4" s="44">
        <f>'Q4 Calculation'!A20</f>
        <v>43525</v>
      </c>
      <c r="B4" s="25">
        <f>'Q4 Calculation'!J20</f>
        <v>2.8571428571428692E-2</v>
      </c>
      <c r="C4" s="25">
        <f>'Q4 Calculation'!K20</f>
        <v>6.5597667638483959E-3</v>
      </c>
      <c r="D4" s="25">
        <f>'Q4 Calculation'!L20</f>
        <v>8.8607594936708667E-2</v>
      </c>
      <c r="E4" s="25">
        <f>'Q4 Calculation'!M20</f>
        <v>3.8158229458153059E-2</v>
      </c>
      <c r="F4" s="40"/>
      <c r="G4" s="30" t="str">
        <f>'Q4 Calculation'!P4</f>
        <v>General CPI</v>
      </c>
      <c r="H4" s="25">
        <f>'Q4 Calculation'!Q4</f>
        <v>4.7566777345435352E-2</v>
      </c>
      <c r="I4" s="25">
        <f>'Q4 Calculation'!R4</f>
        <v>5.8049244104553775E-2</v>
      </c>
      <c r="J4" s="25">
        <f>'Q4 Calculation'!S4</f>
        <v>1.0482466759118424E-2</v>
      </c>
      <c r="K4" s="40"/>
      <c r="L4" s="40"/>
      <c r="M4" s="40"/>
      <c r="N4" s="40"/>
      <c r="O4" s="40"/>
      <c r="P4" s="40"/>
    </row>
    <row r="5" spans="1:17" ht="15" customHeight="1" x14ac:dyDescent="0.25">
      <c r="A5" s="44">
        <f>'Q4 Calculation'!A21</f>
        <v>43556</v>
      </c>
      <c r="B5" s="25">
        <f>'Q4 Calculation'!J21</f>
        <v>2.9905178701677526E-2</v>
      </c>
      <c r="C5" s="25">
        <f>'Q4 Calculation'!K21</f>
        <v>1.4545454545454639E-2</v>
      </c>
      <c r="D5" s="25">
        <f>'Q4 Calculation'!L21</f>
        <v>8.3949704142012083E-2</v>
      </c>
      <c r="E5" s="25">
        <f>'Q4 Calculation'!M21</f>
        <v>3.4177215189873378E-2</v>
      </c>
      <c r="F5" s="40"/>
      <c r="G5" s="30" t="str">
        <f>'Q4 Calculation'!P5</f>
        <v>Food</v>
      </c>
      <c r="H5" s="25">
        <f>'Q4 Calculation'!Q5</f>
        <v>6.068042086288028E-2</v>
      </c>
      <c r="I5" s="25">
        <f>'Q4 Calculation'!R5</f>
        <v>6.9071211168838201E-2</v>
      </c>
      <c r="J5" s="25">
        <f>'Q4 Calculation'!S5</f>
        <v>8.3907903059579209E-3</v>
      </c>
      <c r="K5" s="40"/>
      <c r="L5" s="40"/>
      <c r="M5" s="40"/>
      <c r="N5" s="40"/>
      <c r="O5" s="40"/>
      <c r="P5" s="40"/>
    </row>
    <row r="6" spans="1:17" ht="15" customHeight="1" x14ac:dyDescent="0.25">
      <c r="A6" s="44">
        <f>'Q4 Calculation'!A22</f>
        <v>43586</v>
      </c>
      <c r="B6" s="25">
        <f>'Q4 Calculation'!J22</f>
        <v>3.0478955007256836E-2</v>
      </c>
      <c r="C6" s="25">
        <f>'Q4 Calculation'!K22</f>
        <v>2.0275162925416534E-2</v>
      </c>
      <c r="D6" s="25">
        <f>'Q4 Calculation'!L22</f>
        <v>8.0147058823529349E-2</v>
      </c>
      <c r="E6" s="25">
        <f>'Q4 Calculation'!M22</f>
        <v>2.9456193353474047E-2</v>
      </c>
      <c r="F6" s="40"/>
      <c r="G6" s="30" t="str">
        <f>'Q4 Calculation'!P6</f>
        <v>Health</v>
      </c>
      <c r="H6" s="25">
        <f>'Q4 Calculation'!Q6</f>
        <v>6.2565953022984622E-2</v>
      </c>
      <c r="I6" s="25">
        <f>'Q4 Calculation'!R6</f>
        <v>4.964933657773396E-2</v>
      </c>
      <c r="J6" s="25">
        <f>'Q4 Calculation'!S6</f>
        <v>-1.2916616445250662E-2</v>
      </c>
      <c r="K6" s="40"/>
      <c r="L6" s="40"/>
      <c r="M6" s="40"/>
      <c r="N6" s="40"/>
      <c r="O6" s="40"/>
      <c r="P6" s="40"/>
    </row>
    <row r="7" spans="1:17" ht="15" customHeight="1" x14ac:dyDescent="0.25">
      <c r="A7" s="44">
        <f>'Q4 Calculation'!A23</f>
        <v>43617</v>
      </c>
      <c r="B7" s="25">
        <f>'Q4 Calculation'!J23</f>
        <v>3.1768953068592065E-2</v>
      </c>
      <c r="C7" s="25">
        <f>'Q4 Calculation'!K23</f>
        <v>2.3672883787661192E-2</v>
      </c>
      <c r="D7" s="25">
        <f>'Q4 Calculation'!L23</f>
        <v>8.2232011747430445E-2</v>
      </c>
      <c r="E7" s="25">
        <f>'Q4 Calculation'!M23</f>
        <v>2.4768576432324441E-2</v>
      </c>
      <c r="F7" s="40"/>
      <c r="G7" s="30" t="str">
        <f>'Q4 Calculation'!P7</f>
        <v>Essential Services</v>
      </c>
      <c r="H7" s="25">
        <f>'Q4 Calculation'!Q7</f>
        <v>2.2470986315337237E-2</v>
      </c>
      <c r="I7" s="25">
        <f>'Q4 Calculation'!R7</f>
        <v>4.5565035187974723E-2</v>
      </c>
      <c r="J7" s="25">
        <f>'Q4 Calculation'!S7</f>
        <v>2.3094048872637486E-2</v>
      </c>
      <c r="K7" s="40"/>
      <c r="L7" s="40"/>
      <c r="M7" s="40"/>
      <c r="N7" s="40"/>
      <c r="O7" s="40"/>
      <c r="P7" s="40"/>
    </row>
    <row r="8" spans="1:17" ht="15" customHeight="1" x14ac:dyDescent="0.25">
      <c r="A8" s="44">
        <f>'Q4 Calculation'!A24</f>
        <v>43647</v>
      </c>
      <c r="B8" s="25">
        <f>'Q4 Calculation'!J24</f>
        <v>3.1473533619456262E-2</v>
      </c>
      <c r="C8" s="25">
        <f>'Q4 Calculation'!K24</f>
        <v>2.33380480905232E-2</v>
      </c>
      <c r="D8" s="25">
        <f>'Q4 Calculation'!L24</f>
        <v>7.9562043795620374E-2</v>
      </c>
      <c r="E8" s="25">
        <f>'Q4 Calculation'!M24</f>
        <v>1.7914904205026172E-2</v>
      </c>
      <c r="F8" s="40"/>
      <c r="G8" s="40"/>
      <c r="H8" s="40"/>
      <c r="I8" s="40"/>
      <c r="J8" s="40"/>
      <c r="K8" s="40"/>
      <c r="L8" s="40"/>
      <c r="M8" s="40"/>
      <c r="N8" s="40"/>
      <c r="O8" s="40"/>
      <c r="P8" s="40"/>
    </row>
    <row r="9" spans="1:17" ht="15" customHeight="1" x14ac:dyDescent="0.25">
      <c r="A9" s="44">
        <f>'Q4 Calculation'!A25</f>
        <v>43678</v>
      </c>
      <c r="B9" s="25">
        <f>'Q4 Calculation'!J25</f>
        <v>3.2763532763532721E-2</v>
      </c>
      <c r="C9" s="25">
        <f>'Q4 Calculation'!K25</f>
        <v>2.9640084685956358E-2</v>
      </c>
      <c r="D9" s="25">
        <f>'Q4 Calculation'!L25</f>
        <v>7.8431372549019773E-2</v>
      </c>
      <c r="E9" s="25">
        <f>'Q4 Calculation'!M25</f>
        <v>1.0380622837370179E-2</v>
      </c>
      <c r="F9" s="40"/>
      <c r="G9" s="40"/>
      <c r="H9" s="40"/>
      <c r="I9" s="40"/>
      <c r="J9" s="40"/>
      <c r="K9" s="40"/>
      <c r="L9" s="40"/>
      <c r="M9" s="40"/>
      <c r="N9" s="40"/>
      <c r="O9" s="40"/>
      <c r="P9" s="40"/>
    </row>
    <row r="10" spans="1:17" ht="24" customHeight="1" x14ac:dyDescent="0.25">
      <c r="A10" s="158" t="s">
        <v>540</v>
      </c>
      <c r="B10" s="106"/>
      <c r="C10" s="106"/>
      <c r="D10" s="106"/>
      <c r="E10" s="106"/>
      <c r="F10" s="106"/>
      <c r="G10" s="106"/>
      <c r="H10" s="106"/>
      <c r="I10" s="47"/>
      <c r="J10" s="47"/>
      <c r="K10" s="47"/>
      <c r="L10" s="47"/>
      <c r="M10" s="47"/>
      <c r="N10" s="47"/>
      <c r="O10" s="40"/>
      <c r="P10" s="40"/>
    </row>
    <row r="11" spans="1:17" ht="30" customHeight="1" x14ac:dyDescent="0.25">
      <c r="A11" s="157" t="s">
        <v>719</v>
      </c>
      <c r="B11" s="106"/>
      <c r="C11" s="106"/>
      <c r="D11" s="106"/>
      <c r="E11" s="106"/>
      <c r="F11" s="106"/>
      <c r="G11" s="106"/>
      <c r="H11" s="106"/>
      <c r="I11" s="40"/>
      <c r="J11" s="40"/>
      <c r="K11" s="40"/>
      <c r="L11" s="40"/>
      <c r="M11" s="40"/>
      <c r="N11" s="40"/>
      <c r="O11" s="40"/>
      <c r="P11" s="40"/>
    </row>
    <row r="12" spans="1:17" ht="30" customHeight="1" x14ac:dyDescent="0.25">
      <c r="A12" s="106"/>
      <c r="B12" s="106"/>
      <c r="C12" s="106"/>
      <c r="D12" s="106"/>
      <c r="E12" s="106"/>
      <c r="F12" s="106"/>
      <c r="G12" s="106"/>
      <c r="H12" s="106"/>
      <c r="I12" s="40"/>
      <c r="J12" s="40"/>
      <c r="K12" s="40"/>
      <c r="L12" s="40"/>
      <c r="M12" s="40"/>
      <c r="N12" s="40"/>
      <c r="O12" s="40"/>
      <c r="P12" s="40"/>
    </row>
    <row r="13" spans="1:17" ht="30" customHeight="1" x14ac:dyDescent="0.25">
      <c r="A13" s="106"/>
      <c r="B13" s="106"/>
      <c r="C13" s="106"/>
      <c r="D13" s="106"/>
      <c r="E13" s="106"/>
      <c r="F13" s="106"/>
      <c r="G13" s="106"/>
      <c r="H13" s="106"/>
      <c r="I13" s="40"/>
      <c r="J13" s="40"/>
      <c r="K13" s="40"/>
      <c r="L13" s="40"/>
      <c r="M13" s="40"/>
      <c r="N13" s="40"/>
      <c r="O13" s="40"/>
      <c r="P13" s="40"/>
    </row>
    <row r="14" spans="1:17" ht="122.25" customHeight="1" x14ac:dyDescent="0.25">
      <c r="A14" s="44">
        <f>'Q4 Calculation'!A30</f>
        <v>43831</v>
      </c>
      <c r="B14" s="25">
        <f>'Q4 Calculation'!J30</f>
        <v>7.5931232091690504E-2</v>
      </c>
      <c r="C14" s="25">
        <f>'Q4 Calculation'!K30</f>
        <v>0.11717612809315869</v>
      </c>
      <c r="D14" s="25">
        <f>'Q4 Calculation'!L30</f>
        <v>4.2039972432804884E-2</v>
      </c>
      <c r="E14" s="25">
        <f>'Q4 Calculation'!M30</f>
        <v>3.7647637795275246E-2</v>
      </c>
      <c r="F14" s="40"/>
      <c r="G14" s="30" t="s">
        <v>504</v>
      </c>
      <c r="H14" s="17" t="s">
        <v>541</v>
      </c>
      <c r="I14" s="40"/>
      <c r="J14" s="40"/>
      <c r="K14" s="40"/>
      <c r="L14" s="40"/>
      <c r="M14" s="40"/>
      <c r="N14" s="40"/>
      <c r="O14" s="40"/>
      <c r="P14" s="40"/>
    </row>
    <row r="15" spans="1:17" ht="15" customHeight="1" x14ac:dyDescent="0.25">
      <c r="A15" s="44">
        <f>'Q4 Calculation'!A31</f>
        <v>43862</v>
      </c>
      <c r="B15" s="25">
        <f>'Q4 Calculation'!J31</f>
        <v>6.5761258041458159E-2</v>
      </c>
      <c r="C15" s="25">
        <f>'Q4 Calculation'!K31</f>
        <v>9.4545454545454488E-2</v>
      </c>
      <c r="D15" s="25">
        <f>'Q4 Calculation'!L31</f>
        <v>4.1895604395604469E-2</v>
      </c>
      <c r="E15" s="25">
        <f>'Q4 Calculation'!M31</f>
        <v>4.4088669950739012E-2</v>
      </c>
      <c r="F15" s="40"/>
      <c r="G15" s="40"/>
      <c r="H15" s="40"/>
      <c r="I15" s="40"/>
      <c r="J15" s="40"/>
      <c r="K15" s="40"/>
      <c r="L15" s="40"/>
      <c r="M15" s="40"/>
      <c r="N15" s="40"/>
      <c r="O15" s="40"/>
      <c r="P15" s="40"/>
    </row>
    <row r="16" spans="1:17" ht="15" customHeight="1" x14ac:dyDescent="0.25">
      <c r="A16" s="44">
        <f>'Q4 Calculation'!A32</f>
        <v>43891</v>
      </c>
      <c r="B16" s="25">
        <f>'Q4 Calculation'!J32</f>
        <v>5.8404558404558271E-2</v>
      </c>
      <c r="C16" s="25">
        <f>'Q4 Calculation'!K32</f>
        <v>7.8204199855177459E-2</v>
      </c>
      <c r="D16" s="25">
        <f>'Q4 Calculation'!L32</f>
        <v>4.1723666210670363E-2</v>
      </c>
      <c r="E16" s="25">
        <f>'Q4 Calculation'!M32</f>
        <v>4.1901494731683586E-2</v>
      </c>
      <c r="F16" s="40"/>
      <c r="G16" s="40"/>
      <c r="H16" s="40"/>
      <c r="I16" s="40"/>
      <c r="J16" s="40"/>
      <c r="K16" s="40"/>
      <c r="L16" s="40"/>
      <c r="M16" s="40"/>
      <c r="N16" s="40"/>
      <c r="O16" s="40"/>
      <c r="P16" s="40"/>
    </row>
    <row r="17" spans="1:16" ht="27.75" customHeight="1" x14ac:dyDescent="0.25">
      <c r="A17" s="44">
        <f>'Q4 Calculation'!A33</f>
        <v>43922</v>
      </c>
      <c r="B17" s="25">
        <f>'Q4 Calculation'!J33</f>
        <v>5.996222851746924E-2</v>
      </c>
      <c r="C17" s="25">
        <f>'Q4 Calculation'!K33</f>
        <v>7.9569892473118298E-2</v>
      </c>
      <c r="D17" s="25">
        <f>'Q4 Calculation'!L33</f>
        <v>4.4012282497441158E-2</v>
      </c>
      <c r="E17" s="25">
        <f>'Q4 Calculation'!M33</f>
        <v>3.9330885352917289E-2</v>
      </c>
      <c r="F17" s="40"/>
      <c r="G17" s="45" t="s">
        <v>286</v>
      </c>
      <c r="H17" s="47"/>
      <c r="I17" s="47"/>
      <c r="J17" s="47"/>
      <c r="K17" s="47"/>
      <c r="L17" s="47"/>
      <c r="M17" s="47"/>
      <c r="N17" s="47"/>
      <c r="O17" s="40"/>
      <c r="P17" s="40"/>
    </row>
    <row r="18" spans="1:16" ht="54.75" customHeight="1" x14ac:dyDescent="0.25">
      <c r="A18" s="44">
        <f>'Q4 Calculation'!A34</f>
        <v>43952</v>
      </c>
      <c r="B18" s="25">
        <f>'Q4 Calculation'!J34</f>
        <v>6.1502347417840442E-2</v>
      </c>
      <c r="C18" s="25">
        <f>'Q4 Calculation'!K34</f>
        <v>8.0908445706174614E-2</v>
      </c>
      <c r="D18" s="25">
        <f>'Q4 Calculation'!L34</f>
        <v>4.6289993192648149E-2</v>
      </c>
      <c r="E18" s="25">
        <f>'Q4 Calculation'!M34</f>
        <v>3.6765305290617167E-2</v>
      </c>
      <c r="F18" s="40"/>
      <c r="G18" s="30" t="s">
        <v>345</v>
      </c>
      <c r="H18" s="17" t="s">
        <v>542</v>
      </c>
      <c r="I18" s="40"/>
      <c r="J18" s="40"/>
      <c r="K18" s="40"/>
      <c r="L18" s="40"/>
      <c r="M18" s="40"/>
      <c r="N18" s="40"/>
      <c r="O18" s="40"/>
      <c r="P18" s="40"/>
    </row>
    <row r="19" spans="1:16" ht="81.75" customHeight="1" x14ac:dyDescent="0.25">
      <c r="A19" s="44">
        <f>'Q4 Calculation'!A35</f>
        <v>43983</v>
      </c>
      <c r="B19" s="25">
        <f>'Q4 Calculation'!J35</f>
        <v>6.2281315605318355E-2</v>
      </c>
      <c r="C19" s="25">
        <f>'Q4 Calculation'!K35</f>
        <v>7.9187105816398207E-2</v>
      </c>
      <c r="D19" s="25">
        <f>'Q4 Calculation'!L35</f>
        <v>4.7489823609226489E-2</v>
      </c>
      <c r="E19" s="25">
        <f>'Q4 Calculation'!M35</f>
        <v>3.3447265625E-2</v>
      </c>
      <c r="F19" s="40"/>
      <c r="G19" s="30" t="s">
        <v>543</v>
      </c>
      <c r="H19" s="17" t="s">
        <v>544</v>
      </c>
      <c r="I19" s="40"/>
      <c r="J19" s="40"/>
      <c r="K19" s="40"/>
      <c r="L19" s="40"/>
      <c r="M19" s="40"/>
      <c r="N19" s="40"/>
      <c r="O19" s="40"/>
      <c r="P19" s="40"/>
    </row>
    <row r="20" spans="1:16" ht="54.75" customHeight="1" x14ac:dyDescent="0.25">
      <c r="A20" s="44">
        <f>'Q4 Calculation'!A36</f>
        <v>44013</v>
      </c>
      <c r="B20" s="25">
        <f>'Q4 Calculation'!J36</f>
        <v>5.2704576976421835E-2</v>
      </c>
      <c r="C20" s="25">
        <f>'Q4 Calculation'!K36</f>
        <v>6.4270905321354599E-2</v>
      </c>
      <c r="D20" s="25">
        <f>'Q4 Calculation'!L36</f>
        <v>4.3948613928330049E-2</v>
      </c>
      <c r="E20" s="25">
        <f>'Q4 Calculation'!M36</f>
        <v>3.4710339770227305E-2</v>
      </c>
      <c r="F20" s="40"/>
      <c r="G20" s="30" t="s">
        <v>545</v>
      </c>
      <c r="H20" s="17" t="s">
        <v>546</v>
      </c>
      <c r="I20" s="40"/>
      <c r="J20" s="40"/>
      <c r="K20" s="40"/>
      <c r="L20" s="40"/>
      <c r="M20" s="40"/>
      <c r="N20" s="40"/>
      <c r="O20" s="40"/>
      <c r="P20" s="40"/>
    </row>
    <row r="21" spans="1:16" ht="15" customHeight="1" x14ac:dyDescent="0.25">
      <c r="A21" s="44">
        <f>'Q4 Calculation'!A37</f>
        <v>44044</v>
      </c>
      <c r="B21" s="25">
        <f>'Q4 Calculation'!J37</f>
        <v>6.1379310344827687E-2</v>
      </c>
      <c r="C21" s="25">
        <f>'Q4 Calculation'!K37</f>
        <v>7.6079506511309125E-2</v>
      </c>
      <c r="D21" s="25">
        <f>'Q4 Calculation'!L37</f>
        <v>4.3771043771043683E-2</v>
      </c>
      <c r="E21" s="25">
        <f>'Q4 Calculation'!M37</f>
        <v>5.1614481409001822E-2</v>
      </c>
      <c r="F21" s="40"/>
      <c r="G21" s="40"/>
      <c r="H21" s="40"/>
      <c r="I21" s="40"/>
      <c r="J21" s="40"/>
      <c r="K21" s="40"/>
      <c r="L21" s="40"/>
      <c r="M21" s="40"/>
      <c r="N21" s="40"/>
      <c r="O21" s="40"/>
      <c r="P21" s="40"/>
    </row>
    <row r="22" spans="1:16" ht="15" customHeight="1" x14ac:dyDescent="0.25">
      <c r="A22" s="44">
        <f>'Q4 Calculation'!A38</f>
        <v>44075</v>
      </c>
      <c r="B22" s="25">
        <f>'Q4 Calculation'!J38</f>
        <v>6.104252400548682E-2</v>
      </c>
      <c r="C22" s="25">
        <f>'Q4 Calculation'!K38</f>
        <v>7.4829931972789199E-2</v>
      </c>
      <c r="D22" s="25">
        <f>'Q4 Calculation'!L38</f>
        <v>4.4295302013422688E-2</v>
      </c>
      <c r="E22" s="25">
        <f>'Q4 Calculation'!M38</f>
        <v>5.1963893632593461E-2</v>
      </c>
      <c r="F22" s="40"/>
      <c r="G22" s="40"/>
      <c r="H22" s="40"/>
      <c r="I22" s="40"/>
      <c r="J22" s="40"/>
      <c r="K22" s="40"/>
      <c r="L22" s="40"/>
      <c r="M22" s="40"/>
      <c r="N22" s="40"/>
      <c r="O22" s="40"/>
      <c r="P22" s="40"/>
    </row>
    <row r="23" spans="1:16" ht="15" customHeight="1" x14ac:dyDescent="0.25">
      <c r="A23" s="44">
        <f>'Q4 Calculation'!A39</f>
        <v>44105</v>
      </c>
      <c r="B23" s="25">
        <f>'Q4 Calculation'!J39</f>
        <v>6.2500000000000222E-2</v>
      </c>
      <c r="C23" s="25">
        <f>'Q4 Calculation'!K39</f>
        <v>7.8877005347593565E-2</v>
      </c>
      <c r="D23" s="25">
        <f>'Q4 Calculation'!L39</f>
        <v>4.6184738955823423E-2</v>
      </c>
      <c r="E23" s="25">
        <f>'Q4 Calculation'!M39</f>
        <v>4.9769361495508369E-2</v>
      </c>
      <c r="F23" s="40"/>
      <c r="G23" s="40"/>
      <c r="H23" s="40"/>
      <c r="I23" s="40"/>
      <c r="J23" s="40"/>
      <c r="K23" s="40"/>
      <c r="L23" s="40"/>
      <c r="M23" s="40"/>
      <c r="N23" s="40"/>
      <c r="O23" s="40"/>
      <c r="P23" s="40"/>
    </row>
    <row r="24" spans="1:16" ht="15" customHeight="1" x14ac:dyDescent="0.25">
      <c r="A24" s="44">
        <f>'Q4 Calculation'!A40</f>
        <v>44136</v>
      </c>
      <c r="B24" s="25">
        <f>'Q4 Calculation'!J40</f>
        <v>6.5948855989232946E-2</v>
      </c>
      <c r="C24" s="25">
        <f>'Q4 Calculation'!K40</f>
        <v>8.4265964450296105E-2</v>
      </c>
      <c r="D24" s="25">
        <f>'Q4 Calculation'!L40</f>
        <v>4.8699132755170016E-2</v>
      </c>
      <c r="E24" s="25">
        <f>'Q4 Calculation'!M40</f>
        <v>4.5871559633027248E-2</v>
      </c>
      <c r="F24" s="40"/>
      <c r="G24" s="40"/>
      <c r="H24" s="40"/>
      <c r="I24" s="40"/>
      <c r="J24" s="40"/>
      <c r="K24" s="40"/>
      <c r="L24" s="40"/>
      <c r="M24" s="40"/>
      <c r="N24" s="40"/>
      <c r="O24" s="40"/>
      <c r="P24" s="40"/>
    </row>
    <row r="25" spans="1:16" ht="15" customHeight="1" x14ac:dyDescent="0.25">
      <c r="A25" s="44">
        <f>'Q4 Calculation'!A41</f>
        <v>44166</v>
      </c>
      <c r="B25" s="25">
        <f>'Q4 Calculation'!J41</f>
        <v>5.6515957446808596E-2</v>
      </c>
      <c r="C25" s="25">
        <f>'Q4 Calculation'!K41</f>
        <v>6.7096774193548425E-2</v>
      </c>
      <c r="D25" s="25">
        <f>'Q4 Calculation'!L41</f>
        <v>5.2526595744680993E-2</v>
      </c>
      <c r="E25" s="25">
        <f>'Q4 Calculation'!M41</f>
        <v>3.7443357977581471E-2</v>
      </c>
      <c r="F25" s="40"/>
      <c r="G25" s="40"/>
      <c r="H25" s="40"/>
      <c r="I25" s="40"/>
      <c r="J25" s="40"/>
      <c r="K25" s="40"/>
      <c r="L25" s="40"/>
      <c r="M25" s="40"/>
      <c r="N25" s="40"/>
      <c r="O25" s="40"/>
      <c r="P25" s="40"/>
    </row>
    <row r="26" spans="1:16" ht="15" customHeight="1" x14ac:dyDescent="0.25">
      <c r="A26" s="44">
        <f>'Q4 Calculation'!A42</f>
        <v>44197</v>
      </c>
      <c r="B26" s="25">
        <f>'Q4 Calculation'!J42</f>
        <v>4.7270306258322403E-2</v>
      </c>
      <c r="C26" s="25">
        <f>'Q4 Calculation'!K42</f>
        <v>4.8859934853420217E-2</v>
      </c>
      <c r="D26" s="25">
        <f>'Q4 Calculation'!L42</f>
        <v>5.3571428571428825E-2</v>
      </c>
      <c r="E26" s="25">
        <f>'Q4 Calculation'!M42</f>
        <v>4.2921508181171575E-2</v>
      </c>
      <c r="F26" s="40"/>
      <c r="G26" s="40"/>
      <c r="H26" s="40"/>
      <c r="I26" s="40"/>
      <c r="J26" s="40"/>
      <c r="K26" s="40"/>
      <c r="L26" s="40"/>
      <c r="M26" s="40"/>
      <c r="N26" s="40"/>
      <c r="O26" s="40"/>
      <c r="P26" s="40"/>
    </row>
    <row r="27" spans="1:16" ht="15" customHeight="1" x14ac:dyDescent="0.25">
      <c r="A27" s="44">
        <f>'Q4 Calculation'!A43</f>
        <v>44228</v>
      </c>
      <c r="B27" s="25">
        <f>'Q4 Calculation'!J43</f>
        <v>5.0301810865191143E-2</v>
      </c>
      <c r="C27" s="25">
        <f>'Q4 Calculation'!K43</f>
        <v>4.2524916943521562E-2</v>
      </c>
      <c r="D27" s="25">
        <f>'Q4 Calculation'!L43</f>
        <v>6.3282794990112246E-2</v>
      </c>
      <c r="E27" s="25">
        <f>'Q4 Calculation'!M43</f>
        <v>5.7796650153338014E-2</v>
      </c>
      <c r="F27" s="40"/>
      <c r="G27" s="40"/>
      <c r="H27" s="40"/>
      <c r="I27" s="40"/>
      <c r="J27" s="40"/>
      <c r="K27" s="40"/>
      <c r="L27" s="40"/>
      <c r="M27" s="40"/>
      <c r="N27" s="40"/>
      <c r="O27" s="40"/>
      <c r="P27" s="40"/>
    </row>
    <row r="28" spans="1:16" ht="15" customHeight="1" x14ac:dyDescent="0.25">
      <c r="A28" s="44">
        <f>'Q4 Calculation'!A44</f>
        <v>44256</v>
      </c>
      <c r="B28" s="25">
        <f>'Q4 Calculation'!J44</f>
        <v>5.5181695827725585E-2</v>
      </c>
      <c r="C28" s="25">
        <f>'Q4 Calculation'!K44</f>
        <v>5.2384150436534549E-2</v>
      </c>
      <c r="D28" s="25">
        <f>'Q4 Calculation'!L44</f>
        <v>6.1720288903479803E-2</v>
      </c>
      <c r="E28" s="25">
        <f>'Q4 Calculation'!M44</f>
        <v>6.5145813734712954E-2</v>
      </c>
      <c r="F28" s="40"/>
      <c r="G28" s="40"/>
      <c r="H28" s="40"/>
      <c r="I28" s="40"/>
      <c r="J28" s="40"/>
      <c r="K28" s="40"/>
      <c r="L28" s="40"/>
      <c r="M28" s="40"/>
      <c r="N28" s="40"/>
      <c r="O28" s="40"/>
      <c r="P28" s="40"/>
    </row>
    <row r="29" spans="1:16" ht="15" customHeight="1" x14ac:dyDescent="0.25">
      <c r="A29" s="40"/>
      <c r="B29" s="40"/>
      <c r="C29" s="40"/>
      <c r="D29" s="40"/>
      <c r="E29" s="40"/>
      <c r="F29" s="40"/>
      <c r="G29" s="40"/>
      <c r="H29" s="40"/>
      <c r="I29" s="40"/>
      <c r="J29" s="40"/>
      <c r="K29" s="40"/>
      <c r="L29" s="40"/>
      <c r="M29" s="40"/>
      <c r="N29" s="40"/>
      <c r="O29" s="40"/>
      <c r="P29" s="40"/>
    </row>
    <row r="30" spans="1:16" ht="15" customHeight="1" x14ac:dyDescent="0.25">
      <c r="A30" s="156"/>
      <c r="B30" s="115"/>
      <c r="C30" s="115"/>
      <c r="D30" s="115"/>
      <c r="E30" s="115"/>
      <c r="F30" s="115"/>
      <c r="G30" s="40"/>
      <c r="H30" s="40"/>
      <c r="I30" s="40"/>
      <c r="J30" s="40"/>
      <c r="K30" s="40"/>
      <c r="L30" s="40"/>
      <c r="M30" s="40"/>
      <c r="N30" s="40"/>
      <c r="O30" s="40"/>
      <c r="P30" s="40"/>
    </row>
    <row r="31" spans="1:16" ht="15" customHeight="1" x14ac:dyDescent="0.25">
      <c r="A31" s="40"/>
      <c r="B31" s="40"/>
      <c r="C31" s="40"/>
      <c r="D31" s="40"/>
      <c r="E31" s="40"/>
      <c r="F31" s="40"/>
      <c r="G31" s="40"/>
      <c r="H31" s="40"/>
      <c r="I31" s="40"/>
      <c r="J31" s="40"/>
      <c r="K31" s="40"/>
      <c r="L31" s="40"/>
      <c r="M31" s="40"/>
      <c r="N31" s="40"/>
      <c r="O31" s="40"/>
      <c r="P31" s="40"/>
    </row>
    <row r="32" spans="1:16" ht="15" customHeight="1" x14ac:dyDescent="0.25">
      <c r="A32" s="42"/>
      <c r="B32" s="42"/>
      <c r="C32" s="42"/>
      <c r="D32" s="40"/>
      <c r="E32" s="40"/>
      <c r="F32" s="40"/>
      <c r="G32" s="40"/>
      <c r="H32" s="40"/>
      <c r="I32" s="40"/>
      <c r="J32" s="40"/>
      <c r="K32" s="40"/>
      <c r="L32" s="40"/>
      <c r="M32" s="40"/>
      <c r="N32" s="40"/>
      <c r="O32" s="40"/>
      <c r="P32" s="40"/>
    </row>
    <row r="33" spans="1:16" ht="15" customHeight="1" x14ac:dyDescent="0.25">
      <c r="A33" s="40"/>
      <c r="B33" s="43"/>
      <c r="C33" s="40"/>
      <c r="D33" s="40"/>
      <c r="E33" s="40"/>
      <c r="F33" s="40"/>
      <c r="G33" s="40"/>
      <c r="H33" s="40"/>
      <c r="I33" s="40"/>
      <c r="J33" s="40"/>
      <c r="K33" s="40"/>
      <c r="L33" s="40"/>
      <c r="M33" s="40"/>
      <c r="N33" s="40"/>
      <c r="O33" s="40"/>
      <c r="P33" s="40"/>
    </row>
    <row r="34" spans="1:16" ht="15" customHeight="1" x14ac:dyDescent="0.25">
      <c r="A34" s="40"/>
      <c r="B34" s="43"/>
      <c r="C34" s="40"/>
      <c r="D34" s="40"/>
      <c r="E34" s="40"/>
      <c r="F34" s="40"/>
      <c r="G34" s="40"/>
      <c r="H34" s="40"/>
      <c r="I34" s="40"/>
      <c r="J34" s="40"/>
      <c r="K34" s="40"/>
      <c r="L34" s="40"/>
      <c r="M34" s="40"/>
      <c r="N34" s="40"/>
      <c r="O34" s="40"/>
      <c r="P34" s="40"/>
    </row>
    <row r="35" spans="1:16" ht="15" customHeight="1" x14ac:dyDescent="0.25">
      <c r="A35" s="40"/>
      <c r="B35" s="43"/>
      <c r="C35" s="40"/>
      <c r="D35" s="40"/>
      <c r="E35" s="40"/>
      <c r="F35" s="40"/>
      <c r="G35" s="40"/>
      <c r="H35" s="40"/>
      <c r="I35" s="40"/>
      <c r="J35" s="40"/>
      <c r="K35" s="40"/>
      <c r="L35" s="40"/>
      <c r="M35" s="40"/>
      <c r="N35" s="40"/>
      <c r="O35" s="40"/>
      <c r="P35" s="40"/>
    </row>
    <row r="36" spans="1:16" ht="15" customHeight="1" x14ac:dyDescent="0.25">
      <c r="A36" s="40"/>
      <c r="B36" s="43"/>
      <c r="C36" s="40"/>
      <c r="D36" s="40"/>
      <c r="E36" s="40"/>
      <c r="F36" s="40"/>
      <c r="G36" s="40"/>
      <c r="H36" s="40"/>
      <c r="I36" s="40"/>
      <c r="J36" s="40"/>
      <c r="K36" s="40"/>
      <c r="L36" s="40"/>
      <c r="M36" s="40"/>
      <c r="N36" s="40"/>
      <c r="O36" s="40"/>
      <c r="P36" s="40"/>
    </row>
  </sheetData>
  <mergeCells count="4">
    <mergeCell ref="A30:F30"/>
    <mergeCell ref="A11:H13"/>
    <mergeCell ref="A10:H10"/>
    <mergeCell ref="A1:N1"/>
  </mergeCells>
  <hyperlinks>
    <hyperlink ref="Q2" r:id="rId1" location="'Dashboard'!A1" xr:uid="{00000000-0004-0000-1400-000000000000}"/>
  </hyperlinks>
  <pageMargins left="0.7" right="0.7" top="0.75" bottom="0.75" header="0.511811023622047" footer="0.511811023622047"/>
  <pageSetup paperSize="9" fitToHeight="0" orientation="landscape" horizontalDpi="300" verticalDpi="30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69214"/>
    <pageSetUpPr fitToPage="1"/>
  </sheetPr>
  <dimension ref="A1:G20"/>
  <sheetViews>
    <sheetView showGridLines="0" zoomScale="90" zoomScaleNormal="90" workbookViewId="0">
      <selection activeCell="D2" sqref="D2"/>
    </sheetView>
  </sheetViews>
  <sheetFormatPr defaultColWidth="8.7109375" defaultRowHeight="15" customHeight="1" x14ac:dyDescent="0.2"/>
  <cols>
    <col min="1" max="2" width="42" customWidth="1"/>
    <col min="3" max="3" width="40.42578125" customWidth="1"/>
    <col min="4" max="6" width="42" customWidth="1"/>
    <col min="7" max="7" width="10" customWidth="1"/>
  </cols>
  <sheetData>
    <row r="1" spans="1:7" ht="24" customHeight="1" x14ac:dyDescent="0.2">
      <c r="A1" s="162" t="s">
        <v>547</v>
      </c>
      <c r="B1" s="160"/>
      <c r="C1" s="160"/>
      <c r="D1" s="160"/>
      <c r="E1" s="160"/>
      <c r="F1" s="48"/>
    </row>
    <row r="2" spans="1:7" ht="15" customHeight="1" x14ac:dyDescent="0.25">
      <c r="A2" s="40"/>
      <c r="B2" s="40"/>
      <c r="C2" s="40"/>
      <c r="D2" s="40"/>
      <c r="E2" s="40"/>
      <c r="G2" s="10" t="s">
        <v>86</v>
      </c>
    </row>
    <row r="3" spans="1:7" ht="15" customHeight="1" x14ac:dyDescent="0.2">
      <c r="A3" s="41" t="s">
        <v>398</v>
      </c>
      <c r="B3" s="41" t="s">
        <v>399</v>
      </c>
      <c r="C3" s="41" t="s">
        <v>400</v>
      </c>
      <c r="D3" s="41" t="s">
        <v>401</v>
      </c>
      <c r="E3" s="41" t="s">
        <v>548</v>
      </c>
      <c r="F3" s="41"/>
    </row>
    <row r="4" spans="1:7" ht="54.75" customHeight="1" x14ac:dyDescent="0.2">
      <c r="A4" s="30" t="s">
        <v>549</v>
      </c>
      <c r="B4" s="69" t="s">
        <v>550</v>
      </c>
      <c r="C4" s="30" t="s">
        <v>551</v>
      </c>
      <c r="D4" s="17" t="s">
        <v>552</v>
      </c>
      <c r="E4" s="17" t="s">
        <v>553</v>
      </c>
      <c r="F4" s="4"/>
    </row>
    <row r="5" spans="1:7" ht="41.25" customHeight="1" x14ac:dyDescent="0.2">
      <c r="A5" s="30" t="s">
        <v>554</v>
      </c>
      <c r="B5" s="69" t="s">
        <v>555</v>
      </c>
      <c r="C5" s="30" t="s">
        <v>551</v>
      </c>
      <c r="D5" s="17" t="s">
        <v>556</v>
      </c>
      <c r="E5" s="17" t="s">
        <v>557</v>
      </c>
      <c r="F5" s="4"/>
    </row>
    <row r="6" spans="1:7" ht="41.25" customHeight="1" x14ac:dyDescent="0.2">
      <c r="A6" s="30" t="s">
        <v>558</v>
      </c>
      <c r="B6" s="17" t="s">
        <v>559</v>
      </c>
      <c r="C6" s="30" t="s">
        <v>405</v>
      </c>
      <c r="D6" s="17" t="s">
        <v>406</v>
      </c>
      <c r="E6" s="17" t="s">
        <v>560</v>
      </c>
      <c r="F6" s="4"/>
    </row>
    <row r="7" spans="1:7" ht="27.75" customHeight="1" x14ac:dyDescent="0.2">
      <c r="A7" s="30" t="s">
        <v>561</v>
      </c>
      <c r="B7" s="17" t="s">
        <v>562</v>
      </c>
      <c r="C7" s="30" t="s">
        <v>563</v>
      </c>
      <c r="D7" s="17" t="s">
        <v>564</v>
      </c>
      <c r="E7" s="17" t="s">
        <v>565</v>
      </c>
      <c r="F7" s="4"/>
    </row>
    <row r="8" spans="1:7" ht="41.25" customHeight="1" x14ac:dyDescent="0.2">
      <c r="A8" s="30" t="s">
        <v>566</v>
      </c>
      <c r="B8" s="17" t="s">
        <v>567</v>
      </c>
      <c r="C8" s="30" t="s">
        <v>568</v>
      </c>
      <c r="D8" s="17" t="s">
        <v>569</v>
      </c>
      <c r="E8" s="17" t="s">
        <v>570</v>
      </c>
      <c r="F8" s="4"/>
    </row>
    <row r="9" spans="1:7" ht="15" customHeight="1" x14ac:dyDescent="0.25">
      <c r="A9" s="40"/>
      <c r="B9" s="40"/>
      <c r="C9" s="40"/>
      <c r="D9" s="40"/>
      <c r="E9" s="40"/>
    </row>
    <row r="10" spans="1:7" ht="15" customHeight="1" x14ac:dyDescent="0.25">
      <c r="A10" s="156"/>
      <c r="B10" s="115"/>
      <c r="C10" s="115"/>
      <c r="D10" s="115"/>
      <c r="E10" s="115"/>
    </row>
    <row r="11" spans="1:7" ht="24" customHeight="1" x14ac:dyDescent="0.2">
      <c r="A11" s="161" t="s">
        <v>571</v>
      </c>
      <c r="B11" s="115"/>
      <c r="C11" s="115"/>
      <c r="D11" s="115"/>
      <c r="E11" s="115"/>
      <c r="F11" s="115"/>
    </row>
    <row r="12" spans="1:7" ht="72" customHeight="1" x14ac:dyDescent="0.2">
      <c r="A12" s="141" t="s">
        <v>572</v>
      </c>
      <c r="B12" s="115"/>
      <c r="C12" s="115"/>
      <c r="D12" s="115"/>
      <c r="E12" s="115"/>
      <c r="F12" s="115"/>
    </row>
    <row r="13" spans="1:7" ht="15" customHeight="1" x14ac:dyDescent="0.2">
      <c r="A13" s="115"/>
      <c r="B13" s="115"/>
      <c r="C13" s="115"/>
      <c r="D13" s="115"/>
      <c r="E13" s="115"/>
      <c r="F13" s="115"/>
    </row>
    <row r="14" spans="1:7" ht="15" customHeight="1" x14ac:dyDescent="0.2">
      <c r="A14" s="115"/>
      <c r="B14" s="115"/>
      <c r="C14" s="115"/>
      <c r="D14" s="115"/>
      <c r="E14" s="115"/>
      <c r="F14" s="115"/>
    </row>
    <row r="16" spans="1:7" ht="15" customHeight="1" x14ac:dyDescent="0.25">
      <c r="A16" s="45" t="s">
        <v>573</v>
      </c>
      <c r="B16" s="46"/>
      <c r="C16" s="46"/>
      <c r="D16" s="46"/>
      <c r="E16" s="46"/>
      <c r="F16" s="46"/>
    </row>
    <row r="17" spans="1:2" ht="15" customHeight="1" x14ac:dyDescent="0.2">
      <c r="A17" s="3" t="s">
        <v>574</v>
      </c>
      <c r="B17" s="4" t="s">
        <v>575</v>
      </c>
    </row>
    <row r="18" spans="1:2" ht="15" customHeight="1" x14ac:dyDescent="0.2">
      <c r="A18" s="3" t="s">
        <v>576</v>
      </c>
      <c r="B18" s="4" t="s">
        <v>577</v>
      </c>
    </row>
    <row r="19" spans="1:2" ht="15" customHeight="1" x14ac:dyDescent="0.2">
      <c r="A19" s="3" t="s">
        <v>578</v>
      </c>
      <c r="B19" s="4" t="s">
        <v>579</v>
      </c>
    </row>
    <row r="20" spans="1:2" ht="15" customHeight="1" x14ac:dyDescent="0.2">
      <c r="A20" s="3" t="s">
        <v>580</v>
      </c>
      <c r="B20" s="4" t="s">
        <v>581</v>
      </c>
    </row>
  </sheetData>
  <mergeCells count="4">
    <mergeCell ref="A11:F11"/>
    <mergeCell ref="A1:E1"/>
    <mergeCell ref="A12:F14"/>
    <mergeCell ref="A10:E10"/>
  </mergeCells>
  <hyperlinks>
    <hyperlink ref="G2" r:id="rId1" location="'Dashboard'!A1" xr:uid="{00000000-0004-0000-1500-000000000000}"/>
  </hyperlinks>
  <pageMargins left="0.7" right="0.7" top="0.75" bottom="0.75" header="0.511811023622047" footer="0.511811023622047"/>
  <pageSetup paperSize="9" fitToHeight="0"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064A2"/>
    <pageSetUpPr fitToPage="1"/>
  </sheetPr>
  <dimension ref="A1:G51"/>
  <sheetViews>
    <sheetView showGridLines="0" zoomScale="90" zoomScaleNormal="90" workbookViewId="0">
      <pane ySplit="5" topLeftCell="A6" activePane="bottomLeft" state="frozen"/>
      <selection pane="bottomLeft" activeCell="A2" sqref="A2:B2"/>
    </sheetView>
  </sheetViews>
  <sheetFormatPr defaultColWidth="8.7109375" defaultRowHeight="15" customHeight="1" x14ac:dyDescent="0.2"/>
  <cols>
    <col min="1" max="2" width="42" customWidth="1"/>
    <col min="3" max="3" width="10" customWidth="1"/>
    <col min="4" max="4" width="27.85546875" customWidth="1"/>
    <col min="5" max="5" width="19.85546875" customWidth="1"/>
    <col min="6" max="6" width="13.42578125" customWidth="1"/>
    <col min="7" max="7" width="10" customWidth="1"/>
  </cols>
  <sheetData>
    <row r="1" spans="1:7" ht="24" customHeight="1" x14ac:dyDescent="0.2">
      <c r="A1" s="37" t="s">
        <v>582</v>
      </c>
      <c r="B1" s="49"/>
      <c r="C1" s="49"/>
      <c r="D1" s="49"/>
      <c r="E1" s="49"/>
      <c r="F1" s="49"/>
    </row>
    <row r="2" spans="1:7" ht="41.25" customHeight="1" x14ac:dyDescent="0.2">
      <c r="A2" s="141" t="s">
        <v>583</v>
      </c>
      <c r="B2" s="141"/>
      <c r="C2" s="17"/>
      <c r="D2" s="17"/>
      <c r="E2" s="17"/>
      <c r="F2" s="17"/>
      <c r="G2" s="10" t="s">
        <v>86</v>
      </c>
    </row>
    <row r="3" spans="1:7" ht="41.25" customHeight="1" x14ac:dyDescent="0.2">
      <c r="A3" s="141" t="s">
        <v>584</v>
      </c>
      <c r="B3" s="141"/>
      <c r="C3" s="17"/>
      <c r="D3" s="17"/>
      <c r="E3" s="17"/>
      <c r="F3" s="17"/>
    </row>
    <row r="4" spans="1:7" ht="15" customHeight="1" x14ac:dyDescent="0.2">
      <c r="A4" s="17"/>
      <c r="B4" s="17"/>
      <c r="C4" s="17"/>
      <c r="D4" s="17"/>
      <c r="E4" s="17"/>
      <c r="F4" s="17"/>
    </row>
    <row r="5" spans="1:7" ht="15" customHeight="1" x14ac:dyDescent="0.2">
      <c r="A5" s="50" t="s">
        <v>495</v>
      </c>
      <c r="B5" s="50" t="s">
        <v>55</v>
      </c>
      <c r="C5" s="50" t="s">
        <v>56</v>
      </c>
      <c r="D5" s="50" t="s">
        <v>585</v>
      </c>
      <c r="E5" s="50" t="s">
        <v>586</v>
      </c>
      <c r="F5" s="50" t="s">
        <v>587</v>
      </c>
    </row>
    <row r="6" spans="1:7" ht="15" customHeight="1" x14ac:dyDescent="0.2">
      <c r="A6" s="44">
        <v>44166</v>
      </c>
      <c r="B6" s="30">
        <v>2020</v>
      </c>
      <c r="C6" s="30" t="s">
        <v>109</v>
      </c>
      <c r="D6" s="12">
        <v>49.84</v>
      </c>
      <c r="E6" s="32"/>
      <c r="F6" s="30" t="s">
        <v>588</v>
      </c>
    </row>
    <row r="7" spans="1:7" ht="15" customHeight="1" x14ac:dyDescent="0.2">
      <c r="A7" s="44">
        <v>44197</v>
      </c>
      <c r="B7" s="30">
        <v>2021</v>
      </c>
      <c r="C7" s="30" t="s">
        <v>85</v>
      </c>
      <c r="D7" s="12">
        <v>54.79</v>
      </c>
      <c r="E7" s="25">
        <f t="shared" ref="E7:E42" si="0">IFERROR(D7/D6-1,"")</f>
        <v>9.9317817014446197E-2</v>
      </c>
      <c r="F7" s="30" t="s">
        <v>589</v>
      </c>
    </row>
    <row r="8" spans="1:7" ht="15" customHeight="1" x14ac:dyDescent="0.2">
      <c r="A8" s="44">
        <v>44228</v>
      </c>
      <c r="B8" s="30">
        <v>2021</v>
      </c>
      <c r="C8" s="30" t="s">
        <v>90</v>
      </c>
      <c r="D8" s="12">
        <v>61.22</v>
      </c>
      <c r="E8" s="25">
        <f t="shared" si="0"/>
        <v>0.11735718196751233</v>
      </c>
      <c r="F8" s="30" t="s">
        <v>589</v>
      </c>
    </row>
    <row r="9" spans="1:7" ht="15" customHeight="1" x14ac:dyDescent="0.2">
      <c r="A9" s="44">
        <v>44256</v>
      </c>
      <c r="B9" s="30">
        <v>2021</v>
      </c>
      <c r="C9" s="30" t="s">
        <v>92</v>
      </c>
      <c r="D9" s="12">
        <v>64.73</v>
      </c>
      <c r="E9" s="25">
        <f t="shared" si="0"/>
        <v>5.7334204508330711E-2</v>
      </c>
      <c r="F9" s="30" t="s">
        <v>589</v>
      </c>
    </row>
    <row r="10" spans="1:7" ht="15" customHeight="1" x14ac:dyDescent="0.2">
      <c r="A10" s="44">
        <v>44287</v>
      </c>
      <c r="B10" s="30">
        <v>2021</v>
      </c>
      <c r="C10" s="30" t="s">
        <v>93</v>
      </c>
      <c r="D10" s="12">
        <v>63.4</v>
      </c>
      <c r="E10" s="25">
        <f t="shared" si="0"/>
        <v>-2.0546887069365138E-2</v>
      </c>
      <c r="F10" s="30" t="s">
        <v>589</v>
      </c>
    </row>
    <row r="11" spans="1:7" ht="15" customHeight="1" x14ac:dyDescent="0.2">
      <c r="A11" s="44">
        <v>44317</v>
      </c>
      <c r="B11" s="30">
        <v>2021</v>
      </c>
      <c r="C11" s="30" t="s">
        <v>95</v>
      </c>
      <c r="D11" s="12">
        <v>66.95</v>
      </c>
      <c r="E11" s="25">
        <f t="shared" si="0"/>
        <v>5.5993690851735112E-2</v>
      </c>
      <c r="F11" s="30" t="s">
        <v>589</v>
      </c>
    </row>
    <row r="12" spans="1:7" ht="15" customHeight="1" x14ac:dyDescent="0.2">
      <c r="A12" s="44">
        <v>44348</v>
      </c>
      <c r="B12" s="30">
        <v>2021</v>
      </c>
      <c r="C12" s="30" t="s">
        <v>96</v>
      </c>
      <c r="D12" s="12">
        <v>71.98</v>
      </c>
      <c r="E12" s="25">
        <f t="shared" si="0"/>
        <v>7.5130694548170229E-2</v>
      </c>
      <c r="F12" s="30" t="s">
        <v>589</v>
      </c>
    </row>
    <row r="13" spans="1:7" ht="15" customHeight="1" x14ac:dyDescent="0.2">
      <c r="A13" s="44">
        <v>44378</v>
      </c>
      <c r="B13" s="30">
        <v>2021</v>
      </c>
      <c r="C13" s="30" t="s">
        <v>98</v>
      </c>
      <c r="D13" s="12">
        <v>73.540000000000006</v>
      </c>
      <c r="E13" s="25">
        <f t="shared" si="0"/>
        <v>2.1672686857460377E-2</v>
      </c>
      <c r="F13" s="30" t="s">
        <v>589</v>
      </c>
    </row>
    <row r="14" spans="1:7" ht="15" customHeight="1" x14ac:dyDescent="0.2">
      <c r="A14" s="44">
        <v>44409</v>
      </c>
      <c r="B14" s="30">
        <v>2021</v>
      </c>
      <c r="C14" s="30" t="s">
        <v>100</v>
      </c>
      <c r="D14" s="12">
        <v>69.8</v>
      </c>
      <c r="E14" s="25">
        <f t="shared" si="0"/>
        <v>-5.0856676638564191E-2</v>
      </c>
      <c r="F14" s="30" t="s">
        <v>589</v>
      </c>
    </row>
    <row r="15" spans="1:7" ht="15" customHeight="1" x14ac:dyDescent="0.2">
      <c r="A15" s="44">
        <v>44440</v>
      </c>
      <c r="B15" s="30">
        <v>2021</v>
      </c>
      <c r="C15" s="30" t="s">
        <v>102</v>
      </c>
      <c r="D15" s="12">
        <v>73.13</v>
      </c>
      <c r="E15" s="25">
        <f t="shared" si="0"/>
        <v>4.770773638968473E-2</v>
      </c>
      <c r="F15" s="30" t="s">
        <v>589</v>
      </c>
    </row>
    <row r="16" spans="1:7" ht="15" customHeight="1" x14ac:dyDescent="0.2">
      <c r="A16" s="44">
        <v>44470</v>
      </c>
      <c r="B16" s="30">
        <v>2021</v>
      </c>
      <c r="C16" s="30" t="s">
        <v>104</v>
      </c>
      <c r="D16" s="12">
        <v>82.11</v>
      </c>
      <c r="E16" s="25">
        <f t="shared" si="0"/>
        <v>0.12279502256255981</v>
      </c>
      <c r="F16" s="30" t="s">
        <v>589</v>
      </c>
    </row>
    <row r="17" spans="1:6" ht="15" customHeight="1" x14ac:dyDescent="0.2">
      <c r="A17" s="44">
        <v>44501</v>
      </c>
      <c r="B17" s="30">
        <v>2021</v>
      </c>
      <c r="C17" s="30" t="s">
        <v>107</v>
      </c>
      <c r="D17" s="12">
        <v>80.64</v>
      </c>
      <c r="E17" s="25">
        <f t="shared" si="0"/>
        <v>-1.7902813299232712E-2</v>
      </c>
      <c r="F17" s="30" t="s">
        <v>589</v>
      </c>
    </row>
    <row r="18" spans="1:6" ht="15" customHeight="1" x14ac:dyDescent="0.2">
      <c r="A18" s="44">
        <v>44531</v>
      </c>
      <c r="B18" s="30">
        <v>2021</v>
      </c>
      <c r="C18" s="30" t="s">
        <v>109</v>
      </c>
      <c r="D18" s="12">
        <v>73.3</v>
      </c>
      <c r="E18" s="25">
        <f t="shared" si="0"/>
        <v>-9.1021825396825462E-2</v>
      </c>
      <c r="F18" s="30" t="s">
        <v>589</v>
      </c>
    </row>
    <row r="19" spans="1:6" ht="15" customHeight="1" x14ac:dyDescent="0.2">
      <c r="A19" s="44">
        <v>44562</v>
      </c>
      <c r="B19" s="30">
        <v>2022</v>
      </c>
      <c r="C19" s="30" t="s">
        <v>85</v>
      </c>
      <c r="D19" s="12">
        <v>84.67</v>
      </c>
      <c r="E19" s="25">
        <f t="shared" si="0"/>
        <v>0.15511596180081866</v>
      </c>
      <c r="F19" s="30" t="s">
        <v>589</v>
      </c>
    </row>
    <row r="20" spans="1:6" ht="15" customHeight="1" x14ac:dyDescent="0.2">
      <c r="A20" s="44">
        <v>44593</v>
      </c>
      <c r="B20" s="30">
        <v>2022</v>
      </c>
      <c r="C20" s="30" t="s">
        <v>90</v>
      </c>
      <c r="D20" s="12">
        <v>94.07</v>
      </c>
      <c r="E20" s="25">
        <f t="shared" si="0"/>
        <v>0.11101925121058209</v>
      </c>
      <c r="F20" s="30" t="s">
        <v>589</v>
      </c>
    </row>
    <row r="21" spans="1:6" ht="15" customHeight="1" x14ac:dyDescent="0.2">
      <c r="A21" s="44">
        <v>44621</v>
      </c>
      <c r="B21" s="30">
        <v>2022</v>
      </c>
      <c r="C21" s="30" t="s">
        <v>92</v>
      </c>
      <c r="D21" s="12">
        <v>112.87</v>
      </c>
      <c r="E21" s="25">
        <f t="shared" si="0"/>
        <v>0.19985117465717028</v>
      </c>
      <c r="F21" s="30" t="s">
        <v>589</v>
      </c>
    </row>
    <row r="22" spans="1:6" ht="15" customHeight="1" x14ac:dyDescent="0.2">
      <c r="A22" s="44">
        <v>44652</v>
      </c>
      <c r="B22" s="30">
        <v>2022</v>
      </c>
      <c r="C22" s="30" t="s">
        <v>93</v>
      </c>
      <c r="D22" s="12">
        <v>102.97</v>
      </c>
      <c r="E22" s="25">
        <f t="shared" si="0"/>
        <v>-8.7711526534951734E-2</v>
      </c>
      <c r="F22" s="30" t="s">
        <v>589</v>
      </c>
    </row>
    <row r="23" spans="1:6" ht="15" customHeight="1" x14ac:dyDescent="0.2">
      <c r="A23" s="44">
        <v>44682</v>
      </c>
      <c r="B23" s="30">
        <v>2022</v>
      </c>
      <c r="C23" s="30" t="s">
        <v>95</v>
      </c>
      <c r="D23" s="12">
        <v>109.51</v>
      </c>
      <c r="E23" s="25">
        <f t="shared" si="0"/>
        <v>6.3513644750898379E-2</v>
      </c>
      <c r="F23" s="30" t="s">
        <v>589</v>
      </c>
    </row>
    <row r="24" spans="1:6" ht="15" customHeight="1" x14ac:dyDescent="0.2">
      <c r="A24" s="44">
        <v>44713</v>
      </c>
      <c r="B24" s="30">
        <v>2022</v>
      </c>
      <c r="C24" s="30" t="s">
        <v>96</v>
      </c>
      <c r="D24" s="12">
        <v>116.01</v>
      </c>
      <c r="E24" s="25">
        <f t="shared" si="0"/>
        <v>5.935531001735006E-2</v>
      </c>
      <c r="F24" s="30" t="s">
        <v>589</v>
      </c>
    </row>
    <row r="25" spans="1:6" ht="15" customHeight="1" x14ac:dyDescent="0.2">
      <c r="A25" s="44">
        <v>44743</v>
      </c>
      <c r="B25" s="30">
        <v>2022</v>
      </c>
      <c r="C25" s="30" t="s">
        <v>98</v>
      </c>
      <c r="D25" s="12">
        <v>105.49</v>
      </c>
      <c r="E25" s="25">
        <f t="shared" si="0"/>
        <v>-9.0681837772605856E-2</v>
      </c>
      <c r="F25" s="30" t="s">
        <v>589</v>
      </c>
    </row>
    <row r="26" spans="1:6" ht="15" customHeight="1" x14ac:dyDescent="0.2">
      <c r="A26" s="44">
        <v>44774</v>
      </c>
      <c r="B26" s="30">
        <v>2022</v>
      </c>
      <c r="C26" s="30" t="s">
        <v>100</v>
      </c>
      <c r="D26" s="12">
        <v>97.4</v>
      </c>
      <c r="E26" s="25">
        <f t="shared" si="0"/>
        <v>-7.668973362404008E-2</v>
      </c>
      <c r="F26" s="30" t="s">
        <v>589</v>
      </c>
    </row>
    <row r="27" spans="1:6" ht="15" customHeight="1" x14ac:dyDescent="0.2">
      <c r="A27" s="44">
        <v>44805</v>
      </c>
      <c r="B27" s="30">
        <v>2022</v>
      </c>
      <c r="C27" s="30" t="s">
        <v>102</v>
      </c>
      <c r="D27" s="12">
        <v>90.71</v>
      </c>
      <c r="E27" s="25">
        <f t="shared" si="0"/>
        <v>-6.8685831622176674E-2</v>
      </c>
      <c r="F27" s="30" t="s">
        <v>589</v>
      </c>
    </row>
    <row r="28" spans="1:6" ht="15" customHeight="1" x14ac:dyDescent="0.2">
      <c r="A28" s="44">
        <v>44835</v>
      </c>
      <c r="B28" s="30">
        <v>2022</v>
      </c>
      <c r="C28" s="30" t="s">
        <v>104</v>
      </c>
      <c r="D28" s="12">
        <v>91.7</v>
      </c>
      <c r="E28" s="25">
        <f t="shared" si="0"/>
        <v>1.0913901444162821E-2</v>
      </c>
      <c r="F28" s="30" t="s">
        <v>589</v>
      </c>
    </row>
    <row r="29" spans="1:6" ht="15" customHeight="1" x14ac:dyDescent="0.2">
      <c r="A29" s="44">
        <v>44866</v>
      </c>
      <c r="B29" s="30">
        <v>2022</v>
      </c>
      <c r="C29" s="30" t="s">
        <v>107</v>
      </c>
      <c r="D29" s="12">
        <v>87.55</v>
      </c>
      <c r="E29" s="25">
        <f t="shared" si="0"/>
        <v>-4.5256270447110225E-2</v>
      </c>
      <c r="F29" s="30" t="s">
        <v>589</v>
      </c>
    </row>
    <row r="30" spans="1:6" ht="15" customHeight="1" x14ac:dyDescent="0.2">
      <c r="A30" s="44">
        <v>44896</v>
      </c>
      <c r="B30" s="30">
        <v>2022</v>
      </c>
      <c r="C30" s="30" t="s">
        <v>109</v>
      </c>
      <c r="D30" s="12">
        <v>78.099999999999994</v>
      </c>
      <c r="E30" s="25">
        <f t="shared" si="0"/>
        <v>-0.10793832095945177</v>
      </c>
      <c r="F30" s="30" t="s">
        <v>589</v>
      </c>
    </row>
    <row r="31" spans="1:6" ht="15" customHeight="1" x14ac:dyDescent="0.2">
      <c r="A31" s="44">
        <v>44927</v>
      </c>
      <c r="B31" s="30">
        <v>2023</v>
      </c>
      <c r="C31" s="30" t="s">
        <v>85</v>
      </c>
      <c r="D31" s="12">
        <v>80.92</v>
      </c>
      <c r="E31" s="25">
        <f t="shared" si="0"/>
        <v>3.6107554417413645E-2</v>
      </c>
      <c r="F31" s="30" t="s">
        <v>589</v>
      </c>
    </row>
    <row r="32" spans="1:6" ht="15" customHeight="1" x14ac:dyDescent="0.2">
      <c r="A32" s="44">
        <v>44958</v>
      </c>
      <c r="B32" s="30">
        <v>2023</v>
      </c>
      <c r="C32" s="30" t="s">
        <v>90</v>
      </c>
      <c r="D32" s="12">
        <v>82.28</v>
      </c>
      <c r="E32" s="25">
        <f t="shared" si="0"/>
        <v>1.6806722689075571E-2</v>
      </c>
      <c r="F32" s="30" t="s">
        <v>589</v>
      </c>
    </row>
    <row r="33" spans="1:6" ht="15" customHeight="1" x14ac:dyDescent="0.2">
      <c r="A33" s="44">
        <v>44986</v>
      </c>
      <c r="B33" s="30">
        <v>2023</v>
      </c>
      <c r="C33" s="30" t="s">
        <v>92</v>
      </c>
      <c r="D33" s="12">
        <v>78.540000000000006</v>
      </c>
      <c r="E33" s="25">
        <f t="shared" si="0"/>
        <v>-4.5454545454545414E-2</v>
      </c>
      <c r="F33" s="30" t="s">
        <v>589</v>
      </c>
    </row>
    <row r="34" spans="1:6" ht="15" customHeight="1" x14ac:dyDescent="0.2">
      <c r="A34" s="44">
        <v>45017</v>
      </c>
      <c r="B34" s="30">
        <v>2023</v>
      </c>
      <c r="C34" s="30" t="s">
        <v>93</v>
      </c>
      <c r="D34" s="12">
        <v>83.76</v>
      </c>
      <c r="E34" s="25">
        <f t="shared" si="0"/>
        <v>6.6462948815889877E-2</v>
      </c>
      <c r="F34" s="30" t="s">
        <v>589</v>
      </c>
    </row>
    <row r="35" spans="1:6" ht="15" customHeight="1" x14ac:dyDescent="0.2">
      <c r="A35" s="44">
        <v>45047</v>
      </c>
      <c r="B35" s="30">
        <v>2023</v>
      </c>
      <c r="C35" s="30" t="s">
        <v>95</v>
      </c>
      <c r="D35" s="12">
        <v>74.98</v>
      </c>
      <c r="E35" s="25">
        <f t="shared" si="0"/>
        <v>-0.1048233046800382</v>
      </c>
      <c r="F35" s="30" t="s">
        <v>589</v>
      </c>
    </row>
    <row r="36" spans="1:6" ht="15" customHeight="1" x14ac:dyDescent="0.2">
      <c r="A36" s="44">
        <v>45078</v>
      </c>
      <c r="B36" s="30">
        <v>2023</v>
      </c>
      <c r="C36" s="30" t="s">
        <v>96</v>
      </c>
      <c r="D36" s="12">
        <v>74.930000000000007</v>
      </c>
      <c r="E36" s="25">
        <f t="shared" si="0"/>
        <v>-6.6684449186449335E-4</v>
      </c>
      <c r="F36" s="30" t="s">
        <v>589</v>
      </c>
    </row>
    <row r="37" spans="1:6" ht="15" customHeight="1" x14ac:dyDescent="0.2">
      <c r="A37" s="44">
        <v>45108</v>
      </c>
      <c r="B37" s="30">
        <v>2023</v>
      </c>
      <c r="C37" s="30" t="s">
        <v>98</v>
      </c>
      <c r="D37" s="12">
        <v>80.37</v>
      </c>
      <c r="E37" s="25">
        <f t="shared" si="0"/>
        <v>7.2601094354731055E-2</v>
      </c>
      <c r="F37" s="30" t="s">
        <v>589</v>
      </c>
    </row>
    <row r="38" spans="1:6" ht="15" customHeight="1" x14ac:dyDescent="0.2">
      <c r="A38" s="44">
        <v>45139</v>
      </c>
      <c r="B38" s="30">
        <v>2023</v>
      </c>
      <c r="C38" s="30" t="s">
        <v>100</v>
      </c>
      <c r="D38" s="12">
        <v>86.43</v>
      </c>
      <c r="E38" s="25">
        <f t="shared" si="0"/>
        <v>7.5401269130272564E-2</v>
      </c>
      <c r="F38" s="30" t="s">
        <v>589</v>
      </c>
    </row>
    <row r="39" spans="1:6" ht="15" customHeight="1" x14ac:dyDescent="0.2">
      <c r="A39" s="44">
        <v>45170</v>
      </c>
      <c r="B39" s="30">
        <v>2023</v>
      </c>
      <c r="C39" s="30" t="s">
        <v>102</v>
      </c>
      <c r="D39" s="12">
        <v>93.54</v>
      </c>
      <c r="E39" s="25">
        <f t="shared" si="0"/>
        <v>8.2263103089205147E-2</v>
      </c>
      <c r="F39" s="30" t="s">
        <v>589</v>
      </c>
    </row>
    <row r="40" spans="1:6" ht="15" customHeight="1" x14ac:dyDescent="0.2">
      <c r="A40" s="44">
        <v>45200</v>
      </c>
      <c r="B40" s="30">
        <v>2023</v>
      </c>
      <c r="C40" s="30" t="s">
        <v>104</v>
      </c>
      <c r="D40" s="12">
        <v>90.08</v>
      </c>
      <c r="E40" s="25">
        <f t="shared" si="0"/>
        <v>-3.6989523198631691E-2</v>
      </c>
      <c r="F40" s="30" t="s">
        <v>589</v>
      </c>
    </row>
    <row r="41" spans="1:6" ht="15" customHeight="1" x14ac:dyDescent="0.2">
      <c r="A41" s="44">
        <v>45231</v>
      </c>
      <c r="B41" s="30">
        <v>2023</v>
      </c>
      <c r="C41" s="30" t="s">
        <v>107</v>
      </c>
      <c r="D41" s="12">
        <v>83.46</v>
      </c>
      <c r="E41" s="25">
        <f t="shared" si="0"/>
        <v>-7.3490230905861487E-2</v>
      </c>
      <c r="F41" s="30" t="s">
        <v>589</v>
      </c>
    </row>
    <row r="42" spans="1:6" ht="15" customHeight="1" x14ac:dyDescent="0.2">
      <c r="A42" s="44">
        <v>45261</v>
      </c>
      <c r="B42" s="30">
        <v>2023</v>
      </c>
      <c r="C42" s="30" t="s">
        <v>109</v>
      </c>
      <c r="D42" s="12">
        <v>77.42</v>
      </c>
      <c r="E42" s="25">
        <f t="shared" si="0"/>
        <v>-7.2369997603642378E-2</v>
      </c>
      <c r="F42" s="30" t="s">
        <v>589</v>
      </c>
    </row>
    <row r="43" spans="1:6" ht="15" customHeight="1" x14ac:dyDescent="0.2">
      <c r="A43" s="51"/>
      <c r="B43" s="17"/>
      <c r="C43" s="17"/>
      <c r="D43" s="31"/>
      <c r="E43" s="32"/>
      <c r="F43" s="17"/>
    </row>
    <row r="44" spans="1:6" ht="15" customHeight="1" x14ac:dyDescent="0.2">
      <c r="A44" s="51"/>
      <c r="B44" s="17"/>
      <c r="C44" s="17"/>
      <c r="D44" s="31"/>
      <c r="E44" s="32"/>
      <c r="F44" s="17"/>
    </row>
    <row r="45" spans="1:6" ht="15" customHeight="1" x14ac:dyDescent="0.2">
      <c r="A45" s="44" t="s">
        <v>286</v>
      </c>
      <c r="B45" s="17"/>
      <c r="C45" s="17"/>
      <c r="D45" s="31"/>
      <c r="E45" s="32"/>
      <c r="F45" s="17"/>
    </row>
    <row r="46" spans="1:6" ht="41.25" customHeight="1" x14ac:dyDescent="0.2">
      <c r="A46" s="44" t="s">
        <v>590</v>
      </c>
      <c r="B46" s="17" t="s">
        <v>591</v>
      </c>
      <c r="C46" s="17"/>
      <c r="D46" s="31"/>
      <c r="E46" s="32"/>
      <c r="F46" s="17"/>
    </row>
    <row r="47" spans="1:6" ht="68.25" customHeight="1" x14ac:dyDescent="0.2">
      <c r="A47" s="44" t="s">
        <v>592</v>
      </c>
      <c r="B47" s="17" t="s">
        <v>593</v>
      </c>
      <c r="C47" s="17"/>
      <c r="D47" s="31"/>
      <c r="E47" s="32"/>
      <c r="F47" s="17"/>
    </row>
    <row r="48" spans="1:6" ht="54.75" customHeight="1" x14ac:dyDescent="0.2">
      <c r="A48" s="44" t="s">
        <v>594</v>
      </c>
      <c r="B48" s="17" t="s">
        <v>595</v>
      </c>
      <c r="C48" s="17"/>
      <c r="D48" s="31"/>
      <c r="E48" s="32"/>
      <c r="F48" s="17"/>
    </row>
    <row r="49" spans="1:6" ht="15" customHeight="1" x14ac:dyDescent="0.2">
      <c r="A49" s="51"/>
      <c r="B49" s="17"/>
      <c r="C49" s="17"/>
      <c r="D49" s="31"/>
      <c r="E49" s="32"/>
      <c r="F49" s="17"/>
    </row>
    <row r="50" spans="1:6" ht="27.75" customHeight="1" x14ac:dyDescent="0.2">
      <c r="A50" s="44" t="s">
        <v>596</v>
      </c>
      <c r="B50" s="17" t="s">
        <v>597</v>
      </c>
      <c r="C50" s="17"/>
      <c r="D50" s="31"/>
      <c r="E50" s="32"/>
      <c r="F50" s="17"/>
    </row>
    <row r="51" spans="1:6" ht="41.25" customHeight="1" x14ac:dyDescent="0.2">
      <c r="A51" s="44" t="s">
        <v>598</v>
      </c>
      <c r="B51" s="17" t="s">
        <v>599</v>
      </c>
      <c r="C51" s="17"/>
      <c r="D51" s="31"/>
      <c r="E51" s="32"/>
      <c r="F51" s="17"/>
    </row>
  </sheetData>
  <autoFilter ref="A1:G51" xr:uid="{00000000-0009-0000-0000-000016000000}"/>
  <mergeCells count="2">
    <mergeCell ref="A3:B3"/>
    <mergeCell ref="A2:B2"/>
  </mergeCells>
  <hyperlinks>
    <hyperlink ref="G2" r:id="rId1" location="'Dashboard'!A1" xr:uid="{00000000-0004-0000-1600-000000000000}"/>
  </hyperlinks>
  <pageMargins left="0.75" right="0.75" top="1" bottom="1" header="0.511811023622047" footer="0.511811023622047"/>
  <pageSetup paperSize="9" fitToHeight="0" orientation="landscape"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64A2"/>
    <pageSetUpPr fitToPage="1"/>
  </sheetPr>
  <dimension ref="A1:AG85"/>
  <sheetViews>
    <sheetView showGridLines="0" topLeftCell="A34" zoomScale="90" zoomScaleNormal="90" workbookViewId="0">
      <selection activeCell="E46" sqref="E46"/>
    </sheetView>
  </sheetViews>
  <sheetFormatPr defaultColWidth="8.7109375" defaultRowHeight="15" customHeight="1" x14ac:dyDescent="0.2"/>
  <cols>
    <col min="1" max="2" width="42" customWidth="1"/>
    <col min="3" max="3" width="18" customWidth="1"/>
    <col min="4" max="4" width="21.5703125" customWidth="1"/>
    <col min="5" max="32" width="42" customWidth="1"/>
    <col min="33" max="33" width="10" customWidth="1"/>
  </cols>
  <sheetData>
    <row r="1" spans="1:33" ht="24" customHeight="1" x14ac:dyDescent="0.2">
      <c r="A1" s="37" t="s">
        <v>600</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1:33" ht="41.25" customHeight="1" x14ac:dyDescent="0.2">
      <c r="A2" s="17" t="s">
        <v>601</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0" t="s">
        <v>86</v>
      </c>
    </row>
    <row r="3" spans="1:33" ht="54.75" customHeight="1" x14ac:dyDescent="0.2">
      <c r="A3" s="17" t="s">
        <v>602</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4" spans="1:33" ht="15" customHeight="1" x14ac:dyDescent="0.2">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row>
    <row r="5" spans="1:33" ht="27.75" customHeight="1" x14ac:dyDescent="0.2">
      <c r="A5" s="50" t="s">
        <v>495</v>
      </c>
      <c r="B5" s="50" t="s">
        <v>55</v>
      </c>
      <c r="C5" s="50" t="s">
        <v>56</v>
      </c>
      <c r="D5" s="50" t="s">
        <v>603</v>
      </c>
      <c r="E5" s="50" t="s">
        <v>604</v>
      </c>
      <c r="F5" s="50" t="s">
        <v>605</v>
      </c>
      <c r="G5" s="50" t="s">
        <v>606</v>
      </c>
      <c r="H5" s="50" t="s">
        <v>607</v>
      </c>
      <c r="I5" s="50" t="s">
        <v>608</v>
      </c>
      <c r="J5" s="50" t="s">
        <v>609</v>
      </c>
      <c r="K5" s="50" t="s">
        <v>610</v>
      </c>
      <c r="L5" s="50" t="s">
        <v>611</v>
      </c>
      <c r="M5" s="50" t="s">
        <v>612</v>
      </c>
      <c r="N5" s="50" t="s">
        <v>613</v>
      </c>
      <c r="O5" s="50" t="s">
        <v>614</v>
      </c>
      <c r="P5" s="50" t="s">
        <v>615</v>
      </c>
      <c r="Q5" s="50" t="s">
        <v>616</v>
      </c>
      <c r="R5" s="50" t="s">
        <v>617</v>
      </c>
      <c r="S5" s="50" t="s">
        <v>618</v>
      </c>
      <c r="T5" s="50" t="s">
        <v>619</v>
      </c>
      <c r="U5" s="50" t="s">
        <v>620</v>
      </c>
      <c r="V5" s="50" t="s">
        <v>621</v>
      </c>
      <c r="W5" s="50" t="s">
        <v>622</v>
      </c>
      <c r="X5" s="50" t="s">
        <v>623</v>
      </c>
      <c r="Y5" s="50" t="s">
        <v>624</v>
      </c>
      <c r="Z5" s="50" t="s">
        <v>625</v>
      </c>
      <c r="AA5" s="50" t="s">
        <v>626</v>
      </c>
      <c r="AB5" s="50" t="s">
        <v>627</v>
      </c>
      <c r="AC5" s="50" t="s">
        <v>628</v>
      </c>
      <c r="AD5" s="50" t="s">
        <v>629</v>
      </c>
      <c r="AE5" s="50" t="s">
        <v>630</v>
      </c>
      <c r="AF5" s="50" t="s">
        <v>631</v>
      </c>
    </row>
    <row r="6" spans="1:33" ht="15" customHeight="1" x14ac:dyDescent="0.2">
      <c r="A6" s="44">
        <v>44166</v>
      </c>
      <c r="B6" s="30">
        <v>2020</v>
      </c>
      <c r="C6" s="30" t="s">
        <v>109</v>
      </c>
      <c r="D6" s="12">
        <v>49.84</v>
      </c>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row>
    <row r="7" spans="1:33" ht="15" customHeight="1" x14ac:dyDescent="0.2">
      <c r="A7" s="44">
        <v>44197</v>
      </c>
      <c r="B7" s="30">
        <v>2021</v>
      </c>
      <c r="C7" s="30" t="s">
        <v>85</v>
      </c>
      <c r="D7" s="12">
        <v>54.79</v>
      </c>
      <c r="E7" s="25">
        <f>IFERROR(D7/D6-1,"")</f>
        <v>9.9317817014446197E-2</v>
      </c>
      <c r="F7" s="32">
        <f>IFERROR(SUMIFS('Clean Data'!$D:$D,'Clean Data'!$A:$A,"Rural+Urban",'Clean Data'!$B:$B,B7,'Clean Data'!$C:$C,C7)/SUMIFS('Clean Data'!$D:$D,'Clean Data'!$A:$A,"Rural+Urban",'Clean Data'!$B:$B,YEAR(EDATE(A7,-1)),'Clean Data'!$C:$C,TEXT(EDATE(A7,-1),"mmmm"))-1,"")</f>
        <v>-7.534246575342407E-3</v>
      </c>
      <c r="G7" s="32">
        <f>IFERROR(SUMIFS('Clean Data'!$E:$E,'Clean Data'!$A:$A,"Rural+Urban",'Clean Data'!$B:$B,B7,'Clean Data'!$C:$C,C7)/SUMIFS('Clean Data'!$E:$E,'Clean Data'!$A:$A,"Rural+Urban",'Clean Data'!$B:$B,YEAR(EDATE(A7,-1)),'Clean Data'!$C:$C,TEXT(EDATE(A7,-1),"mmmm"))-1,"")</f>
        <v>-4.7120418848167755E-3</v>
      </c>
      <c r="H7" s="32">
        <f>IFERROR(SUMIFS('Clean Data'!$F:$F,'Clean Data'!$A:$A,"Rural+Urban",'Clean Data'!$B:$B,B7,'Clean Data'!$C:$C,C7)/SUMIFS('Clean Data'!$F:$F,'Clean Data'!$A:$A,"Rural+Urban",'Clean Data'!$B:$B,YEAR(EDATE(A7,-1)),'Clean Data'!$C:$C,TEXT(EDATE(A7,-1),"mmmm"))-1,"")</f>
        <v>0</v>
      </c>
      <c r="I7" s="32">
        <f>IFERROR(SUMIFS('Clean Data'!$G:$G,'Clean Data'!$A:$A,"Rural+Urban",'Clean Data'!$B:$B,B7,'Clean Data'!$C:$C,C7)/SUMIFS('Clean Data'!$G:$G,'Clean Data'!$A:$A,"Rural+Urban",'Clean Data'!$B:$B,YEAR(EDATE(A7,-1)),'Clean Data'!$C:$C,TEXT(EDATE(A7,-1),"mmmm"))-1,"")</f>
        <v>0</v>
      </c>
      <c r="J7" s="32">
        <f>IFERROR(SUMIFS('Clean Data'!$H:$H,'Clean Data'!$A:$A,"Rural+Urban",'Clean Data'!$B:$B,B7,'Clean Data'!$C:$C,C7)/SUMIFS('Clean Data'!$H:$H,'Clean Data'!$A:$A,"Rural+Urban",'Clean Data'!$B:$B,YEAR(EDATE(A7,-1)),'Clean Data'!$C:$C,TEXT(EDATE(A7,-1),"mmmm"))-1,"")</f>
        <v>2.9331514324693053E-2</v>
      </c>
      <c r="K7" s="32">
        <f>IFERROR(SUMIFS('Clean Data'!$I:$I,'Clean Data'!$A:$A,"Rural+Urban",'Clean Data'!$B:$B,B7,'Clean Data'!$C:$C,C7)/SUMIFS('Clean Data'!$I:$I,'Clean Data'!$A:$A,"Rural+Urban",'Clean Data'!$B:$B,YEAR(EDATE(A7,-1)),'Clean Data'!$C:$C,TEXT(EDATE(A7,-1),"mmmm"))-1,"")</f>
        <v>1.2863913337846977E-2</v>
      </c>
      <c r="L7" s="32">
        <f>IFERROR(SUMIFS('Clean Data'!$J:$J,'Clean Data'!$A:$A,"Rural+Urban",'Clean Data'!$B:$B,B7,'Clean Data'!$C:$C,C7)/SUMIFS('Clean Data'!$J:$J,'Clean Data'!$A:$A,"Rural+Urban",'Clean Data'!$B:$B,YEAR(EDATE(A7,-1)),'Clean Data'!$C:$C,TEXT(EDATE(A7,-1),"mmmm"))-1,"")</f>
        <v>-0.15748373101952284</v>
      </c>
      <c r="M7" s="32">
        <f>IFERROR(SUMIFS('Clean Data'!$K:$K,'Clean Data'!$A:$A,"Rural+Urban",'Clean Data'!$B:$B,B7,'Clean Data'!$C:$C,C7)/SUMIFS('Clean Data'!$K:$K,'Clean Data'!$A:$A,"Rural+Urban",'Clean Data'!$B:$B,YEAR(EDATE(A7,-1)),'Clean Data'!$C:$C,TEXT(EDATE(A7,-1),"mmmm"))-1,"")</f>
        <v>1.2484394506866447E-3</v>
      </c>
      <c r="N7" s="32">
        <f>IFERROR(SUMIFS('Clean Data'!$L:$L,'Clean Data'!$A:$A,"Rural+Urban",'Clean Data'!$B:$B,B7,'Clean Data'!$C:$C,C7)/SUMIFS('Clean Data'!$L:$L,'Clean Data'!$A:$A,"Rural+Urban",'Clean Data'!$B:$B,YEAR(EDATE(A7,-1)),'Clean Data'!$C:$C,TEXT(EDATE(A7,-1),"mmmm"))-1,"")</f>
        <v>-6.0711188204684019E-3</v>
      </c>
      <c r="O7" s="32">
        <f>IFERROR(SUMIFS('Clean Data'!$M:$M,'Clean Data'!$A:$A,"Rural+Urban",'Clean Data'!$B:$B,B7,'Clean Data'!$C:$C,C7)/SUMIFS('Clean Data'!$M:$M,'Clean Data'!$A:$A,"Rural+Urban",'Clean Data'!$B:$B,YEAR(EDATE(A7,-1)),'Clean Data'!$C:$C,TEXT(EDATE(A7,-1),"mmmm"))-1,"")</f>
        <v>6.1349693251533388E-3</v>
      </c>
      <c r="P7" s="32">
        <f>IFERROR(SUMIFS('Clean Data'!$N:$N,'Clean Data'!$A:$A,"Rural+Urban",'Clean Data'!$B:$B,B7,'Clean Data'!$C:$C,C7)/SUMIFS('Clean Data'!$N:$N,'Clean Data'!$A:$A,"Rural+Urban",'Clean Data'!$B:$B,YEAR(EDATE(A7,-1)),'Clean Data'!$C:$C,TEXT(EDATE(A7,-1),"mmmm"))-1,"")</f>
        <v>1.7426273458445163E-2</v>
      </c>
      <c r="Q7" s="32">
        <f>IFERROR(SUMIFS('Clean Data'!$O:$O,'Clean Data'!$A:$A,"Rural+Urban",'Clean Data'!$B:$B,B7,'Clean Data'!$C:$C,C7)/SUMIFS('Clean Data'!$O:$O,'Clean Data'!$A:$A,"Rural+Urban",'Clean Data'!$B:$B,YEAR(EDATE(A7,-1)),'Clean Data'!$C:$C,TEXT(EDATE(A7,-1),"mmmm"))-1,"")</f>
        <v>4.8543689320388328E-3</v>
      </c>
      <c r="R7" s="32">
        <f>IFERROR(SUMIFS('Clean Data'!$P:$P,'Clean Data'!$A:$A,"Rural+Urban",'Clean Data'!$B:$B,B7,'Clean Data'!$C:$C,C7)/SUMIFS('Clean Data'!$P:$P,'Clean Data'!$A:$A,"Rural+Urban",'Clean Data'!$B:$B,YEAR(EDATE(A7,-1)),'Clean Data'!$C:$C,TEXT(EDATE(A7,-1),"mmmm"))-1,"")</f>
        <v>-2.6602176541717037E-2</v>
      </c>
      <c r="S7" s="32">
        <f>IFERROR(SUMIFS('Clean Data'!$Q:$Q,'Clean Data'!$A:$A,"Rural+Urban",'Clean Data'!$B:$B,B7,'Clean Data'!$C:$C,C7)/SUMIFS('Clean Data'!$Q:$Q,'Clean Data'!$A:$A,"Rural+Urban",'Clean Data'!$B:$B,YEAR(EDATE(A7,-1)),'Clean Data'!$C:$C,TEXT(EDATE(A7,-1),"mmmm"))-1,"")</f>
        <v>5.9331175836030425E-3</v>
      </c>
      <c r="T7" s="32">
        <f>IFERROR(SUMIFS('Clean Data'!$R:$R,'Clean Data'!$A:$A,"Rural+Urban",'Clean Data'!$B:$B,B7,'Clean Data'!$C:$C,C7)/SUMIFS('Clean Data'!$R:$R,'Clean Data'!$A:$A,"Rural+Urban",'Clean Data'!$B:$B,YEAR(EDATE(A7,-1)),'Clean Data'!$C:$C,TEXT(EDATE(A7,-1),"mmmm"))-1,"")</f>
        <v>3.225806451612856E-3</v>
      </c>
      <c r="U7" s="32">
        <f>IFERROR(SUMIFS('Clean Data'!$S:$S,'Clean Data'!$A:$A,"Rural+Urban",'Clean Data'!$B:$B,B7,'Clean Data'!$C:$C,C7)/SUMIFS('Clean Data'!$S:$S,'Clean Data'!$A:$A,"Rural+Urban",'Clean Data'!$B:$B,YEAR(EDATE(A7,-1)),'Clean Data'!$C:$C,TEXT(EDATE(A7,-1),"mmmm"))-1,"")</f>
        <v>4.8143053645115508E-3</v>
      </c>
      <c r="V7" s="32">
        <f>IFERROR(SUMIFS('Clean Data'!$T:$T,'Clean Data'!$A:$A,"Rural+Urban",'Clean Data'!$B:$B,B7,'Clean Data'!$C:$C,C7)/SUMIFS('Clean Data'!$T:$T,'Clean Data'!$A:$A,"Rural+Urban",'Clean Data'!$B:$B,YEAR(EDATE(A7,-1)),'Clean Data'!$C:$C,TEXT(EDATE(A7,-1),"mmmm"))-1,"")</f>
        <v>3.90625E-3</v>
      </c>
      <c r="W7" s="32">
        <f>IFERROR(SUMIFS('Clean Data'!$U:$U,'Clean Data'!$A:$A,"Rural+Urban",'Clean Data'!$B:$B,B7,'Clean Data'!$C:$C,C7)/SUMIFS('Clean Data'!$U:$U,'Clean Data'!$A:$A,"Rural+Urban",'Clean Data'!$B:$B,YEAR(EDATE(A7,-1)),'Clean Data'!$C:$C,TEXT(EDATE(A7,-1),"mmmm"))-1,"")</f>
        <v>-4.4191919191920448E-3</v>
      </c>
      <c r="X7" s="32">
        <f>IFERROR(SUMIFS('Clean Data'!$V:$V,'Clean Data'!$A:$A,"Rural+Urban",'Clean Data'!$B:$B,B7,'Clean Data'!$C:$C,C7)/SUMIFS('Clean Data'!$V:$V,'Clean Data'!$A:$A,"Rural+Urban",'Clean Data'!$B:$B,YEAR(EDATE(A7,-1)),'Clean Data'!$C:$C,TEXT(EDATE(A7,-1),"mmmm"))-1,"")</f>
        <v>2.2821576763485618E-2</v>
      </c>
      <c r="Y7" s="32">
        <f>IFERROR(SUMIFS('Clean Data'!$W:$W,'Clean Data'!$A:$A,"Rural+Urban",'Clean Data'!$B:$B,B7,'Clean Data'!$C:$C,C7)/SUMIFS('Clean Data'!$W:$W,'Clean Data'!$A:$A,"Rural+Urban",'Clean Data'!$B:$B,YEAR(EDATE(A7,-1)),'Clean Data'!$C:$C,TEXT(EDATE(A7,-1),"mmmm"))-1,"")</f>
        <v>2.0040080160321772E-3</v>
      </c>
      <c r="Z7" s="32">
        <f>IFERROR(SUMIFS('Clean Data'!$X:$X,'Clean Data'!$A:$A,"Rural+Urban",'Clean Data'!$B:$B,B7,'Clean Data'!$C:$C,C7)/SUMIFS('Clean Data'!$X:$X,'Clean Data'!$A:$A,"Rural+Urban",'Clean Data'!$B:$B,YEAR(EDATE(A7,-1)),'Clean Data'!$C:$C,TEXT(EDATE(A7,-1),"mmmm"))-1,"")</f>
        <v>6.3171193935565029E-3</v>
      </c>
      <c r="AA7" s="32">
        <f>IFERROR(SUMIFS('Clean Data'!$Y:$Y,'Clean Data'!$A:$A,"Rural+Urban",'Clean Data'!$B:$B,B7,'Clean Data'!$C:$C,C7)/SUMIFS('Clean Data'!$Y:$Y,'Clean Data'!$A:$A,"Rural+Urban",'Clean Data'!$B:$B,YEAR(EDATE(A7,-1)),'Clean Data'!$C:$C,TEXT(EDATE(A7,-1),"mmmm"))-1,"")</f>
        <v>8.5287846481878482E-3</v>
      </c>
      <c r="AB7" s="32">
        <f>IFERROR(SUMIFS('Clean Data'!$Z:$Z,'Clean Data'!$A:$A,"Rural+Urban",'Clean Data'!$B:$B,B7,'Clean Data'!$C:$C,C7)/SUMIFS('Clean Data'!$Z:$Z,'Clean Data'!$A:$A,"Rural+Urban",'Clean Data'!$B:$B,YEAR(EDATE(A7,-1)),'Clean Data'!$C:$C,TEXT(EDATE(A7,-1),"mmmm"))-1,"")</f>
        <v>7.4074074074073071E-3</v>
      </c>
      <c r="AC7" s="32">
        <f>IFERROR(SUMIFS('Clean Data'!$AA:$AA,'Clean Data'!$A:$A,"Rural+Urban",'Clean Data'!$B:$B,B7,'Clean Data'!$C:$C,C7)/SUMIFS('Clean Data'!$AA:$AA,'Clean Data'!$A:$A,"Rural+Urban",'Clean Data'!$B:$B,YEAR(EDATE(A7,-1)),'Clean Data'!$C:$C,TEXT(EDATE(A7,-1),"mmmm"))-1,"")</f>
        <v>-1.2547051442911572E-3</v>
      </c>
      <c r="AD7" s="32">
        <f>IFERROR(SUMIFS('Clean Data'!$AB:$AB,'Clean Data'!$A:$A,"Rural+Urban",'Clean Data'!$B:$B,B7,'Clean Data'!$C:$C,C7)/SUMIFS('Clean Data'!$AB:$AB,'Clean Data'!$A:$A,"Rural+Urban",'Clean Data'!$B:$B,YEAR(EDATE(A7,-1)),'Clean Data'!$C:$C,TEXT(EDATE(A7,-1),"mmmm"))-1,"")</f>
        <v>-1.9096117122850975E-3</v>
      </c>
      <c r="AE7" s="32">
        <f>IFERROR(SUMIFS('Clean Data'!$AC:$AC,'Clean Data'!$A:$A,"Rural+Urban",'Clean Data'!$B:$B,B7,'Clean Data'!$C:$C,C7)/SUMIFS('Clean Data'!$AC:$AC,'Clean Data'!$A:$A,"Rural+Urban",'Clean Data'!$B:$B,YEAR(EDATE(A7,-1)),'Clean Data'!$C:$C,TEXT(EDATE(A7,-1),"mmmm"))-1,"")</f>
        <v>4.6296296296297612E-3</v>
      </c>
      <c r="AF7" s="32">
        <f>IFERROR(SUMIFS('Clean Data'!$AD:$AD,'Clean Data'!$A:$A,"Rural+Urban",'Clean Data'!$B:$B,B7,'Clean Data'!$C:$C,C7)/SUMIFS('Clean Data'!$AD:$AD,'Clean Data'!$A:$A,"Rural+Urban",'Clean Data'!$B:$B,YEAR(EDATE(A7,-1)),'Clean Data'!$C:$C,TEXT(EDATE(A7,-1),"mmmm"))-1,"")</f>
        <v>-1.0069225928256764E-2</v>
      </c>
    </row>
    <row r="8" spans="1:33" ht="15" customHeight="1" x14ac:dyDescent="0.2">
      <c r="A8" s="44">
        <v>44228</v>
      </c>
      <c r="B8" s="30">
        <v>2021</v>
      </c>
      <c r="C8" s="30" t="s">
        <v>90</v>
      </c>
      <c r="D8" s="12">
        <v>61.22</v>
      </c>
      <c r="E8" s="25">
        <f t="shared" ref="E8:E35" si="0">IFERROR(D8/D7-1,"")</f>
        <v>0.11735718196751233</v>
      </c>
      <c r="F8" s="32">
        <f>IFERROR(SUMIFS('Clean Data'!$D:$D,'Clean Data'!$A:$A,"Rural+Urban",'Clean Data'!$B:$B,B8,'Clean Data'!$C:$C,C8)/SUMIFS('Clean Data'!$D:$D,'Clean Data'!$A:$A,"Rural+Urban",'Clean Data'!$B:$B,YEAR(EDATE(A8,-1)),'Clean Data'!$C:$C,TEXT(EDATE(A8,-1),"mmmm"))-1,"")</f>
        <v>-4.1407867494823725E-3</v>
      </c>
      <c r="G8" s="32">
        <f>IFERROR(SUMIFS('Clean Data'!$E:$E,'Clean Data'!$A:$A,"Rural+Urban",'Clean Data'!$B:$B,B8,'Clean Data'!$C:$C,C8)/SUMIFS('Clean Data'!$E:$E,'Clean Data'!$A:$A,"Rural+Urban",'Clean Data'!$B:$B,YEAR(EDATE(A8,-1)),'Clean Data'!$C:$C,TEXT(EDATE(A8,-1),"mmmm"))-1,"")</f>
        <v>-1.8937401367701168E-2</v>
      </c>
      <c r="H8" s="32">
        <f>IFERROR(SUMIFS('Clean Data'!$F:$F,'Clean Data'!$A:$A,"Rural+Urban",'Clean Data'!$B:$B,B8,'Clean Data'!$C:$C,C8)/SUMIFS('Clean Data'!$F:$F,'Clean Data'!$A:$A,"Rural+Urban",'Clean Data'!$B:$B,YEAR(EDATE(A8,-1)),'Clean Data'!$C:$C,TEXT(EDATE(A8,-1),"mmmm"))-1,"")</f>
        <v>-3.7649743297204941E-2</v>
      </c>
      <c r="I8" s="32">
        <f>IFERROR(SUMIFS('Clean Data'!$G:$G,'Clean Data'!$A:$A,"Rural+Urban",'Clean Data'!$B:$B,B8,'Clean Data'!$C:$C,C8)/SUMIFS('Clean Data'!$G:$G,'Clean Data'!$A:$A,"Rural+Urban",'Clean Data'!$B:$B,YEAR(EDATE(A8,-1)),'Clean Data'!$C:$C,TEXT(EDATE(A8,-1),"mmmm"))-1,"")</f>
        <v>3.8935756002596023E-3</v>
      </c>
      <c r="J8" s="32">
        <f>IFERROR(SUMIFS('Clean Data'!$H:$H,'Clean Data'!$A:$A,"Rural+Urban",'Clean Data'!$B:$B,B8,'Clean Data'!$C:$C,C8)/SUMIFS('Clean Data'!$H:$H,'Clean Data'!$A:$A,"Rural+Urban",'Clean Data'!$B:$B,YEAR(EDATE(A8,-1)),'Clean Data'!$C:$C,TEXT(EDATE(A8,-1),"mmmm"))-1,"")</f>
        <v>5.1689860834990053E-2</v>
      </c>
      <c r="K8" s="32">
        <f>IFERROR(SUMIFS('Clean Data'!$I:$I,'Clean Data'!$A:$A,"Rural+Urban",'Clean Data'!$B:$B,B8,'Clean Data'!$C:$C,C8)/SUMIFS('Clean Data'!$I:$I,'Clean Data'!$A:$A,"Rural+Urban",'Clean Data'!$B:$B,YEAR(EDATE(A8,-1)),'Clean Data'!$C:$C,TEXT(EDATE(A8,-1),"mmmm"))-1,"")</f>
        <v>7.3529411764705621E-3</v>
      </c>
      <c r="L8" s="32">
        <f>IFERROR(SUMIFS('Clean Data'!$J:$J,'Clean Data'!$A:$A,"Rural+Urban",'Clean Data'!$B:$B,B8,'Clean Data'!$C:$C,C8)/SUMIFS('Clean Data'!$J:$J,'Clean Data'!$A:$A,"Rural+Urban",'Clean Data'!$B:$B,YEAR(EDATE(A8,-1)),'Clean Data'!$C:$C,TEXT(EDATE(A8,-1),"mmmm"))-1,"")</f>
        <v>-0.17610710607621005</v>
      </c>
      <c r="M8" s="32">
        <f>IFERROR(SUMIFS('Clean Data'!$K:$K,'Clean Data'!$A:$A,"Rural+Urban",'Clean Data'!$B:$B,B8,'Clean Data'!$C:$C,C8)/SUMIFS('Clean Data'!$K:$K,'Clean Data'!$A:$A,"Rural+Urban",'Clean Data'!$B:$B,YEAR(EDATE(A8,-1)),'Clean Data'!$C:$C,TEXT(EDATE(A8,-1),"mmmm"))-1,"")</f>
        <v>-9.9750623441395847E-3</v>
      </c>
      <c r="N8" s="32">
        <f>IFERROR(SUMIFS('Clean Data'!$L:$L,'Clean Data'!$A:$A,"Rural+Urban",'Clean Data'!$B:$B,B8,'Clean Data'!$C:$C,C8)/SUMIFS('Clean Data'!$L:$L,'Clean Data'!$A:$A,"Rural+Urban",'Clean Data'!$B:$B,YEAR(EDATE(A8,-1)),'Clean Data'!$C:$C,TEXT(EDATE(A8,-1),"mmmm"))-1,"")</f>
        <v>-1.5706806282722474E-2</v>
      </c>
      <c r="O8" s="32">
        <f>IFERROR(SUMIFS('Clean Data'!$M:$M,'Clean Data'!$A:$A,"Rural+Urban",'Clean Data'!$B:$B,B8,'Clean Data'!$C:$C,C8)/SUMIFS('Clean Data'!$M:$M,'Clean Data'!$A:$A,"Rural+Urban",'Clean Data'!$B:$B,YEAR(EDATE(A8,-1)),'Clean Data'!$C:$C,TEXT(EDATE(A8,-1),"mmmm"))-1,"")</f>
        <v>1.2195121951219523E-3</v>
      </c>
      <c r="P8" s="32">
        <f>IFERROR(SUMIFS('Clean Data'!$N:$N,'Clean Data'!$A:$A,"Rural+Urban",'Clean Data'!$B:$B,B8,'Clean Data'!$C:$C,C8)/SUMIFS('Clean Data'!$N:$N,'Clean Data'!$A:$A,"Rural+Urban",'Clean Data'!$B:$B,YEAR(EDATE(A8,-1)),'Clean Data'!$C:$C,TEXT(EDATE(A8,-1),"mmmm"))-1,"")</f>
        <v>2.4374176548089599E-2</v>
      </c>
      <c r="Q8" s="32">
        <f>IFERROR(SUMIFS('Clean Data'!$O:$O,'Clean Data'!$A:$A,"Rural+Urban",'Clean Data'!$B:$B,B8,'Clean Data'!$C:$C,C8)/SUMIFS('Clean Data'!$O:$O,'Clean Data'!$A:$A,"Rural+Urban",'Clean Data'!$B:$B,YEAR(EDATE(A8,-1)),'Clean Data'!$C:$C,TEXT(EDATE(A8,-1),"mmmm"))-1,"")</f>
        <v>1.1473429951690761E-2</v>
      </c>
      <c r="R8" s="32">
        <f>IFERROR(SUMIFS('Clean Data'!$P:$P,'Clean Data'!$A:$A,"Rural+Urban",'Clean Data'!$B:$B,B8,'Clean Data'!$C:$C,C8)/SUMIFS('Clean Data'!$P:$P,'Clean Data'!$A:$A,"Rural+Urban",'Clean Data'!$B:$B,YEAR(EDATE(A8,-1)),'Clean Data'!$C:$C,TEXT(EDATE(A8,-1),"mmmm"))-1,"")</f>
        <v>-2.5465838509316718E-2</v>
      </c>
      <c r="S8" s="32">
        <f>IFERROR(SUMIFS('Clean Data'!$Q:$Q,'Clean Data'!$A:$A,"Rural+Urban",'Clean Data'!$B:$B,B8,'Clean Data'!$C:$C,C8)/SUMIFS('Clean Data'!$Q:$Q,'Clean Data'!$A:$A,"Rural+Urban",'Clean Data'!$B:$B,YEAR(EDATE(A8,-1)),'Clean Data'!$C:$C,TEXT(EDATE(A8,-1),"mmmm"))-1,"")</f>
        <v>9.65147453083115E-3</v>
      </c>
      <c r="T8" s="32">
        <f>IFERROR(SUMIFS('Clean Data'!$R:$R,'Clean Data'!$A:$A,"Rural+Urban",'Clean Data'!$B:$B,B8,'Clean Data'!$C:$C,C8)/SUMIFS('Clean Data'!$R:$R,'Clean Data'!$A:$A,"Rural+Urban",'Clean Data'!$B:$B,YEAR(EDATE(A8,-1)),'Clean Data'!$C:$C,TEXT(EDATE(A8,-1),"mmmm"))-1,"")</f>
        <v>1.0932475884244397E-2</v>
      </c>
      <c r="U8" s="32">
        <f>IFERROR(SUMIFS('Clean Data'!$S:$S,'Clean Data'!$A:$A,"Rural+Urban",'Clean Data'!$B:$B,B8,'Clean Data'!$C:$C,C8)/SUMIFS('Clean Data'!$S:$S,'Clean Data'!$A:$A,"Rural+Urban",'Clean Data'!$B:$B,YEAR(EDATE(A8,-1)),'Clean Data'!$C:$C,TEXT(EDATE(A8,-1),"mmmm"))-1,"")</f>
        <v>8.8980150581794426E-3</v>
      </c>
      <c r="V8" s="32">
        <f>IFERROR(SUMIFS('Clean Data'!$T:$T,'Clean Data'!$A:$A,"Rural+Urban",'Clean Data'!$B:$B,B8,'Clean Data'!$C:$C,C8)/SUMIFS('Clean Data'!$T:$T,'Clean Data'!$A:$A,"Rural+Urban",'Clean Data'!$B:$B,YEAR(EDATE(A8,-1)),'Clean Data'!$C:$C,TEXT(EDATE(A8,-1),"mmmm"))-1,"")</f>
        <v>1.0376134889753752E-2</v>
      </c>
      <c r="W8" s="32">
        <f>IFERROR(SUMIFS('Clean Data'!$U:$U,'Clean Data'!$A:$A,"Rural+Urban",'Clean Data'!$B:$B,B8,'Clean Data'!$C:$C,C8)/SUMIFS('Clean Data'!$U:$U,'Clean Data'!$A:$A,"Rural+Urban",'Clean Data'!$B:$B,YEAR(EDATE(A8,-1)),'Clean Data'!$C:$C,TEXT(EDATE(A8,-1),"mmmm"))-1,"")</f>
        <v>1.3316423589093462E-2</v>
      </c>
      <c r="X8" s="32">
        <f>IFERROR(SUMIFS('Clean Data'!$V:$V,'Clean Data'!$A:$A,"Rural+Urban",'Clean Data'!$B:$B,B8,'Clean Data'!$C:$C,C8)/SUMIFS('Clean Data'!$V:$V,'Clean Data'!$A:$A,"Rural+Urban",'Clean Data'!$B:$B,YEAR(EDATE(A8,-1)),'Clean Data'!$C:$C,TEXT(EDATE(A8,-1),"mmmm"))-1,"")</f>
        <v>3.0425963488843744E-2</v>
      </c>
      <c r="Y8" s="32">
        <f>IFERROR(SUMIFS('Clean Data'!$W:$W,'Clean Data'!$A:$A,"Rural+Urban",'Clean Data'!$B:$B,B8,'Clean Data'!$C:$C,C8)/SUMIFS('Clean Data'!$W:$W,'Clean Data'!$A:$A,"Rural+Urban",'Clean Data'!$B:$B,YEAR(EDATE(A8,-1)),'Clean Data'!$C:$C,TEXT(EDATE(A8,-1),"mmmm"))-1,"")</f>
        <v>6.0000000000000053E-3</v>
      </c>
      <c r="Z8" s="32">
        <f>IFERROR(SUMIFS('Clean Data'!$X:$X,'Clean Data'!$A:$A,"Rural+Urban",'Clean Data'!$B:$B,B8,'Clean Data'!$C:$C,C8)/SUMIFS('Clean Data'!$X:$X,'Clean Data'!$A:$A,"Rural+Urban",'Clean Data'!$B:$B,YEAR(EDATE(A8,-1)),'Clean Data'!$C:$C,TEXT(EDATE(A8,-1),"mmmm"))-1,"")</f>
        <v>1.2554927809165006E-2</v>
      </c>
      <c r="AA8" s="32">
        <f>IFERROR(SUMIFS('Clean Data'!$Y:$Y,'Clean Data'!$A:$A,"Rural+Urban",'Clean Data'!$B:$B,B8,'Clean Data'!$C:$C,C8)/SUMIFS('Clean Data'!$Y:$Y,'Clean Data'!$A:$A,"Rural+Urban",'Clean Data'!$B:$B,YEAR(EDATE(A8,-1)),'Clean Data'!$C:$C,TEXT(EDATE(A8,-1),"mmmm"))-1,"")</f>
        <v>2.2551092318534138E-2</v>
      </c>
      <c r="AB8" s="32">
        <f>IFERROR(SUMIFS('Clean Data'!$Z:$Z,'Clean Data'!$A:$A,"Rural+Urban",'Clean Data'!$B:$B,B8,'Clean Data'!$C:$C,C8)/SUMIFS('Clean Data'!$Z:$Z,'Clean Data'!$A:$A,"Rural+Urban",'Clean Data'!$B:$B,YEAR(EDATE(A8,-1)),'Clean Data'!$C:$C,TEXT(EDATE(A8,-1),"mmmm"))-1,"")</f>
        <v>1.2700534759358284E-2</v>
      </c>
      <c r="AC8" s="32">
        <f>IFERROR(SUMIFS('Clean Data'!$AA:$AA,'Clean Data'!$A:$A,"Rural+Urban",'Clean Data'!$B:$B,B8,'Clean Data'!$C:$C,C8)/SUMIFS('Clean Data'!$AA:$AA,'Clean Data'!$A:$A,"Rural+Urban",'Clean Data'!$B:$B,YEAR(EDATE(A8,-1)),'Clean Data'!$C:$C,TEXT(EDATE(A8,-1),"mmmm"))-1,"")</f>
        <v>1.8844221105527303E-3</v>
      </c>
      <c r="AD8" s="32">
        <f>IFERROR(SUMIFS('Clean Data'!$AB:$AB,'Clean Data'!$A:$A,"Rural+Urban",'Clean Data'!$B:$B,B8,'Clean Data'!$C:$C,C8)/SUMIFS('Clean Data'!$AB:$AB,'Clean Data'!$A:$A,"Rural+Urban",'Clean Data'!$B:$B,YEAR(EDATE(A8,-1)),'Clean Data'!$C:$C,TEXT(EDATE(A8,-1),"mmmm"))-1,"")</f>
        <v>-6.3775510204081565E-3</v>
      </c>
      <c r="AE8" s="32">
        <f>IFERROR(SUMIFS('Clean Data'!$AC:$AC,'Clean Data'!$A:$A,"Rural+Urban",'Clean Data'!$B:$B,B8,'Clean Data'!$C:$C,C8)/SUMIFS('Clean Data'!$AC:$AC,'Clean Data'!$A:$A,"Rural+Urban",'Clean Data'!$B:$B,YEAR(EDATE(A8,-1)),'Clean Data'!$C:$C,TEXT(EDATE(A8,-1),"mmmm"))-1,"")</f>
        <v>9.8749177090191598E-3</v>
      </c>
      <c r="AF8" s="32">
        <f>IFERROR(SUMIFS('Clean Data'!$AD:$AD,'Clean Data'!$A:$A,"Rural+Urban",'Clean Data'!$B:$B,B8,'Clean Data'!$C:$C,C8)/SUMIFS('Clean Data'!$AD:$AD,'Clean Data'!$A:$A,"Rural+Urban",'Clean Data'!$B:$B,YEAR(EDATE(A8,-1)),'Clean Data'!$C:$C,TEXT(EDATE(A8,-1),"mmmm"))-1,"")</f>
        <v>-4.4500953591863901E-3</v>
      </c>
    </row>
    <row r="9" spans="1:33" ht="15" customHeight="1" x14ac:dyDescent="0.2">
      <c r="A9" s="44">
        <v>44256</v>
      </c>
      <c r="B9" s="30">
        <v>2021</v>
      </c>
      <c r="C9" s="30" t="s">
        <v>92</v>
      </c>
      <c r="D9" s="12">
        <v>64.73</v>
      </c>
      <c r="E9" s="25">
        <f t="shared" si="0"/>
        <v>5.7334204508330711E-2</v>
      </c>
      <c r="F9" s="32">
        <f>IFERROR(SUMIFS('Clean Data'!$D:$D,'Clean Data'!$A:$A,"Rural+Urban",'Clean Data'!$B:$B,B9,'Clean Data'!$C:$C,C9)/SUMIFS('Clean Data'!$D:$D,'Clean Data'!$A:$A,"Rural+Urban",'Clean Data'!$B:$B,YEAR(EDATE(A9,-1)),'Clean Data'!$C:$C,TEXT(EDATE(A9,-1),"mmmm"))-1,"")</f>
        <v>-1.3860013860015341E-3</v>
      </c>
      <c r="G9" s="32">
        <f>IFERROR(SUMIFS('Clean Data'!$E:$E,'Clean Data'!$A:$A,"Rural+Urban",'Clean Data'!$B:$B,B9,'Clean Data'!$C:$C,C9)/SUMIFS('Clean Data'!$E:$E,'Clean Data'!$A:$A,"Rural+Urban",'Clean Data'!$B:$B,YEAR(EDATE(A9,-1)),'Clean Data'!$C:$C,TEXT(EDATE(A9,-1),"mmmm"))-1,"")</f>
        <v>3.0563002680965123E-2</v>
      </c>
      <c r="H9" s="32">
        <f>IFERROR(SUMIFS('Clean Data'!$F:$F,'Clean Data'!$A:$A,"Rural+Urban",'Clean Data'!$B:$B,B9,'Clean Data'!$C:$C,C9)/SUMIFS('Clean Data'!$F:$F,'Clean Data'!$A:$A,"Rural+Urban",'Clean Data'!$B:$B,YEAR(EDATE(A9,-1)),'Clean Data'!$C:$C,TEXT(EDATE(A9,-1),"mmmm"))-1,"")</f>
        <v>-2.9045643153526868E-2</v>
      </c>
      <c r="I9" s="32">
        <f>IFERROR(SUMIFS('Clean Data'!$G:$G,'Clean Data'!$A:$A,"Rural+Urban",'Clean Data'!$B:$B,B9,'Clean Data'!$C:$C,C9)/SUMIFS('Clean Data'!$G:$G,'Clean Data'!$A:$A,"Rural+Urban",'Clean Data'!$B:$B,YEAR(EDATE(A9,-1)),'Clean Data'!$C:$C,TEXT(EDATE(A9,-1),"mmmm"))-1,"")</f>
        <v>1.2928248222368044E-3</v>
      </c>
      <c r="J9" s="32">
        <f>IFERROR(SUMIFS('Clean Data'!$H:$H,'Clean Data'!$A:$A,"Rural+Urban",'Clean Data'!$B:$B,B9,'Clean Data'!$C:$C,C9)/SUMIFS('Clean Data'!$H:$H,'Clean Data'!$A:$A,"Rural+Urban",'Clean Data'!$B:$B,YEAR(EDATE(A9,-1)),'Clean Data'!$C:$C,TEXT(EDATE(A9,-1),"mmmm"))-1,"")</f>
        <v>3.2766225582860908E-2</v>
      </c>
      <c r="K9" s="32">
        <f>IFERROR(SUMIFS('Clean Data'!$I:$I,'Clean Data'!$A:$A,"Rural+Urban",'Clean Data'!$B:$B,B9,'Clean Data'!$C:$C,C9)/SUMIFS('Clean Data'!$I:$I,'Clean Data'!$A:$A,"Rural+Urban",'Clean Data'!$B:$B,YEAR(EDATE(A9,-1)),'Clean Data'!$C:$C,TEXT(EDATE(A9,-1),"mmmm"))-1,"")</f>
        <v>1.9907100199070937E-2</v>
      </c>
      <c r="L9" s="32">
        <f>IFERROR(SUMIFS('Clean Data'!$J:$J,'Clean Data'!$A:$A,"Rural+Urban",'Clean Data'!$B:$B,B9,'Clean Data'!$C:$C,C9)/SUMIFS('Clean Data'!$J:$J,'Clean Data'!$A:$A,"Rural+Urban",'Clean Data'!$B:$B,YEAR(EDATE(A9,-1)),'Clean Data'!$C:$C,TEXT(EDATE(A9,-1),"mmmm"))-1,"")</f>
        <v>-6.5625000000000044E-2</v>
      </c>
      <c r="M9" s="32">
        <f>IFERROR(SUMIFS('Clean Data'!$K:$K,'Clean Data'!$A:$A,"Rural+Urban",'Clean Data'!$B:$B,B9,'Clean Data'!$C:$C,C9)/SUMIFS('Clean Data'!$K:$K,'Clean Data'!$A:$A,"Rural+Urban",'Clean Data'!$B:$B,YEAR(EDATE(A9,-1)),'Clean Data'!$C:$C,TEXT(EDATE(A9,-1),"mmmm"))-1,"")</f>
        <v>6.297229219143663E-3</v>
      </c>
      <c r="N9" s="32">
        <f>IFERROR(SUMIFS('Clean Data'!$L:$L,'Clean Data'!$A:$A,"Rural+Urban",'Clean Data'!$B:$B,B9,'Clean Data'!$C:$C,C9)/SUMIFS('Clean Data'!$L:$L,'Clean Data'!$A:$A,"Rural+Urban",'Clean Data'!$B:$B,YEAR(EDATE(A9,-1)),'Clean Data'!$C:$C,TEXT(EDATE(A9,-1),"mmmm"))-1,"")</f>
        <v>-1.7730496453900457E-3</v>
      </c>
      <c r="O9" s="32">
        <f>IFERROR(SUMIFS('Clean Data'!$M:$M,'Clean Data'!$A:$A,"Rural+Urban",'Clean Data'!$B:$B,B9,'Clean Data'!$C:$C,C9)/SUMIFS('Clean Data'!$M:$M,'Clean Data'!$A:$A,"Rural+Urban",'Clean Data'!$B:$B,YEAR(EDATE(A9,-1)),'Clean Data'!$C:$C,TEXT(EDATE(A9,-1),"mmmm"))-1,"")</f>
        <v>-4.2630937880632214E-3</v>
      </c>
      <c r="P9" s="32">
        <f>IFERROR(SUMIFS('Clean Data'!$N:$N,'Clean Data'!$A:$A,"Rural+Urban",'Clean Data'!$B:$B,B9,'Clean Data'!$C:$C,C9)/SUMIFS('Clean Data'!$N:$N,'Clean Data'!$A:$A,"Rural+Urban",'Clean Data'!$B:$B,YEAR(EDATE(A9,-1)),'Clean Data'!$C:$C,TEXT(EDATE(A9,-1),"mmmm"))-1,"")</f>
        <v>6.4308681672025081E-3</v>
      </c>
      <c r="Q9" s="32">
        <f>IFERROR(SUMIFS('Clean Data'!$O:$O,'Clean Data'!$A:$A,"Rural+Urban",'Clean Data'!$B:$B,B9,'Clean Data'!$C:$C,C9)/SUMIFS('Clean Data'!$O:$O,'Clean Data'!$A:$A,"Rural+Urban",'Clean Data'!$B:$B,YEAR(EDATE(A9,-1)),'Clean Data'!$C:$C,TEXT(EDATE(A9,-1),"mmmm"))-1,"")</f>
        <v>4.179104477611828E-3</v>
      </c>
      <c r="R9" s="32">
        <f>IFERROR(SUMIFS('Clean Data'!$P:$P,'Clean Data'!$A:$A,"Rural+Urban",'Clean Data'!$B:$B,B9,'Clean Data'!$C:$C,C9)/SUMIFS('Clean Data'!$P:$P,'Clean Data'!$A:$A,"Rural+Urban",'Clean Data'!$B:$B,YEAR(EDATE(A9,-1)),'Clean Data'!$C:$C,TEXT(EDATE(A9,-1),"mmmm"))-1,"")</f>
        <v>-1.274697259400992E-3</v>
      </c>
      <c r="S9" s="32">
        <f>IFERROR(SUMIFS('Clean Data'!$Q:$Q,'Clean Data'!$A:$A,"Rural+Urban",'Clean Data'!$B:$B,B9,'Clean Data'!$C:$C,C9)/SUMIFS('Clean Data'!$Q:$Q,'Clean Data'!$A:$A,"Rural+Urban",'Clean Data'!$B:$B,YEAR(EDATE(A9,-1)),'Clean Data'!$C:$C,TEXT(EDATE(A9,-1),"mmmm"))-1,"")</f>
        <v>-1.0621348911312722E-3</v>
      </c>
      <c r="T9" s="32">
        <f>IFERROR(SUMIFS('Clean Data'!$R:$R,'Clean Data'!$A:$A,"Rural+Urban",'Clean Data'!$B:$B,B9,'Clean Data'!$C:$C,C9)/SUMIFS('Clean Data'!$R:$R,'Clean Data'!$A:$A,"Rural+Urban",'Clean Data'!$B:$B,YEAR(EDATE(A9,-1)),'Clean Data'!$C:$C,TEXT(EDATE(A9,-1),"mmmm"))-1,"")</f>
        <v>3.8167938931299439E-3</v>
      </c>
      <c r="U9" s="32">
        <f>IFERROR(SUMIFS('Clean Data'!$S:$S,'Clean Data'!$A:$A,"Rural+Urban",'Clean Data'!$B:$B,B9,'Clean Data'!$C:$C,C9)/SUMIFS('Clean Data'!$S:$S,'Clean Data'!$A:$A,"Rural+Urban",'Clean Data'!$B:$B,YEAR(EDATE(A9,-1)),'Clean Data'!$C:$C,TEXT(EDATE(A9,-1),"mmmm"))-1,"")</f>
        <v>3.3921302578019397E-3</v>
      </c>
      <c r="V9" s="32">
        <f>IFERROR(SUMIFS('Clean Data'!$T:$T,'Clean Data'!$A:$A,"Rural+Urban",'Clean Data'!$B:$B,B9,'Clean Data'!$C:$C,C9)/SUMIFS('Clean Data'!$T:$T,'Clean Data'!$A:$A,"Rural+Urban",'Clean Data'!$B:$B,YEAR(EDATE(A9,-1)),'Clean Data'!$C:$C,TEXT(EDATE(A9,-1),"mmmm"))-1,"")</f>
        <v>3.8510911424902705E-3</v>
      </c>
      <c r="W9" s="32">
        <f>IFERROR(SUMIFS('Clean Data'!$U:$U,'Clean Data'!$A:$A,"Rural+Urban",'Clean Data'!$B:$B,B9,'Clean Data'!$C:$C,C9)/SUMIFS('Clean Data'!$U:$U,'Clean Data'!$A:$A,"Rural+Urban",'Clean Data'!$B:$B,YEAR(EDATE(A9,-1)),'Clean Data'!$C:$C,TEXT(EDATE(A9,-1),"mmmm"))-1,"")</f>
        <v>6.2578222778464365E-4</v>
      </c>
      <c r="X9" s="32">
        <f>IFERROR(SUMIFS('Clean Data'!$V:$V,'Clean Data'!$A:$A,"Rural+Urban",'Clean Data'!$B:$B,B9,'Clean Data'!$C:$C,C9)/SUMIFS('Clean Data'!$V:$V,'Clean Data'!$A:$A,"Rural+Urban",'Clean Data'!$B:$B,YEAR(EDATE(A9,-1)),'Clean Data'!$C:$C,TEXT(EDATE(A9,-1),"mmmm"))-1,"")</f>
        <v>2.0341207349081403E-2</v>
      </c>
      <c r="Y9" s="32">
        <f>IFERROR(SUMIFS('Clean Data'!$W:$W,'Clean Data'!$A:$A,"Rural+Urban",'Clean Data'!$B:$B,B9,'Clean Data'!$C:$C,C9)/SUMIFS('Clean Data'!$W:$W,'Clean Data'!$A:$A,"Rural+Urban",'Clean Data'!$B:$B,YEAR(EDATE(A9,-1)),'Clean Data'!$C:$C,TEXT(EDATE(A9,-1),"mmmm"))-1,"")</f>
        <v>1.9880715705764551E-3</v>
      </c>
      <c r="Z9" s="32">
        <f>IFERROR(SUMIFS('Clean Data'!$X:$X,'Clean Data'!$A:$A,"Rural+Urban",'Clean Data'!$B:$B,B9,'Clean Data'!$C:$C,C9)/SUMIFS('Clean Data'!$X:$X,'Clean Data'!$A:$A,"Rural+Urban",'Clean Data'!$B:$B,YEAR(EDATE(A9,-1)),'Clean Data'!$C:$C,TEXT(EDATE(A9,-1),"mmmm"))-1,"")</f>
        <v>2.4798512089272418E-3</v>
      </c>
      <c r="AA9" s="32">
        <f>IFERROR(SUMIFS('Clean Data'!$Y:$Y,'Clean Data'!$A:$A,"Rural+Urban",'Clean Data'!$B:$B,B9,'Clean Data'!$C:$C,C9)/SUMIFS('Clean Data'!$Y:$Y,'Clean Data'!$A:$A,"Rural+Urban",'Clean Data'!$B:$B,YEAR(EDATE(A9,-1)),'Clean Data'!$C:$C,TEXT(EDATE(A9,-1),"mmmm"))-1,"")</f>
        <v>7.5809786354237296E-3</v>
      </c>
      <c r="AB9" s="32">
        <f>IFERROR(SUMIFS('Clean Data'!$Z:$Z,'Clean Data'!$A:$A,"Rural+Urban",'Clean Data'!$B:$B,B9,'Clean Data'!$C:$C,C9)/SUMIFS('Clean Data'!$Z:$Z,'Clean Data'!$A:$A,"Rural+Urban",'Clean Data'!$B:$B,YEAR(EDATE(A9,-1)),'Clean Data'!$C:$C,TEXT(EDATE(A9,-1),"mmmm"))-1,"")</f>
        <v>7.2607260726071932E-3</v>
      </c>
      <c r="AC9" s="32">
        <f>IFERROR(SUMIFS('Clean Data'!$AA:$AA,'Clean Data'!$A:$A,"Rural+Urban",'Clean Data'!$B:$B,B9,'Clean Data'!$C:$C,C9)/SUMIFS('Clean Data'!$AA:$AA,'Clean Data'!$A:$A,"Rural+Urban",'Clean Data'!$B:$B,YEAR(EDATE(A9,-1)),'Clean Data'!$C:$C,TEXT(EDATE(A9,-1),"mmmm"))-1,"")</f>
        <v>4.3887147335421872E-3</v>
      </c>
      <c r="AD9" s="32">
        <f>IFERROR(SUMIFS('Clean Data'!$AB:$AB,'Clean Data'!$A:$A,"Rural+Urban",'Clean Data'!$B:$B,B9,'Clean Data'!$C:$C,C9)/SUMIFS('Clean Data'!$AB:$AB,'Clean Data'!$A:$A,"Rural+Urban",'Clean Data'!$B:$B,YEAR(EDATE(A9,-1)),'Clean Data'!$C:$C,TEXT(EDATE(A9,-1),"mmmm"))-1,"")</f>
        <v>-1.2836970474967901E-2</v>
      </c>
      <c r="AE9" s="32">
        <f>IFERROR(SUMIFS('Clean Data'!$AC:$AC,'Clean Data'!$A:$A,"Rural+Urban",'Clean Data'!$B:$B,B9,'Clean Data'!$C:$C,C9)/SUMIFS('Clean Data'!$AC:$AC,'Clean Data'!$A:$A,"Rural+Urban",'Clean Data'!$B:$B,YEAR(EDATE(A9,-1)),'Clean Data'!$C:$C,TEXT(EDATE(A9,-1),"mmmm"))-1,"")</f>
        <v>2.6075619295957697E-3</v>
      </c>
      <c r="AF9" s="32">
        <f>IFERROR(SUMIFS('Clean Data'!$AD:$AD,'Clean Data'!$A:$A,"Rural+Urban",'Clean Data'!$B:$B,B9,'Clean Data'!$C:$C,C9)/SUMIFS('Clean Data'!$AD:$AD,'Clean Data'!$A:$A,"Rural+Urban",'Clean Data'!$B:$B,YEAR(EDATE(A9,-1)),'Clean Data'!$C:$C,TEXT(EDATE(A9,-1),"mmmm"))-1,"")</f>
        <v>1.2771392081738497E-3</v>
      </c>
    </row>
    <row r="10" spans="1:33" ht="15" customHeight="1" x14ac:dyDescent="0.2">
      <c r="A10" s="44">
        <v>44287</v>
      </c>
      <c r="B10" s="30">
        <v>2021</v>
      </c>
      <c r="C10" s="30" t="s">
        <v>93</v>
      </c>
      <c r="D10" s="12">
        <v>63.4</v>
      </c>
      <c r="E10" s="25">
        <f t="shared" si="0"/>
        <v>-2.0546887069365138E-2</v>
      </c>
      <c r="F10" s="32">
        <f>IFERROR(SUMIFS('Clean Data'!$D:$D,'Clean Data'!$A:$A,"Rural+Urban",'Clean Data'!$B:$B,B10,'Clean Data'!$C:$C,C10)/SUMIFS('Clean Data'!$D:$D,'Clean Data'!$A:$A,"Rural+Urban",'Clean Data'!$B:$B,YEAR(EDATE(A10,-1)),'Clean Data'!$C:$C,TEXT(EDATE(A10,-1),"mmmm"))-1,"")</f>
        <v>1.3879250520472119E-3</v>
      </c>
      <c r="G10" s="32">
        <f>IFERROR(SUMIFS('Clean Data'!$E:$E,'Clean Data'!$A:$A,"Rural+Urban",'Clean Data'!$B:$B,B10,'Clean Data'!$C:$C,C10)/SUMIFS('Clean Data'!$E:$E,'Clean Data'!$A:$A,"Rural+Urban",'Clean Data'!$B:$B,YEAR(EDATE(A10,-1)),'Clean Data'!$C:$C,TEXT(EDATE(A10,-1),"mmmm"))-1,"")</f>
        <v>3.0176899063475648E-2</v>
      </c>
      <c r="H10" s="32">
        <f>IFERROR(SUMIFS('Clean Data'!$F:$F,'Clean Data'!$A:$A,"Rural+Urban",'Clean Data'!$B:$B,B10,'Clean Data'!$C:$C,C10)/SUMIFS('Clean Data'!$F:$F,'Clean Data'!$A:$A,"Rural+Urban",'Clean Data'!$B:$B,YEAR(EDATE(A10,-1)),'Clean Data'!$C:$C,TEXT(EDATE(A10,-1),"mmmm"))-1,"")</f>
        <v>4.8840048840048667E-3</v>
      </c>
      <c r="I10" s="32">
        <f>IFERROR(SUMIFS('Clean Data'!$G:$G,'Clean Data'!$A:$A,"Rural+Urban",'Clean Data'!$B:$B,B10,'Clean Data'!$C:$C,C10)/SUMIFS('Clean Data'!$G:$G,'Clean Data'!$A:$A,"Rural+Urban",'Clean Data'!$B:$B,YEAR(EDATE(A10,-1)),'Clean Data'!$C:$C,TEXT(EDATE(A10,-1),"mmmm"))-1,"")</f>
        <v>3.2278889606196515E-3</v>
      </c>
      <c r="J10" s="32">
        <f>IFERROR(SUMIFS('Clean Data'!$H:$H,'Clean Data'!$A:$A,"Rural+Urban",'Clean Data'!$B:$B,B10,'Clean Data'!$C:$C,C10)/SUMIFS('Clean Data'!$H:$H,'Clean Data'!$A:$A,"Rural+Urban",'Clean Data'!$B:$B,YEAR(EDATE(A10,-1)),'Clean Data'!$C:$C,TEXT(EDATE(A10,-1),"mmmm"))-1,"")</f>
        <v>3.782794386821231E-2</v>
      </c>
      <c r="K10" s="32">
        <f>IFERROR(SUMIFS('Clean Data'!$I:$I,'Clean Data'!$A:$A,"Rural+Urban",'Clean Data'!$B:$B,B10,'Clean Data'!$C:$C,C10)/SUMIFS('Clean Data'!$I:$I,'Clean Data'!$A:$A,"Rural+Urban",'Clean Data'!$B:$B,YEAR(EDATE(A10,-1)),'Clean Data'!$C:$C,TEXT(EDATE(A10,-1),"mmmm"))-1,"")</f>
        <v>6.9616135328562256E-2</v>
      </c>
      <c r="L10" s="32">
        <f>IFERROR(SUMIFS('Clean Data'!$J:$J,'Clean Data'!$A:$A,"Rural+Urban",'Clean Data'!$B:$B,B10,'Clean Data'!$C:$C,C10)/SUMIFS('Clean Data'!$J:$J,'Clean Data'!$A:$A,"Rural+Urban",'Clean Data'!$B:$B,YEAR(EDATE(A10,-1)),'Clean Data'!$C:$C,TEXT(EDATE(A10,-1),"mmmm"))-1,"")</f>
        <v>-3.6120401337792707E-2</v>
      </c>
      <c r="M10" s="32">
        <f>IFERROR(SUMIFS('Clean Data'!$K:$K,'Clean Data'!$A:$A,"Rural+Urban",'Clean Data'!$B:$B,B10,'Clean Data'!$C:$C,C10)/SUMIFS('Clean Data'!$K:$K,'Clean Data'!$A:$A,"Rural+Urban",'Clean Data'!$B:$B,YEAR(EDATE(A10,-1)),'Clean Data'!$C:$C,TEXT(EDATE(A10,-1),"mmmm"))-1,"")</f>
        <v>1.1889862327909784E-2</v>
      </c>
      <c r="N10" s="32">
        <f>IFERROR(SUMIFS('Clean Data'!$L:$L,'Clean Data'!$A:$A,"Rural+Urban",'Clean Data'!$B:$B,B10,'Clean Data'!$C:$C,C10)/SUMIFS('Clean Data'!$L:$L,'Clean Data'!$A:$A,"Rural+Urban",'Clean Data'!$B:$B,YEAR(EDATE(A10,-1)),'Clean Data'!$C:$C,TEXT(EDATE(A10,-1),"mmmm"))-1,"")</f>
        <v>4.4404973357015098E-3</v>
      </c>
      <c r="O10" s="32">
        <f>IFERROR(SUMIFS('Clean Data'!$M:$M,'Clean Data'!$A:$A,"Rural+Urban",'Clean Data'!$B:$B,B10,'Clean Data'!$C:$C,C10)/SUMIFS('Clean Data'!$M:$M,'Clean Data'!$A:$A,"Rural+Urban",'Clean Data'!$B:$B,YEAR(EDATE(A10,-1)),'Clean Data'!$C:$C,TEXT(EDATE(A10,-1),"mmmm"))-1,"")</f>
        <v>2.4464831804280607E-3</v>
      </c>
      <c r="P10" s="32">
        <f>IFERROR(SUMIFS('Clean Data'!$N:$N,'Clean Data'!$A:$A,"Rural+Urban",'Clean Data'!$B:$B,B10,'Clean Data'!$C:$C,C10)/SUMIFS('Clean Data'!$N:$N,'Clean Data'!$A:$A,"Rural+Urban",'Clean Data'!$B:$B,YEAR(EDATE(A10,-1)),'Clean Data'!$C:$C,TEXT(EDATE(A10,-1),"mmmm"))-1,"")</f>
        <v>7.0287539936102483E-3</v>
      </c>
      <c r="Q10" s="32">
        <f>IFERROR(SUMIFS('Clean Data'!$O:$O,'Clean Data'!$A:$A,"Rural+Urban",'Clean Data'!$B:$B,B10,'Clean Data'!$C:$C,C10)/SUMIFS('Clean Data'!$O:$O,'Clean Data'!$A:$A,"Rural+Urban",'Clean Data'!$B:$B,YEAR(EDATE(A10,-1)),'Clean Data'!$C:$C,TEXT(EDATE(A10,-1),"mmmm"))-1,"")</f>
        <v>4.1617122473247559E-3</v>
      </c>
      <c r="R10" s="32">
        <f>IFERROR(SUMIFS('Clean Data'!$P:$P,'Clean Data'!$A:$A,"Rural+Urban",'Clean Data'!$B:$B,B10,'Clean Data'!$C:$C,C10)/SUMIFS('Clean Data'!$P:$P,'Clean Data'!$A:$A,"Rural+Urban",'Clean Data'!$B:$B,YEAR(EDATE(A10,-1)),'Clean Data'!$C:$C,TEXT(EDATE(A10,-1),"mmmm"))-1,"")</f>
        <v>8.2961072112317513E-3</v>
      </c>
      <c r="S10" s="32">
        <f>IFERROR(SUMIFS('Clean Data'!$Q:$Q,'Clean Data'!$A:$A,"Rural+Urban",'Clean Data'!$B:$B,B10,'Clean Data'!$C:$C,C10)/SUMIFS('Clean Data'!$Q:$Q,'Clean Data'!$A:$A,"Rural+Urban",'Clean Data'!$B:$B,YEAR(EDATE(A10,-1)),'Clean Data'!$C:$C,TEXT(EDATE(A10,-1),"mmmm"))-1,"")</f>
        <v>3.7214247740564588E-3</v>
      </c>
      <c r="T10" s="32">
        <f>IFERROR(SUMIFS('Clean Data'!$R:$R,'Clean Data'!$A:$A,"Rural+Urban",'Clean Data'!$B:$B,B10,'Clean Data'!$C:$C,C10)/SUMIFS('Clean Data'!$R:$R,'Clean Data'!$A:$A,"Rural+Urban",'Clean Data'!$B:$B,YEAR(EDATE(A10,-1)),'Clean Data'!$C:$C,TEXT(EDATE(A10,-1),"mmmm"))-1,"")</f>
        <v>6.3371356147021718E-3</v>
      </c>
      <c r="U10" s="32">
        <f>IFERROR(SUMIFS('Clean Data'!$S:$S,'Clean Data'!$A:$A,"Rural+Urban",'Clean Data'!$B:$B,B10,'Clean Data'!$C:$C,C10)/SUMIFS('Clean Data'!$S:$S,'Clean Data'!$A:$A,"Rural+Urban",'Clean Data'!$B:$B,YEAR(EDATE(A10,-1)),'Clean Data'!$C:$C,TEXT(EDATE(A10,-1),"mmmm"))-1,"")</f>
        <v>4.0567951318457585E-3</v>
      </c>
      <c r="V10" s="32">
        <f>IFERROR(SUMIFS('Clean Data'!$T:$T,'Clean Data'!$A:$A,"Rural+Urban",'Clean Data'!$B:$B,B10,'Clean Data'!$C:$C,C10)/SUMIFS('Clean Data'!$T:$T,'Clean Data'!$A:$A,"Rural+Urban",'Clean Data'!$B:$B,YEAR(EDATE(A10,-1)),'Clean Data'!$C:$C,TEXT(EDATE(A10,-1),"mmmm"))-1,"")</f>
        <v>5.7544757033247684E-3</v>
      </c>
      <c r="W10" s="32">
        <f>IFERROR(SUMIFS('Clean Data'!$U:$U,'Clean Data'!$A:$A,"Rural+Urban",'Clean Data'!$B:$B,B10,'Clean Data'!$C:$C,C10)/SUMIFS('Clean Data'!$U:$U,'Clean Data'!$A:$A,"Rural+Urban",'Clean Data'!$B:$B,YEAR(EDATE(A10,-1)),'Clean Data'!$C:$C,TEXT(EDATE(A10,-1),"mmmm"))-1,"")</f>
        <v>9.3808630393996673E-3</v>
      </c>
      <c r="X10" s="32">
        <f>IFERROR(SUMIFS('Clean Data'!$V:$V,'Clean Data'!$A:$A,"Rural+Urban",'Clean Data'!$B:$B,B10,'Clean Data'!$C:$C,C10)/SUMIFS('Clean Data'!$V:$V,'Clean Data'!$A:$A,"Rural+Urban",'Clean Data'!$B:$B,YEAR(EDATE(A10,-1)),'Clean Data'!$C:$C,TEXT(EDATE(A10,-1),"mmmm"))-1,"")</f>
        <v>6.430868167202064E-4</v>
      </c>
      <c r="Y10" s="32">
        <f>IFERROR(SUMIFS('Clean Data'!$W:$W,'Clean Data'!$A:$A,"Rural+Urban",'Clean Data'!$B:$B,B10,'Clean Data'!$C:$C,C10)/SUMIFS('Clean Data'!$W:$W,'Clean Data'!$A:$A,"Rural+Urban",'Clean Data'!$B:$B,YEAR(EDATE(A10,-1)),'Clean Data'!$C:$C,TEXT(EDATE(A10,-1),"mmmm"))-1,"")</f>
        <v>3.9682539682541762E-3</v>
      </c>
      <c r="Z10" s="32">
        <f>IFERROR(SUMIFS('Clean Data'!$X:$X,'Clean Data'!$A:$A,"Rural+Urban",'Clean Data'!$B:$B,B10,'Clean Data'!$C:$C,C10)/SUMIFS('Clean Data'!$X:$X,'Clean Data'!$A:$A,"Rural+Urban",'Clean Data'!$B:$B,YEAR(EDATE(A10,-1)),'Clean Data'!$C:$C,TEXT(EDATE(A10,-1),"mmmm"))-1,"")</f>
        <v>3.7105751391466324E-3</v>
      </c>
      <c r="AA10" s="32">
        <f>IFERROR(SUMIFS('Clean Data'!$Y:$Y,'Clean Data'!$A:$A,"Rural+Urban",'Clean Data'!$B:$B,B10,'Clean Data'!$C:$C,C10)/SUMIFS('Clean Data'!$Y:$Y,'Clean Data'!$A:$A,"Rural+Urban",'Clean Data'!$B:$B,YEAR(EDATE(A10,-1)),'Clean Data'!$C:$C,TEXT(EDATE(A10,-1),"mmmm"))-1,"")</f>
        <v>2.7359781121751858E-3</v>
      </c>
      <c r="AB10" s="32">
        <f>IFERROR(SUMIFS('Clean Data'!$Z:$Z,'Clean Data'!$A:$A,"Rural+Urban",'Clean Data'!$B:$B,B10,'Clean Data'!$C:$C,C10)/SUMIFS('Clean Data'!$Z:$Z,'Clean Data'!$A:$A,"Rural+Urban",'Clean Data'!$B:$B,YEAR(EDATE(A10,-1)),'Clean Data'!$C:$C,TEXT(EDATE(A10,-1),"mmmm"))-1,"")</f>
        <v>3.9318479685452878E-3</v>
      </c>
      <c r="AC10" s="32">
        <f>IFERROR(SUMIFS('Clean Data'!$AA:$AA,'Clean Data'!$A:$A,"Rural+Urban",'Clean Data'!$B:$B,B10,'Clean Data'!$C:$C,C10)/SUMIFS('Clean Data'!$AA:$AA,'Clean Data'!$A:$A,"Rural+Urban",'Clean Data'!$B:$B,YEAR(EDATE(A10,-1)),'Clean Data'!$C:$C,TEXT(EDATE(A10,-1),"mmmm"))-1,"")</f>
        <v>6.242197253434334E-4</v>
      </c>
      <c r="AD10" s="32">
        <f>IFERROR(SUMIFS('Clean Data'!$AB:$AB,'Clean Data'!$A:$A,"Rural+Urban",'Clean Data'!$B:$B,B10,'Clean Data'!$C:$C,C10)/SUMIFS('Clean Data'!$AB:$AB,'Clean Data'!$A:$A,"Rural+Urban",'Clean Data'!$B:$B,YEAR(EDATE(A10,-1)),'Clean Data'!$C:$C,TEXT(EDATE(A10,-1),"mmmm"))-1,"")</f>
        <v>1.040312093628093E-2</v>
      </c>
      <c r="AE10" s="32">
        <f>IFERROR(SUMIFS('Clean Data'!$AC:$AC,'Clean Data'!$A:$A,"Rural+Urban",'Clean Data'!$B:$B,B10,'Clean Data'!$C:$C,C10)/SUMIFS('Clean Data'!$AC:$AC,'Clean Data'!$A:$A,"Rural+Urban",'Clean Data'!$B:$B,YEAR(EDATE(A10,-1)),'Clean Data'!$C:$C,TEXT(EDATE(A10,-1),"mmmm"))-1,"")</f>
        <v>3.9011703511053764E-3</v>
      </c>
      <c r="AF10" s="32">
        <f>IFERROR(SUMIFS('Clean Data'!$AD:$AD,'Clean Data'!$A:$A,"Rural+Urban",'Clean Data'!$B:$B,B10,'Clean Data'!$C:$C,C10)/SUMIFS('Clean Data'!$AD:$AD,'Clean Data'!$A:$A,"Rural+Urban",'Clean Data'!$B:$B,YEAR(EDATE(A10,-1)),'Clean Data'!$C:$C,TEXT(EDATE(A10,-1),"mmmm"))-1,"")</f>
        <v>6.3775510204082675E-3</v>
      </c>
    </row>
    <row r="11" spans="1:33" ht="15" customHeight="1" x14ac:dyDescent="0.2">
      <c r="A11" s="44">
        <v>44317</v>
      </c>
      <c r="B11" s="30">
        <v>2021</v>
      </c>
      <c r="C11" s="30" t="s">
        <v>95</v>
      </c>
      <c r="D11" s="12">
        <v>66.95</v>
      </c>
      <c r="E11" s="25">
        <f t="shared" si="0"/>
        <v>5.5993690851735112E-2</v>
      </c>
      <c r="F11" s="32">
        <f>IFERROR(SUMIFS('Clean Data'!$D:$D,'Clean Data'!$A:$A,"Rural+Urban",'Clean Data'!$B:$B,B11,'Clean Data'!$C:$C,C11)/SUMIFS('Clean Data'!$D:$D,'Clean Data'!$A:$A,"Rural+Urban",'Clean Data'!$B:$B,YEAR(EDATE(A11,-1)),'Clean Data'!$C:$C,TEXT(EDATE(A11,-1),"mmmm"))-1,"")</f>
        <v>1.3860013860013787E-2</v>
      </c>
      <c r="G11" s="32">
        <f>IFERROR(SUMIFS('Clean Data'!$E:$E,'Clean Data'!$A:$A,"Rural+Urban",'Clean Data'!$B:$B,B11,'Clean Data'!$C:$C,C11)/SUMIFS('Clean Data'!$E:$E,'Clean Data'!$A:$A,"Rural+Urban",'Clean Data'!$B:$B,YEAR(EDATE(A11,-1)),'Clean Data'!$C:$C,TEXT(EDATE(A11,-1),"mmmm"))-1,"")</f>
        <v>1.2626262626262541E-2</v>
      </c>
      <c r="H11" s="32">
        <f>IFERROR(SUMIFS('Clean Data'!$F:$F,'Clean Data'!$A:$A,"Rural+Urban",'Clean Data'!$B:$B,B11,'Clean Data'!$C:$C,C11)/SUMIFS('Clean Data'!$F:$F,'Clean Data'!$A:$A,"Rural+Urban",'Clean Data'!$B:$B,YEAR(EDATE(A11,-1)),'Clean Data'!$C:$C,TEXT(EDATE(A11,-1),"mmmm"))-1,"")</f>
        <v>3.4629404617253945E-2</v>
      </c>
      <c r="I11" s="32">
        <f>IFERROR(SUMIFS('Clean Data'!$G:$G,'Clean Data'!$A:$A,"Rural+Urban",'Clean Data'!$B:$B,B11,'Clean Data'!$C:$C,C11)/SUMIFS('Clean Data'!$G:$G,'Clean Data'!$A:$A,"Rural+Urban",'Clean Data'!$B:$B,YEAR(EDATE(A11,-1)),'Clean Data'!$C:$C,TEXT(EDATE(A11,-1),"mmmm"))-1,"")</f>
        <v>4.5045045045044585E-3</v>
      </c>
      <c r="J11" s="32">
        <f>IFERROR(SUMIFS('Clean Data'!$H:$H,'Clean Data'!$A:$A,"Rural+Urban",'Clean Data'!$B:$B,B11,'Clean Data'!$C:$C,C11)/SUMIFS('Clean Data'!$H:$H,'Clean Data'!$A:$A,"Rural+Urban",'Clean Data'!$B:$B,YEAR(EDATE(A11,-1)),'Clean Data'!$C:$C,TEXT(EDATE(A11,-1),"mmmm"))-1,"")</f>
        <v>5.0558495002939408E-2</v>
      </c>
      <c r="K11" s="32">
        <f>IFERROR(SUMIFS('Clean Data'!$I:$I,'Clean Data'!$A:$A,"Rural+Urban",'Clean Data'!$B:$B,B11,'Clean Data'!$C:$C,C11)/SUMIFS('Clean Data'!$I:$I,'Clean Data'!$A:$A,"Rural+Urban",'Clean Data'!$B:$B,YEAR(EDATE(A11,-1)),'Clean Data'!$C:$C,TEXT(EDATE(A11,-1),"mmmm"))-1,"")</f>
        <v>1.6423357664233418E-2</v>
      </c>
      <c r="L11" s="32">
        <f>IFERROR(SUMIFS('Clean Data'!$J:$J,'Clean Data'!$A:$A,"Rural+Urban",'Clean Data'!$B:$B,B11,'Clean Data'!$C:$C,C11)/SUMIFS('Clean Data'!$J:$J,'Clean Data'!$A:$A,"Rural+Urban",'Clean Data'!$B:$B,YEAR(EDATE(A11,-1)),'Clean Data'!$C:$C,TEXT(EDATE(A11,-1),"mmmm"))-1,"")</f>
        <v>2.6370575988896583E-2</v>
      </c>
      <c r="M11" s="32">
        <f>IFERROR(SUMIFS('Clean Data'!$K:$K,'Clean Data'!$A:$A,"Rural+Urban",'Clean Data'!$B:$B,B11,'Clean Data'!$C:$C,C11)/SUMIFS('Clean Data'!$K:$K,'Clean Data'!$A:$A,"Rural+Urban",'Clean Data'!$B:$B,YEAR(EDATE(A11,-1)),'Clean Data'!$C:$C,TEXT(EDATE(A11,-1),"mmmm"))-1,"")</f>
        <v>2.2881880024737233E-2</v>
      </c>
      <c r="N11" s="32">
        <f>IFERROR(SUMIFS('Clean Data'!$L:$L,'Clean Data'!$A:$A,"Rural+Urban",'Clean Data'!$B:$B,B11,'Clean Data'!$C:$C,C11)/SUMIFS('Clean Data'!$L:$L,'Clean Data'!$A:$A,"Rural+Urban",'Clean Data'!$B:$B,YEAR(EDATE(A11,-1)),'Clean Data'!$C:$C,TEXT(EDATE(A11,-1),"mmmm"))-1,"")</f>
        <v>1.5030946065428763E-2</v>
      </c>
      <c r="O11" s="32">
        <f>IFERROR(SUMIFS('Clean Data'!$M:$M,'Clean Data'!$A:$A,"Rural+Urban",'Clean Data'!$B:$B,B11,'Clean Data'!$C:$C,C11)/SUMIFS('Clean Data'!$M:$M,'Clean Data'!$A:$A,"Rural+Urban",'Clean Data'!$B:$B,YEAR(EDATE(A11,-1)),'Clean Data'!$C:$C,TEXT(EDATE(A11,-1),"mmmm"))-1,"")</f>
        <v>2.6235509456985939E-2</v>
      </c>
      <c r="P11" s="32">
        <f>IFERROR(SUMIFS('Clean Data'!$N:$N,'Clean Data'!$A:$A,"Rural+Urban",'Clean Data'!$B:$B,B11,'Clean Data'!$C:$C,C11)/SUMIFS('Clean Data'!$N:$N,'Clean Data'!$A:$A,"Rural+Urban",'Clean Data'!$B:$B,YEAR(EDATE(A11,-1)),'Clean Data'!$C:$C,TEXT(EDATE(A11,-1),"mmmm"))-1,"")</f>
        <v>1.0786802030456899E-2</v>
      </c>
      <c r="Q11" s="32">
        <f>IFERROR(SUMIFS('Clean Data'!$O:$O,'Clean Data'!$A:$A,"Rural+Urban",'Clean Data'!$B:$B,B11,'Clean Data'!$C:$C,C11)/SUMIFS('Clean Data'!$O:$O,'Clean Data'!$A:$A,"Rural+Urban",'Clean Data'!$B:$B,YEAR(EDATE(A11,-1)),'Clean Data'!$C:$C,TEXT(EDATE(A11,-1),"mmmm"))-1,"")</f>
        <v>8.8809946714032417E-3</v>
      </c>
      <c r="R11" s="32">
        <f>IFERROR(SUMIFS('Clean Data'!$P:$P,'Clean Data'!$A:$A,"Rural+Urban",'Clean Data'!$B:$B,B11,'Clean Data'!$C:$C,C11)/SUMIFS('Clean Data'!$P:$P,'Clean Data'!$A:$A,"Rural+Urban",'Clean Data'!$B:$B,YEAR(EDATE(A11,-1)),'Clean Data'!$C:$C,TEXT(EDATE(A11,-1),"mmmm"))-1,"")</f>
        <v>1.7088607594936578E-2</v>
      </c>
      <c r="S11" s="32">
        <f>IFERROR(SUMIFS('Clean Data'!$Q:$Q,'Clean Data'!$A:$A,"Rural+Urban",'Clean Data'!$B:$B,B11,'Clean Data'!$C:$C,C11)/SUMIFS('Clean Data'!$Q:$Q,'Clean Data'!$A:$A,"Rural+Urban",'Clean Data'!$B:$B,YEAR(EDATE(A11,-1)),'Clean Data'!$C:$C,TEXT(EDATE(A11,-1),"mmmm"))-1,"")</f>
        <v>1.6419491525423657E-2</v>
      </c>
      <c r="T11" s="32">
        <f>IFERROR(SUMIFS('Clean Data'!$R:$R,'Clean Data'!$A:$A,"Rural+Urban",'Clean Data'!$B:$B,B11,'Clean Data'!$C:$C,C11)/SUMIFS('Clean Data'!$R:$R,'Clean Data'!$A:$A,"Rural+Urban",'Clean Data'!$B:$B,YEAR(EDATE(A11,-1)),'Clean Data'!$C:$C,TEXT(EDATE(A11,-1),"mmmm"))-1,"")</f>
        <v>1.8891687657430767E-2</v>
      </c>
      <c r="U11" s="32">
        <f>IFERROR(SUMIFS('Clean Data'!$S:$S,'Clean Data'!$A:$A,"Rural+Urban",'Clean Data'!$B:$B,B11,'Clean Data'!$C:$C,C11)/SUMIFS('Clean Data'!$S:$S,'Clean Data'!$A:$A,"Rural+Urban",'Clean Data'!$B:$B,YEAR(EDATE(A11,-1)),'Clean Data'!$C:$C,TEXT(EDATE(A11,-1),"mmmm"))-1,"")</f>
        <v>2.4242424242424176E-2</v>
      </c>
      <c r="V11" s="32">
        <f>IFERROR(SUMIFS('Clean Data'!$T:$T,'Clean Data'!$A:$A,"Rural+Urban",'Clean Data'!$B:$B,B11,'Clean Data'!$C:$C,C11)/SUMIFS('Clean Data'!$T:$T,'Clean Data'!$A:$A,"Rural+Urban",'Clean Data'!$B:$B,YEAR(EDATE(A11,-1)),'Clean Data'!$C:$C,TEXT(EDATE(A11,-1),"mmmm"))-1,"")</f>
        <v>1.9707565162110585E-2</v>
      </c>
      <c r="W11" s="32">
        <f>IFERROR(SUMIFS('Clean Data'!$U:$U,'Clean Data'!$A:$A,"Rural+Urban",'Clean Data'!$B:$B,B11,'Clean Data'!$C:$C,C11)/SUMIFS('Clean Data'!$U:$U,'Clean Data'!$A:$A,"Rural+Urban",'Clean Data'!$B:$B,YEAR(EDATE(A11,-1)),'Clean Data'!$C:$C,TEXT(EDATE(A11,-1),"mmmm"))-1,"")</f>
        <v>1.2391573729861882E-3</v>
      </c>
      <c r="X11" s="32">
        <f>IFERROR(SUMIFS('Clean Data'!$V:$V,'Clean Data'!$A:$A,"Rural+Urban",'Clean Data'!$B:$B,B11,'Clean Data'!$C:$C,C11)/SUMIFS('Clean Data'!$V:$V,'Clean Data'!$A:$A,"Rural+Urban",'Clean Data'!$B:$B,YEAR(EDATE(A11,-1)),'Clean Data'!$C:$C,TEXT(EDATE(A11,-1),"mmmm"))-1,"")</f>
        <v>2.4421593830334265E-2</v>
      </c>
      <c r="Y11" s="32">
        <f>IFERROR(SUMIFS('Clean Data'!$W:$W,'Clean Data'!$A:$A,"Rural+Urban",'Clean Data'!$B:$B,B11,'Clean Data'!$C:$C,C11)/SUMIFS('Clean Data'!$W:$W,'Clean Data'!$A:$A,"Rural+Urban",'Clean Data'!$B:$B,YEAR(EDATE(A11,-1)),'Clean Data'!$C:$C,TEXT(EDATE(A11,-1),"mmmm"))-1,"")</f>
        <v>1.9104084321475368E-2</v>
      </c>
      <c r="Z11" s="32">
        <f>IFERROR(SUMIFS('Clean Data'!$X:$X,'Clean Data'!$A:$A,"Rural+Urban",'Clean Data'!$B:$B,B11,'Clean Data'!$C:$C,C11)/SUMIFS('Clean Data'!$X:$X,'Clean Data'!$A:$A,"Rural+Urban",'Clean Data'!$B:$B,YEAR(EDATE(A11,-1)),'Clean Data'!$C:$C,TEXT(EDATE(A11,-1),"mmmm"))-1,"")</f>
        <v>2.1565003080714629E-2</v>
      </c>
      <c r="AA11" s="32">
        <f>IFERROR(SUMIFS('Clean Data'!$Y:$Y,'Clean Data'!$A:$A,"Rural+Urban",'Clean Data'!$B:$B,B11,'Clean Data'!$C:$C,C11)/SUMIFS('Clean Data'!$Y:$Y,'Clean Data'!$A:$A,"Rural+Urban",'Clean Data'!$B:$B,YEAR(EDATE(A11,-1)),'Clean Data'!$C:$C,TEXT(EDATE(A11,-1),"mmmm"))-1,"")</f>
        <v>1.568894952251032E-2</v>
      </c>
      <c r="AB11" s="32">
        <f>IFERROR(SUMIFS('Clean Data'!$Z:$Z,'Clean Data'!$A:$A,"Rural+Urban",'Clean Data'!$B:$B,B11,'Clean Data'!$C:$C,C11)/SUMIFS('Clean Data'!$Z:$Z,'Clean Data'!$A:$A,"Rural+Urban",'Clean Data'!$B:$B,YEAR(EDATE(A11,-1)),'Clean Data'!$C:$C,TEXT(EDATE(A11,-1),"mmmm"))-1,"")</f>
        <v>1.6971279373368287E-2</v>
      </c>
      <c r="AC11" s="32">
        <f>IFERROR(SUMIFS('Clean Data'!$AA:$AA,'Clean Data'!$A:$A,"Rural+Urban",'Clean Data'!$B:$B,B11,'Clean Data'!$C:$C,C11)/SUMIFS('Clean Data'!$AA:$AA,'Clean Data'!$A:$A,"Rural+Urban",'Clean Data'!$B:$B,YEAR(EDATE(A11,-1)),'Clean Data'!$C:$C,TEXT(EDATE(A11,-1),"mmmm"))-1,"")</f>
        <v>5.6144728633811258E-3</v>
      </c>
      <c r="AD11" s="32">
        <f>IFERROR(SUMIFS('Clean Data'!$AB:$AB,'Clean Data'!$A:$A,"Rural+Urban",'Clean Data'!$B:$B,B11,'Clean Data'!$C:$C,C11)/SUMIFS('Clean Data'!$AB:$AB,'Clean Data'!$A:$A,"Rural+Urban",'Clean Data'!$B:$B,YEAR(EDATE(A11,-1)),'Clean Data'!$C:$C,TEXT(EDATE(A11,-1),"mmmm"))-1,"")</f>
        <v>2.0592020592020477E-2</v>
      </c>
      <c r="AE11" s="32">
        <f>IFERROR(SUMIFS('Clean Data'!$AC:$AC,'Clean Data'!$A:$A,"Rural+Urban",'Clean Data'!$B:$B,B11,'Clean Data'!$C:$C,C11)/SUMIFS('Clean Data'!$AC:$AC,'Clean Data'!$A:$A,"Rural+Urban",'Clean Data'!$B:$B,YEAR(EDATE(A11,-1)),'Clean Data'!$C:$C,TEXT(EDATE(A11,-1),"mmmm"))-1,"")</f>
        <v>1.5544041450777257E-2</v>
      </c>
      <c r="AF11" s="32">
        <f>IFERROR(SUMIFS('Clean Data'!$AD:$AD,'Clean Data'!$A:$A,"Rural+Urban",'Clean Data'!$B:$B,B11,'Clean Data'!$C:$C,C11)/SUMIFS('Clean Data'!$AD:$AD,'Clean Data'!$A:$A,"Rural+Urban",'Clean Data'!$B:$B,YEAR(EDATE(A11,-1)),'Clean Data'!$C:$C,TEXT(EDATE(A11,-1),"mmmm"))-1,"")</f>
        <v>1.6476552598225558E-2</v>
      </c>
    </row>
    <row r="12" spans="1:33" ht="15" customHeight="1" x14ac:dyDescent="0.2">
      <c r="A12" s="44">
        <v>44348</v>
      </c>
      <c r="B12" s="30">
        <v>2021</v>
      </c>
      <c r="C12" s="30" t="s">
        <v>96</v>
      </c>
      <c r="D12" s="12">
        <v>71.98</v>
      </c>
      <c r="E12" s="25">
        <f t="shared" si="0"/>
        <v>7.5130694548170229E-2</v>
      </c>
      <c r="F12" s="32">
        <f>IFERROR(SUMIFS('Clean Data'!$D:$D,'Clean Data'!$A:$A,"Rural+Urban",'Clean Data'!$B:$B,B12,'Clean Data'!$C:$C,C12)/SUMIFS('Clean Data'!$D:$D,'Clean Data'!$A:$A,"Rural+Urban",'Clean Data'!$B:$B,YEAR(EDATE(A12,-1)),'Clean Data'!$C:$C,TEXT(EDATE(A12,-1),"mmmm"))-1,"")</f>
        <v>2.7341079972658111E-3</v>
      </c>
      <c r="G12" s="32">
        <f>IFERROR(SUMIFS('Clean Data'!$E:$E,'Clean Data'!$A:$A,"Rural+Urban",'Clean Data'!$B:$B,B12,'Clean Data'!$C:$C,C12)/SUMIFS('Clean Data'!$E:$E,'Clean Data'!$A:$A,"Rural+Urban",'Clean Data'!$B:$B,YEAR(EDATE(A12,-1)),'Clean Data'!$C:$C,TEXT(EDATE(A12,-1),"mmmm"))-1,"")</f>
        <v>7.4812967581048273E-3</v>
      </c>
      <c r="H12" s="32">
        <f>IFERROR(SUMIFS('Clean Data'!$F:$F,'Clean Data'!$A:$A,"Rural+Urban",'Clean Data'!$B:$B,B12,'Clean Data'!$C:$C,C12)/SUMIFS('Clean Data'!$F:$F,'Clean Data'!$A:$A,"Rural+Urban",'Clean Data'!$B:$B,YEAR(EDATE(A12,-1)),'Clean Data'!$C:$C,TEXT(EDATE(A12,-1),"mmmm"))-1,"")</f>
        <v>6.1068702290076216E-2</v>
      </c>
      <c r="I12" s="32">
        <f>IFERROR(SUMIFS('Clean Data'!$G:$G,'Clean Data'!$A:$A,"Rural+Urban",'Clean Data'!$B:$B,B12,'Clean Data'!$C:$C,C12)/SUMIFS('Clean Data'!$G:$G,'Clean Data'!$A:$A,"Rural+Urban",'Clean Data'!$B:$B,YEAR(EDATE(A12,-1)),'Clean Data'!$C:$C,TEXT(EDATE(A12,-1),"mmmm"))-1,"")</f>
        <v>6.4061499039080871E-4</v>
      </c>
      <c r="J12" s="32">
        <f>IFERROR(SUMIFS('Clean Data'!$H:$H,'Clean Data'!$A:$A,"Rural+Urban",'Clean Data'!$B:$B,B12,'Clean Data'!$C:$C,C12)/SUMIFS('Clean Data'!$H:$H,'Clean Data'!$A:$A,"Rural+Urban",'Clean Data'!$B:$B,YEAR(EDATE(A12,-1)),'Clean Data'!$C:$C,TEXT(EDATE(A12,-1),"mmmm"))-1,"")</f>
        <v>2.7979854504756485E-2</v>
      </c>
      <c r="K12" s="32">
        <f>IFERROR(SUMIFS('Clean Data'!$I:$I,'Clean Data'!$A:$A,"Rural+Urban",'Clean Data'!$B:$B,B12,'Clean Data'!$C:$C,C12)/SUMIFS('Clean Data'!$I:$I,'Clean Data'!$A:$A,"Rural+Urban",'Clean Data'!$B:$B,YEAR(EDATE(A12,-1)),'Clean Data'!$C:$C,TEXT(EDATE(A12,-1),"mmmm"))-1,"")</f>
        <v>-1.4961101137043742E-2</v>
      </c>
      <c r="L12" s="32">
        <f>IFERROR(SUMIFS('Clean Data'!$J:$J,'Clean Data'!$A:$A,"Rural+Urban",'Clean Data'!$B:$B,B12,'Clean Data'!$C:$C,C12)/SUMIFS('Clean Data'!$J:$J,'Clean Data'!$A:$A,"Rural+Urban",'Clean Data'!$B:$B,YEAR(EDATE(A12,-1)),'Clean Data'!$C:$C,TEXT(EDATE(A12,-1),"mmmm"))-1,"")</f>
        <v>5.070993914807298E-2</v>
      </c>
      <c r="M12" s="32">
        <f>IFERROR(SUMIFS('Clean Data'!$K:$K,'Clean Data'!$A:$A,"Rural+Urban",'Clean Data'!$B:$B,B12,'Clean Data'!$C:$C,C12)/SUMIFS('Clean Data'!$K:$K,'Clean Data'!$A:$A,"Rural+Urban",'Clean Data'!$B:$B,YEAR(EDATE(A12,-1)),'Clean Data'!$C:$C,TEXT(EDATE(A12,-1),"mmmm"))-1,"")</f>
        <v>3.6275695284160303E-3</v>
      </c>
      <c r="N12" s="32">
        <f>IFERROR(SUMIFS('Clean Data'!$L:$L,'Clean Data'!$A:$A,"Rural+Urban",'Clean Data'!$B:$B,B12,'Clean Data'!$C:$C,C12)/SUMIFS('Clean Data'!$L:$L,'Clean Data'!$A:$A,"Rural+Urban",'Clean Data'!$B:$B,YEAR(EDATE(A12,-1)),'Clean Data'!$C:$C,TEXT(EDATE(A12,-1),"mmmm"))-1,"")</f>
        <v>2.6132404181185009E-3</v>
      </c>
      <c r="O12" s="32">
        <f>IFERROR(SUMIFS('Clean Data'!$M:$M,'Clean Data'!$A:$A,"Rural+Urban",'Clean Data'!$B:$B,B12,'Clean Data'!$C:$C,C12)/SUMIFS('Clean Data'!$M:$M,'Clean Data'!$A:$A,"Rural+Urban",'Clean Data'!$B:$B,YEAR(EDATE(A12,-1)),'Clean Data'!$C:$C,TEXT(EDATE(A12,-1),"mmmm"))-1,"")</f>
        <v>1.7835909631391811E-3</v>
      </c>
      <c r="P12" s="32">
        <f>IFERROR(SUMIFS('Clean Data'!$N:$N,'Clean Data'!$A:$A,"Rural+Urban",'Clean Data'!$B:$B,B12,'Clean Data'!$C:$C,C12)/SUMIFS('Clean Data'!$N:$N,'Clean Data'!$A:$A,"Rural+Urban",'Clean Data'!$B:$B,YEAR(EDATE(A12,-1)),'Clean Data'!$C:$C,TEXT(EDATE(A12,-1),"mmmm"))-1,"")</f>
        <v>4.3942247332076079E-3</v>
      </c>
      <c r="Q12" s="32">
        <f>IFERROR(SUMIFS('Clean Data'!$O:$O,'Clean Data'!$A:$A,"Rural+Urban",'Clean Data'!$B:$B,B12,'Clean Data'!$C:$C,C12)/SUMIFS('Clean Data'!$O:$O,'Clean Data'!$A:$A,"Rural+Urban",'Clean Data'!$B:$B,YEAR(EDATE(A12,-1)),'Clean Data'!$C:$C,TEXT(EDATE(A12,-1),"mmmm"))-1,"")</f>
        <v>1.1737089201877993E-2</v>
      </c>
      <c r="R12" s="32">
        <f>IFERROR(SUMIFS('Clean Data'!$P:$P,'Clean Data'!$A:$A,"Rural+Urban",'Clean Data'!$B:$B,B12,'Clean Data'!$C:$C,C12)/SUMIFS('Clean Data'!$P:$P,'Clean Data'!$A:$A,"Rural+Urban",'Clean Data'!$B:$B,YEAR(EDATE(A12,-1)),'Clean Data'!$C:$C,TEXT(EDATE(A12,-1),"mmmm"))-1,"")</f>
        <v>1.1823273179838223E-2</v>
      </c>
      <c r="S12" s="32">
        <f>IFERROR(SUMIFS('Clean Data'!$Q:$Q,'Clean Data'!$A:$A,"Rural+Urban",'Clean Data'!$B:$B,B12,'Clean Data'!$C:$C,C12)/SUMIFS('Clean Data'!$Q:$Q,'Clean Data'!$A:$A,"Rural+Urban",'Clean Data'!$B:$B,YEAR(EDATE(A12,-1)),'Clean Data'!$C:$C,TEXT(EDATE(A12,-1),"mmmm"))-1,"")</f>
        <v>-5.7321521625846028E-3</v>
      </c>
      <c r="T12" s="32">
        <f>IFERROR(SUMIFS('Clean Data'!$R:$R,'Clean Data'!$A:$A,"Rural+Urban",'Clean Data'!$B:$B,B12,'Clean Data'!$C:$C,C12)/SUMIFS('Clean Data'!$R:$R,'Clean Data'!$A:$A,"Rural+Urban",'Clean Data'!$B:$B,YEAR(EDATE(A12,-1)),'Clean Data'!$C:$C,TEXT(EDATE(A12,-1),"mmmm"))-1,"")</f>
        <v>2.4721878862792313E-3</v>
      </c>
      <c r="U12" s="32">
        <f>IFERROR(SUMIFS('Clean Data'!$S:$S,'Clean Data'!$A:$A,"Rural+Urban",'Clean Data'!$B:$B,B12,'Clean Data'!$C:$C,C12)/SUMIFS('Clean Data'!$S:$S,'Clean Data'!$A:$A,"Rural+Urban",'Clean Data'!$B:$B,YEAR(EDATE(A12,-1)),'Clean Data'!$C:$C,TEXT(EDATE(A12,-1),"mmmm"))-1,"")</f>
        <v>-1.9723865877711022E-3</v>
      </c>
      <c r="V12" s="32">
        <f>IFERROR(SUMIFS('Clean Data'!$T:$T,'Clean Data'!$A:$A,"Rural+Urban",'Clean Data'!$B:$B,B12,'Clean Data'!$C:$C,C12)/SUMIFS('Clean Data'!$T:$T,'Clean Data'!$A:$A,"Rural+Urban",'Clean Data'!$B:$B,YEAR(EDATE(A12,-1)),'Clean Data'!$C:$C,TEXT(EDATE(A12,-1),"mmmm"))-1,"")</f>
        <v>1.8703241895261513E-3</v>
      </c>
      <c r="W12" s="32">
        <f>IFERROR(SUMIFS('Clean Data'!$U:$U,'Clean Data'!$A:$A,"Rural+Urban",'Clean Data'!$B:$B,B12,'Clean Data'!$C:$C,C12)/SUMIFS('Clean Data'!$U:$U,'Clean Data'!$A:$A,"Rural+Urban",'Clean Data'!$B:$B,YEAR(EDATE(A12,-1)),'Clean Data'!$C:$C,TEXT(EDATE(A12,-1),"mmmm"))-1,"")</f>
        <v>-6.8069306930692575E-3</v>
      </c>
      <c r="X12" s="32">
        <f>IFERROR(SUMIFS('Clean Data'!$V:$V,'Clean Data'!$A:$A,"Rural+Urban",'Clean Data'!$B:$B,B12,'Clean Data'!$C:$C,C12)/SUMIFS('Clean Data'!$V:$V,'Clean Data'!$A:$A,"Rural+Urban",'Clean Data'!$B:$B,YEAR(EDATE(A12,-1)),'Clean Data'!$C:$C,TEXT(EDATE(A12,-1),"mmmm"))-1,"")</f>
        <v>2.5094102885823144E-3</v>
      </c>
      <c r="Y12" s="32">
        <f>IFERROR(SUMIFS('Clean Data'!$W:$W,'Clean Data'!$A:$A,"Rural+Urban",'Clean Data'!$B:$B,B12,'Clean Data'!$C:$C,C12)/SUMIFS('Clean Data'!$W:$W,'Clean Data'!$A:$A,"Rural+Urban",'Clean Data'!$B:$B,YEAR(EDATE(A12,-1)),'Clean Data'!$C:$C,TEXT(EDATE(A12,-1),"mmmm"))-1,"")</f>
        <v>6.4641241111851322E-4</v>
      </c>
      <c r="Z12" s="32">
        <f>IFERROR(SUMIFS('Clean Data'!$X:$X,'Clean Data'!$A:$A,"Rural+Urban",'Clean Data'!$B:$B,B12,'Clean Data'!$C:$C,C12)/SUMIFS('Clean Data'!$X:$X,'Clean Data'!$A:$A,"Rural+Urban",'Clean Data'!$B:$B,YEAR(EDATE(A12,-1)),'Clean Data'!$C:$C,TEXT(EDATE(A12,-1),"mmmm"))-1,"")</f>
        <v>3.0156815440289808E-3</v>
      </c>
      <c r="AA12" s="32">
        <f>IFERROR(SUMIFS('Clean Data'!$Y:$Y,'Clean Data'!$A:$A,"Rural+Urban",'Clean Data'!$B:$B,B12,'Clean Data'!$C:$C,C12)/SUMIFS('Clean Data'!$Y:$Y,'Clean Data'!$A:$A,"Rural+Urban",'Clean Data'!$B:$B,YEAR(EDATE(A12,-1)),'Clean Data'!$C:$C,TEXT(EDATE(A12,-1),"mmmm"))-1,"")</f>
        <v>1.2088650100738674E-2</v>
      </c>
      <c r="AB12" s="32">
        <f>IFERROR(SUMIFS('Clean Data'!$Z:$Z,'Clean Data'!$A:$A,"Rural+Urban",'Clean Data'!$B:$B,B12,'Clean Data'!$C:$C,C12)/SUMIFS('Clean Data'!$Z:$Z,'Clean Data'!$A:$A,"Rural+Urban",'Clean Data'!$B:$B,YEAR(EDATE(A12,-1)),'Clean Data'!$C:$C,TEXT(EDATE(A12,-1),"mmmm"))-1,"")</f>
        <v>-5.7766367137356278E-3</v>
      </c>
      <c r="AC12" s="32">
        <f>IFERROR(SUMIFS('Clean Data'!$AA:$AA,'Clean Data'!$A:$A,"Rural+Urban",'Clean Data'!$B:$B,B12,'Clean Data'!$C:$C,C12)/SUMIFS('Clean Data'!$AA:$AA,'Clean Data'!$A:$A,"Rural+Urban",'Clean Data'!$B:$B,YEAR(EDATE(A12,-1)),'Clean Data'!$C:$C,TEXT(EDATE(A12,-1),"mmmm"))-1,"")</f>
        <v>3.1017369727046606E-3</v>
      </c>
      <c r="AD12" s="32">
        <f>IFERROR(SUMIFS('Clean Data'!$AB:$AB,'Clean Data'!$A:$A,"Rural+Urban",'Clean Data'!$B:$B,B12,'Clean Data'!$C:$C,C12)/SUMIFS('Clean Data'!$AB:$AB,'Clean Data'!$A:$A,"Rural+Urban",'Clean Data'!$B:$B,YEAR(EDATE(A12,-1)),'Clean Data'!$C:$C,TEXT(EDATE(A12,-1),"mmmm"))-1,"")</f>
        <v>1.2610340479193294E-3</v>
      </c>
      <c r="AE12" s="32">
        <f>IFERROR(SUMIFS('Clean Data'!$AC:$AC,'Clean Data'!$A:$A,"Rural+Urban",'Clean Data'!$B:$B,B12,'Clean Data'!$C:$C,C12)/SUMIFS('Clean Data'!$AC:$AC,'Clean Data'!$A:$A,"Rural+Urban",'Clean Data'!$B:$B,YEAR(EDATE(A12,-1)),'Clean Data'!$C:$C,TEXT(EDATE(A12,-1),"mmmm"))-1,"")</f>
        <v>5.1020408163264808E-3</v>
      </c>
      <c r="AF12" s="32">
        <f>IFERROR(SUMIFS('Clean Data'!$AD:$AD,'Clean Data'!$A:$A,"Rural+Urban",'Clean Data'!$B:$B,B12,'Clean Data'!$C:$C,C12)/SUMIFS('Clean Data'!$AD:$AD,'Clean Data'!$A:$A,"Rural+Urban",'Clean Data'!$B:$B,YEAR(EDATE(A12,-1)),'Clean Data'!$C:$C,TEXT(EDATE(A12,-1),"mmmm"))-1,"")</f>
        <v>5.610972568578676E-3</v>
      </c>
    </row>
    <row r="13" spans="1:33" ht="15" customHeight="1" x14ac:dyDescent="0.2">
      <c r="A13" s="44">
        <v>44378</v>
      </c>
      <c r="B13" s="30">
        <v>2021</v>
      </c>
      <c r="C13" s="30" t="s">
        <v>98</v>
      </c>
      <c r="D13" s="12">
        <v>73.540000000000006</v>
      </c>
      <c r="E13" s="25">
        <f t="shared" si="0"/>
        <v>2.1672686857460377E-2</v>
      </c>
      <c r="F13" s="32">
        <f>IFERROR(SUMIFS('Clean Data'!$D:$D,'Clean Data'!$A:$A,"Rural+Urban",'Clean Data'!$B:$B,B13,'Clean Data'!$C:$C,C13)/SUMIFS('Clean Data'!$D:$D,'Clean Data'!$A:$A,"Rural+Urban",'Clean Data'!$B:$B,YEAR(EDATE(A13,-1)),'Clean Data'!$C:$C,TEXT(EDATE(A13,-1),"mmmm"))-1,"")</f>
        <v>-2.0449897750509649E-3</v>
      </c>
      <c r="G13" s="32">
        <f>IFERROR(SUMIFS('Clean Data'!$E:$E,'Clean Data'!$A:$A,"Rural+Urban",'Clean Data'!$B:$B,B13,'Clean Data'!$C:$C,C13)/SUMIFS('Clean Data'!$E:$E,'Clean Data'!$A:$A,"Rural+Urban",'Clean Data'!$B:$B,YEAR(EDATE(A13,-1)),'Clean Data'!$C:$C,TEXT(EDATE(A13,-1),"mmmm"))-1,"")</f>
        <v>2.3762376237623783E-2</v>
      </c>
      <c r="H13" s="32">
        <f>IFERROR(SUMIFS('Clean Data'!$F:$F,'Clean Data'!$A:$A,"Rural+Urban",'Clean Data'!$B:$B,B13,'Clean Data'!$C:$C,C13)/SUMIFS('Clean Data'!$F:$F,'Clean Data'!$A:$A,"Rural+Urban",'Clean Data'!$B:$B,YEAR(EDATE(A13,-1)),'Clean Data'!$C:$C,TEXT(EDATE(A13,-1),"mmmm"))-1,"")</f>
        <v>8.3010514665191604E-3</v>
      </c>
      <c r="I13" s="32">
        <f>IFERROR(SUMIFS('Clean Data'!$G:$G,'Clean Data'!$A:$A,"Rural+Urban",'Clean Data'!$B:$B,B13,'Clean Data'!$C:$C,C13)/SUMIFS('Clean Data'!$G:$G,'Clean Data'!$A:$A,"Rural+Urban",'Clean Data'!$B:$B,YEAR(EDATE(A13,-1)),'Clean Data'!$C:$C,TEXT(EDATE(A13,-1),"mmmm"))-1,"")</f>
        <v>8.3226632522408472E-3</v>
      </c>
      <c r="J13" s="32">
        <f>IFERROR(SUMIFS('Clean Data'!$H:$H,'Clean Data'!$A:$A,"Rural+Urban",'Clean Data'!$B:$B,B13,'Clean Data'!$C:$C,C13)/SUMIFS('Clean Data'!$H:$H,'Clean Data'!$A:$A,"Rural+Urban",'Clean Data'!$B:$B,YEAR(EDATE(A13,-1)),'Clean Data'!$C:$C,TEXT(EDATE(A13,-1),"mmmm"))-1,"")</f>
        <v>-8.7098530212302849E-3</v>
      </c>
      <c r="K13" s="32">
        <f>IFERROR(SUMIFS('Clean Data'!$I:$I,'Clean Data'!$A:$A,"Rural+Urban",'Clean Data'!$B:$B,B13,'Clean Data'!$C:$C,C13)/SUMIFS('Clean Data'!$I:$I,'Clean Data'!$A:$A,"Rural+Urban",'Clean Data'!$B:$B,YEAR(EDATE(A13,-1)),'Clean Data'!$C:$C,TEXT(EDATE(A13,-1),"mmmm"))-1,"")</f>
        <v>-4.2527339003644027E-3</v>
      </c>
      <c r="L13" s="32">
        <f>IFERROR(SUMIFS('Clean Data'!$J:$J,'Clean Data'!$A:$A,"Rural+Urban",'Clean Data'!$B:$B,B13,'Clean Data'!$C:$C,C13)/SUMIFS('Clean Data'!$J:$J,'Clean Data'!$A:$A,"Rural+Urban",'Clean Data'!$B:$B,YEAR(EDATE(A13,-1)),'Clean Data'!$C:$C,TEXT(EDATE(A13,-1),"mmmm"))-1,"")</f>
        <v>5.6628056628056589E-2</v>
      </c>
      <c r="M13" s="32">
        <f>IFERROR(SUMIFS('Clean Data'!$K:$K,'Clean Data'!$A:$A,"Rural+Urban",'Clean Data'!$B:$B,B13,'Clean Data'!$C:$C,C13)/SUMIFS('Clean Data'!$K:$K,'Clean Data'!$A:$A,"Rural+Urban",'Clean Data'!$B:$B,YEAR(EDATE(A13,-1)),'Clean Data'!$C:$C,TEXT(EDATE(A13,-1),"mmmm"))-1,"")</f>
        <v>-1.2048192771084376E-2</v>
      </c>
      <c r="N13" s="32">
        <f>IFERROR(SUMIFS('Clean Data'!$L:$L,'Clean Data'!$A:$A,"Rural+Urban",'Clean Data'!$B:$B,B13,'Clean Data'!$C:$C,C13)/SUMIFS('Clean Data'!$L:$L,'Clean Data'!$A:$A,"Rural+Urban",'Clean Data'!$B:$B,YEAR(EDATE(A13,-1)),'Clean Data'!$C:$C,TEXT(EDATE(A13,-1),"mmmm"))-1,"")</f>
        <v>-5.2128583840138631E-3</v>
      </c>
      <c r="O13" s="32">
        <f>IFERROR(SUMIFS('Clean Data'!$M:$M,'Clean Data'!$A:$A,"Rural+Urban",'Clean Data'!$B:$B,B13,'Clean Data'!$C:$C,C13)/SUMIFS('Clean Data'!$M:$M,'Clean Data'!$A:$A,"Rural+Urban",'Clean Data'!$B:$B,YEAR(EDATE(A13,-1)),'Clean Data'!$C:$C,TEXT(EDATE(A13,-1),"mmmm"))-1,"")</f>
        <v>-1.1869436201780159E-3</v>
      </c>
      <c r="P13" s="32">
        <f>IFERROR(SUMIFS('Clean Data'!$N:$N,'Clean Data'!$A:$A,"Rural+Urban",'Clean Data'!$B:$B,B13,'Clean Data'!$C:$C,C13)/SUMIFS('Clean Data'!$N:$N,'Clean Data'!$A:$A,"Rural+Urban",'Clean Data'!$B:$B,YEAR(EDATE(A13,-1)),'Clean Data'!$C:$C,TEXT(EDATE(A13,-1),"mmmm"))-1,"")</f>
        <v>5.6249999999999911E-3</v>
      </c>
      <c r="Q13" s="32">
        <f>IFERROR(SUMIFS('Clean Data'!$O:$O,'Clean Data'!$A:$A,"Rural+Urban",'Clean Data'!$B:$B,B13,'Clean Data'!$C:$C,C13)/SUMIFS('Clean Data'!$O:$O,'Clean Data'!$A:$A,"Rural+Urban",'Clean Data'!$B:$B,YEAR(EDATE(A13,-1)),'Clean Data'!$C:$C,TEXT(EDATE(A13,-1),"mmmm"))-1,"")</f>
        <v>-1.1600928074246841E-3</v>
      </c>
      <c r="R13" s="32">
        <f>IFERROR(SUMIFS('Clean Data'!$P:$P,'Clean Data'!$A:$A,"Rural+Urban",'Clean Data'!$B:$B,B13,'Clean Data'!$C:$C,C13)/SUMIFS('Clean Data'!$P:$P,'Clean Data'!$A:$A,"Rural+Urban",'Clean Data'!$B:$B,YEAR(EDATE(A13,-1)),'Clean Data'!$C:$C,TEXT(EDATE(A13,-1),"mmmm"))-1,"")</f>
        <v>8.610086100861114E-3</v>
      </c>
      <c r="S13" s="32">
        <f>IFERROR(SUMIFS('Clean Data'!$Q:$Q,'Clean Data'!$A:$A,"Rural+Urban",'Clean Data'!$B:$B,B13,'Clean Data'!$C:$C,C13)/SUMIFS('Clean Data'!$Q:$Q,'Clean Data'!$A:$A,"Rural+Urban",'Clean Data'!$B:$B,YEAR(EDATE(A13,-1)),'Clean Data'!$C:$C,TEXT(EDATE(A13,-1),"mmmm"))-1,"")</f>
        <v>2.0964360587001352E-3</v>
      </c>
      <c r="T13" s="32">
        <f>IFERROR(SUMIFS('Clean Data'!$R:$R,'Clean Data'!$A:$A,"Rural+Urban",'Clean Data'!$B:$B,B13,'Clean Data'!$C:$C,C13)/SUMIFS('Clean Data'!$R:$R,'Clean Data'!$A:$A,"Rural+Urban",'Clean Data'!$B:$B,YEAR(EDATE(A13,-1)),'Clean Data'!$C:$C,TEXT(EDATE(A13,-1),"mmmm"))-1,"")</f>
        <v>3.6991368680643344E-3</v>
      </c>
      <c r="U13" s="32">
        <f>IFERROR(SUMIFS('Clean Data'!$S:$S,'Clean Data'!$A:$A,"Rural+Urban",'Clean Data'!$B:$B,B13,'Clean Data'!$C:$C,C13)/SUMIFS('Clean Data'!$S:$S,'Clean Data'!$A:$A,"Rural+Urban",'Clean Data'!$B:$B,YEAR(EDATE(A13,-1)),'Clean Data'!$C:$C,TEXT(EDATE(A13,-1),"mmmm"))-1,"")</f>
        <v>8.5638998682475709E-3</v>
      </c>
      <c r="V13" s="32">
        <f>IFERROR(SUMIFS('Clean Data'!$T:$T,'Clean Data'!$A:$A,"Rural+Urban",'Clean Data'!$B:$B,B13,'Clean Data'!$C:$C,C13)/SUMIFS('Clean Data'!$T:$T,'Clean Data'!$A:$A,"Rural+Urban",'Clean Data'!$B:$B,YEAR(EDATE(A13,-1)),'Clean Data'!$C:$C,TEXT(EDATE(A13,-1),"mmmm"))-1,"")</f>
        <v>4.3559427504669124E-3</v>
      </c>
      <c r="W13" s="32">
        <f>IFERROR(SUMIFS('Clean Data'!$U:$U,'Clean Data'!$A:$A,"Rural+Urban",'Clean Data'!$B:$B,B13,'Clean Data'!$C:$C,C13)/SUMIFS('Clean Data'!$U:$U,'Clean Data'!$A:$A,"Rural+Urban",'Clean Data'!$B:$B,YEAR(EDATE(A13,-1)),'Clean Data'!$C:$C,TEXT(EDATE(A13,-1),"mmmm"))-1,"")</f>
        <v>6.230529595015577E-3</v>
      </c>
      <c r="X13" s="32">
        <f>IFERROR(SUMIFS('Clean Data'!$V:$V,'Clean Data'!$A:$A,"Rural+Urban",'Clean Data'!$B:$B,B13,'Clean Data'!$C:$C,C13)/SUMIFS('Clean Data'!$V:$V,'Clean Data'!$A:$A,"Rural+Urban",'Clean Data'!$B:$B,YEAR(EDATE(A13,-1)),'Clean Data'!$C:$C,TEXT(EDATE(A13,-1),"mmmm"))-1,"")</f>
        <v>5.632040050062459E-3</v>
      </c>
      <c r="Y13" s="32">
        <f>IFERROR(SUMIFS('Clean Data'!$W:$W,'Clean Data'!$A:$A,"Rural+Urban",'Clean Data'!$B:$B,B13,'Clean Data'!$C:$C,C13)/SUMIFS('Clean Data'!$W:$W,'Clean Data'!$A:$A,"Rural+Urban",'Clean Data'!$B:$B,YEAR(EDATE(A13,-1)),'Clean Data'!$C:$C,TEXT(EDATE(A13,-1),"mmmm"))-1,"")</f>
        <v>6.4599483204135222E-3</v>
      </c>
      <c r="Z13" s="32">
        <f>IFERROR(SUMIFS('Clean Data'!$X:$X,'Clean Data'!$A:$A,"Rural+Urban",'Clean Data'!$B:$B,B13,'Clean Data'!$C:$C,C13)/SUMIFS('Clean Data'!$X:$X,'Clean Data'!$A:$A,"Rural+Urban",'Clean Data'!$B:$B,YEAR(EDATE(A13,-1)),'Clean Data'!$C:$C,TEXT(EDATE(A13,-1),"mmmm"))-1,"")</f>
        <v>4.2092603728201006E-3</v>
      </c>
      <c r="AA13" s="32">
        <f>IFERROR(SUMIFS('Clean Data'!$Y:$Y,'Clean Data'!$A:$A,"Rural+Urban",'Clean Data'!$B:$B,B13,'Clean Data'!$C:$C,C13)/SUMIFS('Clean Data'!$Y:$Y,'Clean Data'!$A:$A,"Rural+Urban",'Clean Data'!$B:$B,YEAR(EDATE(A13,-1)),'Clean Data'!$C:$C,TEXT(EDATE(A13,-1),"mmmm"))-1,"")</f>
        <v>1.5925680159256883E-2</v>
      </c>
      <c r="AB13" s="32">
        <f>IFERROR(SUMIFS('Clean Data'!$Z:$Z,'Clean Data'!$A:$A,"Rural+Urban",'Clean Data'!$B:$B,B13,'Clean Data'!$C:$C,C13)/SUMIFS('Clean Data'!$Z:$Z,'Clean Data'!$A:$A,"Rural+Urban",'Clean Data'!$B:$B,YEAR(EDATE(A13,-1)),'Clean Data'!$C:$C,TEXT(EDATE(A13,-1),"mmmm"))-1,"")</f>
        <v>2.5823111684959432E-3</v>
      </c>
      <c r="AC13" s="32">
        <f>IFERROR(SUMIFS('Clean Data'!$AA:$AA,'Clean Data'!$A:$A,"Rural+Urban",'Clean Data'!$B:$B,B13,'Clean Data'!$C:$C,C13)/SUMIFS('Clean Data'!$AA:$AA,'Clean Data'!$A:$A,"Rural+Urban",'Clean Data'!$B:$B,YEAR(EDATE(A13,-1)),'Clean Data'!$C:$C,TEXT(EDATE(A13,-1),"mmmm"))-1,"")</f>
        <v>9.27643784786647E-3</v>
      </c>
      <c r="AD13" s="32">
        <f>IFERROR(SUMIFS('Clean Data'!$AB:$AB,'Clean Data'!$A:$A,"Rural+Urban",'Clean Data'!$B:$B,B13,'Clean Data'!$C:$C,C13)/SUMIFS('Clean Data'!$AB:$AB,'Clean Data'!$A:$A,"Rural+Urban",'Clean Data'!$B:$B,YEAR(EDATE(A13,-1)),'Clean Data'!$C:$C,TEXT(EDATE(A13,-1),"mmmm"))-1,"")</f>
        <v>8.1863979848866286E-3</v>
      </c>
      <c r="AE13" s="32">
        <f>IFERROR(SUMIFS('Clean Data'!$AC:$AC,'Clean Data'!$A:$A,"Rural+Urban",'Clean Data'!$B:$B,B13,'Clean Data'!$C:$C,C13)/SUMIFS('Clean Data'!$AC:$AC,'Clean Data'!$A:$A,"Rural+Urban",'Clean Data'!$B:$B,YEAR(EDATE(A13,-1)),'Clean Data'!$C:$C,TEXT(EDATE(A13,-1),"mmmm"))-1,"")</f>
        <v>8.8832487309644659E-3</v>
      </c>
      <c r="AF13" s="32">
        <f>IFERROR(SUMIFS('Clean Data'!$AD:$AD,'Clean Data'!$A:$A,"Rural+Urban",'Clean Data'!$B:$B,B13,'Clean Data'!$C:$C,C13)/SUMIFS('Clean Data'!$AD:$AD,'Clean Data'!$A:$A,"Rural+Urban",'Clean Data'!$B:$B,YEAR(EDATE(A13,-1)),'Clean Data'!$C:$C,TEXT(EDATE(A13,-1),"mmmm"))-1,"")</f>
        <v>7.4395536267823914E-3</v>
      </c>
    </row>
    <row r="14" spans="1:33" ht="15" customHeight="1" x14ac:dyDescent="0.2">
      <c r="A14" s="44">
        <v>44409</v>
      </c>
      <c r="B14" s="30">
        <v>2021</v>
      </c>
      <c r="C14" s="30" t="s">
        <v>100</v>
      </c>
      <c r="D14" s="12">
        <v>69.8</v>
      </c>
      <c r="E14" s="25">
        <f t="shared" si="0"/>
        <v>-5.0856676638564191E-2</v>
      </c>
      <c r="F14" s="32">
        <f>IFERROR(SUMIFS('Clean Data'!$D:$D,'Clean Data'!$A:$A,"Rural+Urban",'Clean Data'!$B:$B,B14,'Clean Data'!$C:$C,C14)/SUMIFS('Clean Data'!$D:$D,'Clean Data'!$A:$A,"Rural+Urban",'Clean Data'!$B:$B,YEAR(EDATE(A14,-1)),'Clean Data'!$C:$C,TEXT(EDATE(A14,-1),"mmmm"))-1,"")</f>
        <v>1.36612021857907E-3</v>
      </c>
      <c r="G14" s="32">
        <f>IFERROR(SUMIFS('Clean Data'!$E:$E,'Clean Data'!$A:$A,"Rural+Urban",'Clean Data'!$B:$B,B14,'Clean Data'!$C:$C,C14)/SUMIFS('Clean Data'!$E:$E,'Clean Data'!$A:$A,"Rural+Urban",'Clean Data'!$B:$B,YEAR(EDATE(A14,-1)),'Clean Data'!$C:$C,TEXT(EDATE(A14,-1),"mmmm"))-1,"")</f>
        <v>-1.3539651837524258E-2</v>
      </c>
      <c r="H14" s="32">
        <f>IFERROR(SUMIFS('Clean Data'!$F:$F,'Clean Data'!$A:$A,"Rural+Urban",'Clean Data'!$B:$B,B14,'Clean Data'!$C:$C,C14)/SUMIFS('Clean Data'!$F:$F,'Clean Data'!$A:$A,"Rural+Urban",'Clean Data'!$B:$B,YEAR(EDATE(A14,-1)),'Clean Data'!$C:$C,TEXT(EDATE(A14,-1),"mmmm"))-1,"")</f>
        <v>-5.1591657519209577E-2</v>
      </c>
      <c r="I14" s="32">
        <f>IFERROR(SUMIFS('Clean Data'!$G:$G,'Clean Data'!$A:$A,"Rural+Urban",'Clean Data'!$B:$B,B14,'Clean Data'!$C:$C,C14)/SUMIFS('Clean Data'!$G:$G,'Clean Data'!$A:$A,"Rural+Urban",'Clean Data'!$B:$B,YEAR(EDATE(A14,-1)),'Clean Data'!$C:$C,TEXT(EDATE(A14,-1),"mmmm"))-1,"")</f>
        <v>5.7142857142857828E-3</v>
      </c>
      <c r="J14" s="32">
        <f>IFERROR(SUMIFS('Clean Data'!$H:$H,'Clean Data'!$A:$A,"Rural+Urban",'Clean Data'!$B:$B,B14,'Clean Data'!$C:$C,C14)/SUMIFS('Clean Data'!$H:$H,'Clean Data'!$A:$A,"Rural+Urban",'Clean Data'!$B:$B,YEAR(EDATE(A14,-1)),'Clean Data'!$C:$C,TEXT(EDATE(A14,-1),"mmmm"))-1,"")</f>
        <v>3.2399780340472306E-2</v>
      </c>
      <c r="K14" s="32">
        <f>IFERROR(SUMIFS('Clean Data'!$I:$I,'Clean Data'!$A:$A,"Rural+Urban",'Clean Data'!$B:$B,B14,'Clean Data'!$C:$C,C14)/SUMIFS('Clean Data'!$I:$I,'Clean Data'!$A:$A,"Rural+Urban",'Clean Data'!$B:$B,YEAR(EDATE(A14,-1)),'Clean Data'!$C:$C,TEXT(EDATE(A14,-1),"mmmm"))-1,"")</f>
        <v>-4.3319097010372176E-2</v>
      </c>
      <c r="L14" s="32">
        <f>IFERROR(SUMIFS('Clean Data'!$J:$J,'Clean Data'!$A:$A,"Rural+Urban",'Clean Data'!$B:$B,B14,'Clean Data'!$C:$C,C14)/SUMIFS('Clean Data'!$J:$J,'Clean Data'!$A:$A,"Rural+Urban",'Clean Data'!$B:$B,YEAR(EDATE(A14,-1)),'Clean Data'!$C:$C,TEXT(EDATE(A14,-1),"mmmm"))-1,"")</f>
        <v>-1.218026796589522E-2</v>
      </c>
      <c r="M14" s="32">
        <f>IFERROR(SUMIFS('Clean Data'!$K:$K,'Clean Data'!$A:$A,"Rural+Urban",'Clean Data'!$B:$B,B14,'Clean Data'!$C:$C,C14)/SUMIFS('Clean Data'!$K:$K,'Clean Data'!$A:$A,"Rural+Urban",'Clean Data'!$B:$B,YEAR(EDATE(A14,-1)),'Clean Data'!$C:$C,TEXT(EDATE(A14,-1),"mmmm"))-1,"")</f>
        <v>6.0975609756086513E-4</v>
      </c>
      <c r="N14" s="32">
        <f>IFERROR(SUMIFS('Clean Data'!$L:$L,'Clean Data'!$A:$A,"Rural+Urban",'Clean Data'!$B:$B,B14,'Clean Data'!$C:$C,C14)/SUMIFS('Clean Data'!$L:$L,'Clean Data'!$A:$A,"Rural+Urban",'Clean Data'!$B:$B,YEAR(EDATE(A14,-1)),'Clean Data'!$C:$C,TEXT(EDATE(A14,-1),"mmmm"))-1,"")</f>
        <v>4.5414847161572069E-2</v>
      </c>
      <c r="O14" s="32">
        <f>IFERROR(SUMIFS('Clean Data'!$M:$M,'Clean Data'!$A:$A,"Rural+Urban",'Clean Data'!$B:$B,B14,'Clean Data'!$C:$C,C14)/SUMIFS('Clean Data'!$M:$M,'Clean Data'!$A:$A,"Rural+Urban",'Clean Data'!$B:$B,YEAR(EDATE(A14,-1)),'Clean Data'!$C:$C,TEXT(EDATE(A14,-1),"mmmm"))-1,"")</f>
        <v>2.9708853238266109E-3</v>
      </c>
      <c r="P14" s="32">
        <f>IFERROR(SUMIFS('Clean Data'!$N:$N,'Clean Data'!$A:$A,"Rural+Urban",'Clean Data'!$B:$B,B14,'Clean Data'!$C:$C,C14)/SUMIFS('Clean Data'!$N:$N,'Clean Data'!$A:$A,"Rural+Urban",'Clean Data'!$B:$B,YEAR(EDATE(A14,-1)),'Clean Data'!$C:$C,TEXT(EDATE(A14,-1),"mmmm"))-1,"")</f>
        <v>1.1187072715972635E-2</v>
      </c>
      <c r="Q14" s="32">
        <f>IFERROR(SUMIFS('Clean Data'!$O:$O,'Clean Data'!$A:$A,"Rural+Urban",'Clean Data'!$B:$B,B14,'Clean Data'!$C:$C,C14)/SUMIFS('Clean Data'!$O:$O,'Clean Data'!$A:$A,"Rural+Urban",'Clean Data'!$B:$B,YEAR(EDATE(A14,-1)),'Clean Data'!$C:$C,TEXT(EDATE(A14,-1),"mmmm"))-1,"")</f>
        <v>9.8722415795586826E-3</v>
      </c>
      <c r="R14" s="32">
        <f>IFERROR(SUMIFS('Clean Data'!$P:$P,'Clean Data'!$A:$A,"Rural+Urban",'Clean Data'!$B:$B,B14,'Clean Data'!$C:$C,C14)/SUMIFS('Clean Data'!$P:$P,'Clean Data'!$A:$A,"Rural+Urban",'Clean Data'!$B:$B,YEAR(EDATE(A14,-1)),'Clean Data'!$C:$C,TEXT(EDATE(A14,-1),"mmmm"))-1,"")</f>
        <v>0</v>
      </c>
      <c r="S14" s="32">
        <f>IFERROR(SUMIFS('Clean Data'!$Q:$Q,'Clean Data'!$A:$A,"Rural+Urban",'Clean Data'!$B:$B,B14,'Clean Data'!$C:$C,C14)/SUMIFS('Clean Data'!$Q:$Q,'Clean Data'!$A:$A,"Rural+Urban",'Clean Data'!$B:$B,YEAR(EDATE(A14,-1)),'Clean Data'!$C:$C,TEXT(EDATE(A14,-1),"mmmm"))-1,"")</f>
        <v>4.7071129707112469E-3</v>
      </c>
      <c r="T14" s="32">
        <f>IFERROR(SUMIFS('Clean Data'!$R:$R,'Clean Data'!$A:$A,"Rural+Urban",'Clean Data'!$B:$B,B14,'Clean Data'!$C:$C,C14)/SUMIFS('Clean Data'!$R:$R,'Clean Data'!$A:$A,"Rural+Urban",'Clean Data'!$B:$B,YEAR(EDATE(A14,-1)),'Clean Data'!$C:$C,TEXT(EDATE(A14,-1),"mmmm"))-1,"")</f>
        <v>1.0442260442260265E-2</v>
      </c>
      <c r="U14" s="32">
        <f>IFERROR(SUMIFS('Clean Data'!$S:$S,'Clean Data'!$A:$A,"Rural+Urban",'Clean Data'!$B:$B,B14,'Clean Data'!$C:$C,C14)/SUMIFS('Clean Data'!$S:$S,'Clean Data'!$A:$A,"Rural+Urban",'Clean Data'!$B:$B,YEAR(EDATE(A14,-1)),'Clean Data'!$C:$C,TEXT(EDATE(A14,-1),"mmmm"))-1,"")</f>
        <v>1.4369693011103912E-2</v>
      </c>
      <c r="V14" s="32">
        <f>IFERROR(SUMIFS('Clean Data'!$T:$T,'Clean Data'!$A:$A,"Rural+Urban",'Clean Data'!$B:$B,B14,'Clean Data'!$C:$C,C14)/SUMIFS('Clean Data'!$T:$T,'Clean Data'!$A:$A,"Rural+Urban",'Clean Data'!$B:$B,YEAR(EDATE(A14,-1)),'Clean Data'!$C:$C,TEXT(EDATE(A14,-1),"mmmm"))-1,"")</f>
        <v>1.1152416356877248E-2</v>
      </c>
      <c r="W14" s="32">
        <f>IFERROR(SUMIFS('Clean Data'!$U:$U,'Clean Data'!$A:$A,"Rural+Urban",'Clean Data'!$B:$B,B14,'Clean Data'!$C:$C,C14)/SUMIFS('Clean Data'!$U:$U,'Clean Data'!$A:$A,"Rural+Urban",'Clean Data'!$B:$B,YEAR(EDATE(A14,-1)),'Clean Data'!$C:$C,TEXT(EDATE(A14,-1),"mmmm"))-1,"")</f>
        <v>3.7151702786377694E-3</v>
      </c>
      <c r="X14" s="32">
        <f>IFERROR(SUMIFS('Clean Data'!$V:$V,'Clean Data'!$A:$A,"Rural+Urban",'Clean Data'!$B:$B,B14,'Clean Data'!$C:$C,C14)/SUMIFS('Clean Data'!$V:$V,'Clean Data'!$A:$A,"Rural+Urban",'Clean Data'!$B:$B,YEAR(EDATE(A14,-1)),'Clean Data'!$C:$C,TEXT(EDATE(A14,-1),"mmmm"))-1,"")</f>
        <v>1.1823273179838223E-2</v>
      </c>
      <c r="Y14" s="32">
        <f>IFERROR(SUMIFS('Clean Data'!$W:$W,'Clean Data'!$A:$A,"Rural+Urban",'Clean Data'!$B:$B,B14,'Clean Data'!$C:$C,C14)/SUMIFS('Clean Data'!$W:$W,'Clean Data'!$A:$A,"Rural+Urban",'Clean Data'!$B:$B,YEAR(EDATE(A14,-1)),'Clean Data'!$C:$C,TEXT(EDATE(A14,-1),"mmmm"))-1,"")</f>
        <v>1.0911424903722544E-2</v>
      </c>
      <c r="Z14" s="32">
        <f>IFERROR(SUMIFS('Clean Data'!$X:$X,'Clean Data'!$A:$A,"Rural+Urban",'Clean Data'!$B:$B,B14,'Clean Data'!$C:$C,C14)/SUMIFS('Clean Data'!$X:$X,'Clean Data'!$A:$A,"Rural+Urban",'Clean Data'!$B:$B,YEAR(EDATE(A14,-1)),'Clean Data'!$C:$C,TEXT(EDATE(A14,-1),"mmmm"))-1,"")</f>
        <v>8.3832335329341312E-3</v>
      </c>
      <c r="AA14" s="32">
        <f>IFERROR(SUMIFS('Clean Data'!$Y:$Y,'Clean Data'!$A:$A,"Rural+Urban",'Clean Data'!$B:$B,B14,'Clean Data'!$C:$C,C14)/SUMIFS('Clean Data'!$Y:$Y,'Clean Data'!$A:$A,"Rural+Urban",'Clean Data'!$B:$B,YEAR(EDATE(A14,-1)),'Clean Data'!$C:$C,TEXT(EDATE(A14,-1),"mmmm"))-1,"")</f>
        <v>5.878510777269863E-3</v>
      </c>
      <c r="AB14" s="32">
        <f>IFERROR(SUMIFS('Clean Data'!$Z:$Z,'Clean Data'!$A:$A,"Rural+Urban",'Clean Data'!$B:$B,B14,'Clean Data'!$C:$C,C14)/SUMIFS('Clean Data'!$Z:$Z,'Clean Data'!$A:$A,"Rural+Urban",'Clean Data'!$B:$B,YEAR(EDATE(A14,-1)),'Clean Data'!$C:$C,TEXT(EDATE(A14,-1),"mmmm"))-1,"")</f>
        <v>1.4810045074050038E-2</v>
      </c>
      <c r="AC14" s="32">
        <f>IFERROR(SUMIFS('Clean Data'!$AA:$AA,'Clean Data'!$A:$A,"Rural+Urban",'Clean Data'!$B:$B,B14,'Clean Data'!$C:$C,C14)/SUMIFS('Clean Data'!$AA:$AA,'Clean Data'!$A:$A,"Rural+Urban",'Clean Data'!$B:$B,YEAR(EDATE(A14,-1)),'Clean Data'!$C:$C,TEXT(EDATE(A14,-1),"mmmm"))-1,"")</f>
        <v>3.6764705882355031E-3</v>
      </c>
      <c r="AD14" s="32">
        <f>IFERROR(SUMIFS('Clean Data'!$AB:$AB,'Clean Data'!$A:$A,"Rural+Urban",'Clean Data'!$B:$B,B14,'Clean Data'!$C:$C,C14)/SUMIFS('Clean Data'!$AB:$AB,'Clean Data'!$A:$A,"Rural+Urban",'Clean Data'!$B:$B,YEAR(EDATE(A14,-1)),'Clean Data'!$C:$C,TEXT(EDATE(A14,-1),"mmmm"))-1,"")</f>
        <v>-6.2460961898813672E-4</v>
      </c>
      <c r="AE14" s="32">
        <f>IFERROR(SUMIFS('Clean Data'!$AC:$AC,'Clean Data'!$A:$A,"Rural+Urban",'Clean Data'!$B:$B,B14,'Clean Data'!$C:$C,C14)/SUMIFS('Clean Data'!$AC:$AC,'Clean Data'!$A:$A,"Rural+Urban",'Clean Data'!$B:$B,YEAR(EDATE(A14,-1)),'Clean Data'!$C:$C,TEXT(EDATE(A14,-1),"mmmm"))-1,"")</f>
        <v>6.2893081761006275E-3</v>
      </c>
      <c r="AF14" s="32">
        <f>IFERROR(SUMIFS('Clean Data'!$AD:$AD,'Clean Data'!$A:$A,"Rural+Urban",'Clean Data'!$B:$B,B14,'Clean Data'!$C:$C,C14)/SUMIFS('Clean Data'!$AD:$AD,'Clean Data'!$A:$A,"Rural+Urban",'Clean Data'!$B:$B,YEAR(EDATE(A14,-1)),'Clean Data'!$C:$C,TEXT(EDATE(A14,-1),"mmmm"))-1,"")</f>
        <v>4.3076923076923457E-3</v>
      </c>
    </row>
    <row r="15" spans="1:33" ht="15" customHeight="1" x14ac:dyDescent="0.2">
      <c r="A15" s="44">
        <v>44440</v>
      </c>
      <c r="B15" s="30">
        <v>2021</v>
      </c>
      <c r="C15" s="30" t="s">
        <v>102</v>
      </c>
      <c r="D15" s="12">
        <v>73.13</v>
      </c>
      <c r="E15" s="25">
        <f t="shared" si="0"/>
        <v>4.770773638968473E-2</v>
      </c>
      <c r="F15" s="32">
        <f>IFERROR(SUMIFS('Clean Data'!$D:$D,'Clean Data'!$A:$A,"Rural+Urban",'Clean Data'!$B:$B,B15,'Clean Data'!$C:$C,C15)/SUMIFS('Clean Data'!$D:$D,'Clean Data'!$A:$A,"Rural+Urban",'Clean Data'!$B:$B,YEAR(EDATE(A15,-1)),'Clean Data'!$C:$C,TEXT(EDATE(A15,-1),"mmmm"))-1,"")</f>
        <v>0</v>
      </c>
      <c r="G15" s="32">
        <f>IFERROR(SUMIFS('Clean Data'!$E:$E,'Clean Data'!$A:$A,"Rural+Urban",'Clean Data'!$B:$B,B15,'Clean Data'!$C:$C,C15)/SUMIFS('Clean Data'!$E:$E,'Clean Data'!$A:$A,"Rural+Urban",'Clean Data'!$B:$B,YEAR(EDATE(A15,-1)),'Clean Data'!$C:$C,TEXT(EDATE(A15,-1),"mmmm"))-1,"")</f>
        <v>0</v>
      </c>
      <c r="H15" s="32">
        <f>IFERROR(SUMIFS('Clean Data'!$F:$F,'Clean Data'!$A:$A,"Rural+Urban",'Clean Data'!$B:$B,B15,'Clean Data'!$C:$C,C15)/SUMIFS('Clean Data'!$F:$F,'Clean Data'!$A:$A,"Rural+Urban",'Clean Data'!$B:$B,YEAR(EDATE(A15,-1)),'Clean Data'!$C:$C,TEXT(EDATE(A15,-1),"mmmm"))-1,"")</f>
        <v>0</v>
      </c>
      <c r="I15" s="32">
        <f>IFERROR(SUMIFS('Clean Data'!$G:$G,'Clean Data'!$A:$A,"Rural+Urban",'Clean Data'!$B:$B,B15,'Clean Data'!$C:$C,C15)/SUMIFS('Clean Data'!$G:$G,'Clean Data'!$A:$A,"Rural+Urban",'Clean Data'!$B:$B,YEAR(EDATE(A15,-1)),'Clean Data'!$C:$C,TEXT(EDATE(A15,-1),"mmmm"))-1,"")</f>
        <v>0</v>
      </c>
      <c r="J15" s="32">
        <f>IFERROR(SUMIFS('Clean Data'!$H:$H,'Clean Data'!$A:$A,"Rural+Urban",'Clean Data'!$B:$B,B15,'Clean Data'!$C:$C,C15)/SUMIFS('Clean Data'!$H:$H,'Clean Data'!$A:$A,"Rural+Urban",'Clean Data'!$B:$B,YEAR(EDATE(A15,-1)),'Clean Data'!$C:$C,TEXT(EDATE(A15,-1),"mmmm"))-1,"")</f>
        <v>0</v>
      </c>
      <c r="K15" s="32">
        <f>IFERROR(SUMIFS('Clean Data'!$I:$I,'Clean Data'!$A:$A,"Rural+Urban",'Clean Data'!$B:$B,B15,'Clean Data'!$C:$C,C15)/SUMIFS('Clean Data'!$I:$I,'Clean Data'!$A:$A,"Rural+Urban",'Clean Data'!$B:$B,YEAR(EDATE(A15,-1)),'Clean Data'!$C:$C,TEXT(EDATE(A15,-1),"mmmm"))-1,"")</f>
        <v>-6.3775510204100438E-4</v>
      </c>
      <c r="L15" s="32">
        <f>IFERROR(SUMIFS('Clean Data'!$J:$J,'Clean Data'!$A:$A,"Rural+Urban",'Clean Data'!$B:$B,B15,'Clean Data'!$C:$C,C15)/SUMIFS('Clean Data'!$J:$J,'Clean Data'!$A:$A,"Rural+Urban",'Clean Data'!$B:$B,YEAR(EDATE(A15,-1)),'Clean Data'!$C:$C,TEXT(EDATE(A15,-1),"mmmm"))-1,"")</f>
        <v>6.1652281134416675E-4</v>
      </c>
      <c r="M15" s="32">
        <f>IFERROR(SUMIFS('Clean Data'!$K:$K,'Clean Data'!$A:$A,"Rural+Urban",'Clean Data'!$B:$B,B15,'Clean Data'!$C:$C,C15)/SUMIFS('Clean Data'!$K:$K,'Clean Data'!$A:$A,"Rural+Urban",'Clean Data'!$B:$B,YEAR(EDATE(A15,-1)),'Clean Data'!$C:$C,TEXT(EDATE(A15,-1),"mmmm"))-1,"")</f>
        <v>0</v>
      </c>
      <c r="N15" s="32">
        <f>IFERROR(SUMIFS('Clean Data'!$L:$L,'Clean Data'!$A:$A,"Rural+Urban",'Clean Data'!$B:$B,B15,'Clean Data'!$C:$C,C15)/SUMIFS('Clean Data'!$L:$L,'Clean Data'!$A:$A,"Rural+Urban",'Clean Data'!$B:$B,YEAR(EDATE(A15,-1)),'Clean Data'!$C:$C,TEXT(EDATE(A15,-1),"mmmm"))-1,"")</f>
        <v>0</v>
      </c>
      <c r="O15" s="32">
        <f>IFERROR(SUMIFS('Clean Data'!$M:$M,'Clean Data'!$A:$A,"Rural+Urban",'Clean Data'!$B:$B,B15,'Clean Data'!$C:$C,C15)/SUMIFS('Clean Data'!$M:$M,'Clean Data'!$A:$A,"Rural+Urban",'Clean Data'!$B:$B,YEAR(EDATE(A15,-1)),'Clean Data'!$C:$C,TEXT(EDATE(A15,-1),"mmmm"))-1,"")</f>
        <v>0</v>
      </c>
      <c r="P15" s="32">
        <f>IFERROR(SUMIFS('Clean Data'!$N:$N,'Clean Data'!$A:$A,"Rural+Urban",'Clean Data'!$B:$B,B15,'Clean Data'!$C:$C,C15)/SUMIFS('Clean Data'!$N:$N,'Clean Data'!$A:$A,"Rural+Urban",'Clean Data'!$B:$B,YEAR(EDATE(A15,-1)),'Clean Data'!$C:$C,TEXT(EDATE(A15,-1),"mmmm"))-1,"")</f>
        <v>0</v>
      </c>
      <c r="Q15" s="32">
        <f>IFERROR(SUMIFS('Clean Data'!$O:$O,'Clean Data'!$A:$A,"Rural+Urban",'Clean Data'!$B:$B,B15,'Clean Data'!$C:$C,C15)/SUMIFS('Clean Data'!$O:$O,'Clean Data'!$A:$A,"Rural+Urban",'Clean Data'!$B:$B,YEAR(EDATE(A15,-1)),'Clean Data'!$C:$C,TEXT(EDATE(A15,-1),"mmmm"))-1,"")</f>
        <v>0</v>
      </c>
      <c r="R15" s="32">
        <f>IFERROR(SUMIFS('Clean Data'!$P:$P,'Clean Data'!$A:$A,"Rural+Urban",'Clean Data'!$B:$B,B15,'Clean Data'!$C:$C,C15)/SUMIFS('Clean Data'!$P:$P,'Clean Data'!$A:$A,"Rural+Urban",'Clean Data'!$B:$B,YEAR(EDATE(A15,-1)),'Clean Data'!$C:$C,TEXT(EDATE(A15,-1),"mmmm"))-1,"")</f>
        <v>0</v>
      </c>
      <c r="S15" s="32">
        <f>IFERROR(SUMIFS('Clean Data'!$Q:$Q,'Clean Data'!$A:$A,"Rural+Urban",'Clean Data'!$B:$B,B15,'Clean Data'!$C:$C,C15)/SUMIFS('Clean Data'!$Q:$Q,'Clean Data'!$A:$A,"Rural+Urban",'Clean Data'!$B:$B,YEAR(EDATE(A15,-1)),'Clean Data'!$C:$C,TEXT(EDATE(A15,-1),"mmmm"))-1,"")</f>
        <v>0</v>
      </c>
      <c r="T15" s="32">
        <f>IFERROR(SUMIFS('Clean Data'!$R:$R,'Clean Data'!$A:$A,"Rural+Urban",'Clean Data'!$B:$B,B15,'Clean Data'!$C:$C,C15)/SUMIFS('Clean Data'!$R:$R,'Clean Data'!$A:$A,"Rural+Urban",'Clean Data'!$B:$B,YEAR(EDATE(A15,-1)),'Clean Data'!$C:$C,TEXT(EDATE(A15,-1),"mmmm"))-1,"")</f>
        <v>6.0790273556232677E-4</v>
      </c>
      <c r="U15" s="32">
        <f>IFERROR(SUMIFS('Clean Data'!$S:$S,'Clean Data'!$A:$A,"Rural+Urban",'Clean Data'!$B:$B,B15,'Clean Data'!$C:$C,C15)/SUMIFS('Clean Data'!$S:$S,'Clean Data'!$A:$A,"Rural+Urban",'Clean Data'!$B:$B,YEAR(EDATE(A15,-1)),'Clean Data'!$C:$C,TEXT(EDATE(A15,-1),"mmmm"))-1,"")</f>
        <v>0</v>
      </c>
      <c r="V15" s="32">
        <f>IFERROR(SUMIFS('Clean Data'!$T:$T,'Clean Data'!$A:$A,"Rural+Urban",'Clean Data'!$B:$B,B15,'Clean Data'!$C:$C,C15)/SUMIFS('Clean Data'!$T:$T,'Clean Data'!$A:$A,"Rural+Urban",'Clean Data'!$B:$B,YEAR(EDATE(A15,-1)),'Clean Data'!$C:$C,TEXT(EDATE(A15,-1),"mmmm"))-1,"")</f>
        <v>6.1274509803932453E-4</v>
      </c>
      <c r="W15" s="32">
        <f>IFERROR(SUMIFS('Clean Data'!$U:$U,'Clean Data'!$A:$A,"Rural+Urban",'Clean Data'!$B:$B,B15,'Clean Data'!$C:$C,C15)/SUMIFS('Clean Data'!$U:$U,'Clean Data'!$A:$A,"Rural+Urban",'Clean Data'!$B:$B,YEAR(EDATE(A15,-1)),'Clean Data'!$C:$C,TEXT(EDATE(A15,-1),"mmmm"))-1,"")</f>
        <v>0</v>
      </c>
      <c r="X15" s="32">
        <f>IFERROR(SUMIFS('Clean Data'!$V:$V,'Clean Data'!$A:$A,"Rural+Urban",'Clean Data'!$B:$B,B15,'Clean Data'!$C:$C,C15)/SUMIFS('Clean Data'!$V:$V,'Clean Data'!$A:$A,"Rural+Urban",'Clean Data'!$B:$B,YEAR(EDATE(A15,-1)),'Clean Data'!$C:$C,TEXT(EDATE(A15,-1),"mmmm"))-1,"")</f>
        <v>0</v>
      </c>
      <c r="Y15" s="32">
        <f>IFERROR(SUMIFS('Clean Data'!$W:$W,'Clean Data'!$A:$A,"Rural+Urban",'Clean Data'!$B:$B,B15,'Clean Data'!$C:$C,C15)/SUMIFS('Clean Data'!$W:$W,'Clean Data'!$A:$A,"Rural+Urban",'Clean Data'!$B:$B,YEAR(EDATE(A15,-1)),'Clean Data'!$C:$C,TEXT(EDATE(A15,-1),"mmmm"))-1,"")</f>
        <v>0</v>
      </c>
      <c r="Z15" s="32">
        <f>IFERROR(SUMIFS('Clean Data'!$X:$X,'Clean Data'!$A:$A,"Rural+Urban",'Clean Data'!$B:$B,B15,'Clean Data'!$C:$C,C15)/SUMIFS('Clean Data'!$X:$X,'Clean Data'!$A:$A,"Rural+Urban",'Clean Data'!$B:$B,YEAR(EDATE(A15,-1)),'Clean Data'!$C:$C,TEXT(EDATE(A15,-1),"mmmm"))-1,"")</f>
        <v>0</v>
      </c>
      <c r="AA15" s="32">
        <f>IFERROR(SUMIFS('Clean Data'!$Y:$Y,'Clean Data'!$A:$A,"Rural+Urban",'Clean Data'!$B:$B,B15,'Clean Data'!$C:$C,C15)/SUMIFS('Clean Data'!$Y:$Y,'Clean Data'!$A:$A,"Rural+Urban",'Clean Data'!$B:$B,YEAR(EDATE(A15,-1)),'Clean Data'!$C:$C,TEXT(EDATE(A15,-1),"mmmm"))-1,"")</f>
        <v>0</v>
      </c>
      <c r="AB15" s="32">
        <f>IFERROR(SUMIFS('Clean Data'!$Z:$Z,'Clean Data'!$A:$A,"Rural+Urban",'Clean Data'!$B:$B,B15,'Clean Data'!$C:$C,C15)/SUMIFS('Clean Data'!$Z:$Z,'Clean Data'!$A:$A,"Rural+Urban",'Clean Data'!$B:$B,YEAR(EDATE(A15,-1)),'Clean Data'!$C:$C,TEXT(EDATE(A15,-1),"mmmm"))-1,"")</f>
        <v>6.3451776649747771E-4</v>
      </c>
      <c r="AC15" s="32">
        <f>IFERROR(SUMIFS('Clean Data'!$AA:$AA,'Clean Data'!$A:$A,"Rural+Urban",'Clean Data'!$B:$B,B15,'Clean Data'!$C:$C,C15)/SUMIFS('Clean Data'!$AA:$AA,'Clean Data'!$A:$A,"Rural+Urban",'Clean Data'!$B:$B,YEAR(EDATE(A15,-1)),'Clean Data'!$C:$C,TEXT(EDATE(A15,-1),"mmmm"))-1,"")</f>
        <v>-6.1050061050071935E-4</v>
      </c>
      <c r="AD15" s="32">
        <f>IFERROR(SUMIFS('Clean Data'!$AB:$AB,'Clean Data'!$A:$A,"Rural+Urban",'Clean Data'!$B:$B,B15,'Clean Data'!$C:$C,C15)/SUMIFS('Clean Data'!$AB:$AB,'Clean Data'!$A:$A,"Rural+Urban",'Clean Data'!$B:$B,YEAR(EDATE(A15,-1)),'Clean Data'!$C:$C,TEXT(EDATE(A15,-1),"mmmm"))-1,"")</f>
        <v>0</v>
      </c>
      <c r="AE15" s="32">
        <f>IFERROR(SUMIFS('Clean Data'!$AC:$AC,'Clean Data'!$A:$A,"Rural+Urban",'Clean Data'!$B:$B,B15,'Clean Data'!$C:$C,C15)/SUMIFS('Clean Data'!$AC:$AC,'Clean Data'!$A:$A,"Rural+Urban",'Clean Data'!$B:$B,YEAR(EDATE(A15,-1)),'Clean Data'!$C:$C,TEXT(EDATE(A15,-1),"mmmm"))-1,"")</f>
        <v>0</v>
      </c>
      <c r="AF15" s="32">
        <f>IFERROR(SUMIFS('Clean Data'!$AD:$AD,'Clean Data'!$A:$A,"Rural+Urban",'Clean Data'!$B:$B,B15,'Clean Data'!$C:$C,C15)/SUMIFS('Clean Data'!$AD:$AD,'Clean Data'!$A:$A,"Rural+Urban",'Clean Data'!$B:$B,YEAR(EDATE(A15,-1)),'Clean Data'!$C:$C,TEXT(EDATE(A15,-1),"mmmm"))-1,"")</f>
        <v>0</v>
      </c>
    </row>
    <row r="16" spans="1:33" ht="15" customHeight="1" x14ac:dyDescent="0.2">
      <c r="A16" s="44">
        <v>44470</v>
      </c>
      <c r="B16" s="30">
        <v>2021</v>
      </c>
      <c r="C16" s="30" t="s">
        <v>104</v>
      </c>
      <c r="D16" s="12">
        <v>82.11</v>
      </c>
      <c r="E16" s="25">
        <f t="shared" si="0"/>
        <v>0.12279502256255981</v>
      </c>
      <c r="F16" s="32">
        <f>IFERROR(SUMIFS('Clean Data'!$D:$D,'Clean Data'!$A:$A,"Rural+Urban",'Clean Data'!$B:$B,B16,'Clean Data'!$C:$C,C16)/SUMIFS('Clean Data'!$D:$D,'Clean Data'!$A:$A,"Rural+Urban",'Clean Data'!$B:$B,YEAR(EDATE(A16,-1)),'Clean Data'!$C:$C,TEXT(EDATE(A16,-1),"mmmm"))-1,"")</f>
        <v>5.4570259208732708E-3</v>
      </c>
      <c r="G16" s="32">
        <f>IFERROR(SUMIFS('Clean Data'!$E:$E,'Clean Data'!$A:$A,"Rural+Urban",'Clean Data'!$B:$B,B16,'Clean Data'!$C:$C,C16)/SUMIFS('Clean Data'!$E:$E,'Clean Data'!$A:$A,"Rural+Urban",'Clean Data'!$B:$B,YEAR(EDATE(A16,-1)),'Clean Data'!$C:$C,TEXT(EDATE(A16,-1),"mmmm"))-1,"")</f>
        <v>2.9411764705882248E-3</v>
      </c>
      <c r="H16" s="32">
        <f>IFERROR(SUMIFS('Clean Data'!$F:$F,'Clean Data'!$A:$A,"Rural+Urban",'Clean Data'!$B:$B,B16,'Clean Data'!$C:$C,C16)/SUMIFS('Clean Data'!$F:$F,'Clean Data'!$A:$A,"Rural+Urban",'Clean Data'!$B:$B,YEAR(EDATE(A16,-1)),'Clean Data'!$C:$C,TEXT(EDATE(A16,-1),"mmmm"))-1,"")</f>
        <v>-9.2592592592594114E-3</v>
      </c>
      <c r="I16" s="32">
        <f>IFERROR(SUMIFS('Clean Data'!$G:$G,'Clean Data'!$A:$A,"Rural+Urban",'Clean Data'!$B:$B,B16,'Clean Data'!$C:$C,C16)/SUMIFS('Clean Data'!$G:$G,'Clean Data'!$A:$A,"Rural+Urban",'Clean Data'!$B:$B,YEAR(EDATE(A16,-1)),'Clean Data'!$C:$C,TEXT(EDATE(A16,-1),"mmmm"))-1,"")</f>
        <v>1.8939393939392257E-3</v>
      </c>
      <c r="J16" s="32">
        <f>IFERROR(SUMIFS('Clean Data'!$H:$H,'Clean Data'!$A:$A,"Rural+Urban",'Clean Data'!$B:$B,B16,'Clean Data'!$C:$C,C16)/SUMIFS('Clean Data'!$H:$H,'Clean Data'!$A:$A,"Rural+Urban",'Clean Data'!$B:$B,YEAR(EDATE(A16,-1)),'Clean Data'!$C:$C,TEXT(EDATE(A16,-1),"mmmm"))-1,"")</f>
        <v>1.382978723404249E-2</v>
      </c>
      <c r="K16" s="32">
        <f>IFERROR(SUMIFS('Clean Data'!$I:$I,'Clean Data'!$A:$A,"Rural+Urban",'Clean Data'!$B:$B,B16,'Clean Data'!$C:$C,C16)/SUMIFS('Clean Data'!$I:$I,'Clean Data'!$A:$A,"Rural+Urban",'Clean Data'!$B:$B,YEAR(EDATE(A16,-1)),'Clean Data'!$C:$C,TEXT(EDATE(A16,-1),"mmmm"))-1,"")</f>
        <v>-6.3816209317166805E-3</v>
      </c>
      <c r="L16" s="32">
        <f>IFERROR(SUMIFS('Clean Data'!$J:$J,'Clean Data'!$A:$A,"Rural+Urban",'Clean Data'!$B:$B,B16,'Clean Data'!$C:$C,C16)/SUMIFS('Clean Data'!$J:$J,'Clean Data'!$A:$A,"Rural+Urban",'Clean Data'!$B:$B,YEAR(EDATE(A16,-1)),'Clean Data'!$C:$C,TEXT(EDATE(A16,-1),"mmmm"))-1,"")</f>
        <v>0.141712877387554</v>
      </c>
      <c r="M16" s="32">
        <f>IFERROR(SUMIFS('Clean Data'!$K:$K,'Clean Data'!$A:$A,"Rural+Urban",'Clean Data'!$B:$B,B16,'Clean Data'!$C:$C,C16)/SUMIFS('Clean Data'!$K:$K,'Clean Data'!$A:$A,"Rural+Urban",'Clean Data'!$B:$B,YEAR(EDATE(A16,-1)),'Clean Data'!$C:$C,TEXT(EDATE(A16,-1),"mmmm"))-1,"")</f>
        <v>6.7032297379645556E-3</v>
      </c>
      <c r="N16" s="32">
        <f>IFERROR(SUMIFS('Clean Data'!$L:$L,'Clean Data'!$A:$A,"Rural+Urban",'Clean Data'!$B:$B,B16,'Clean Data'!$C:$C,C16)/SUMIFS('Clean Data'!$L:$L,'Clean Data'!$A:$A,"Rural+Urban",'Clean Data'!$B:$B,YEAR(EDATE(A16,-1)),'Clean Data'!$C:$C,TEXT(EDATE(A16,-1),"mmmm"))-1,"")</f>
        <v>1.8379281537176384E-2</v>
      </c>
      <c r="O16" s="32">
        <f>IFERROR(SUMIFS('Clean Data'!$M:$M,'Clean Data'!$A:$A,"Rural+Urban",'Clean Data'!$B:$B,B16,'Clean Data'!$C:$C,C16)/SUMIFS('Clean Data'!$M:$M,'Clean Data'!$A:$A,"Rural+Urban",'Clean Data'!$B:$B,YEAR(EDATE(A16,-1)),'Clean Data'!$C:$C,TEXT(EDATE(A16,-1),"mmmm"))-1,"")</f>
        <v>2.962085308056972E-3</v>
      </c>
      <c r="P16" s="32">
        <f>IFERROR(SUMIFS('Clean Data'!$N:$N,'Clean Data'!$A:$A,"Rural+Urban",'Clean Data'!$B:$B,B16,'Clean Data'!$C:$C,C16)/SUMIFS('Clean Data'!$N:$N,'Clean Data'!$A:$A,"Rural+Urban",'Clean Data'!$B:$B,YEAR(EDATE(A16,-1)),'Clean Data'!$C:$C,TEXT(EDATE(A16,-1),"mmmm"))-1,"")</f>
        <v>3.0731407498463259E-3</v>
      </c>
      <c r="Q16" s="32">
        <f>IFERROR(SUMIFS('Clean Data'!$O:$O,'Clean Data'!$A:$A,"Rural+Urban",'Clean Data'!$B:$B,B16,'Clean Data'!$C:$C,C16)/SUMIFS('Clean Data'!$O:$O,'Clean Data'!$A:$A,"Rural+Urban",'Clean Data'!$B:$B,YEAR(EDATE(A16,-1)),'Clean Data'!$C:$C,TEXT(EDATE(A16,-1),"mmmm"))-1,"")</f>
        <v>4.6003450258769174E-3</v>
      </c>
      <c r="R16" s="32">
        <f>IFERROR(SUMIFS('Clean Data'!$P:$P,'Clean Data'!$A:$A,"Rural+Urban",'Clean Data'!$B:$B,B16,'Clean Data'!$C:$C,C16)/SUMIFS('Clean Data'!$P:$P,'Clean Data'!$A:$A,"Rural+Urban",'Clean Data'!$B:$B,YEAR(EDATE(A16,-1)),'Clean Data'!$C:$C,TEXT(EDATE(A16,-1),"mmmm"))-1,"")</f>
        <v>2.2560975609756007E-2</v>
      </c>
      <c r="S16" s="32">
        <f>IFERROR(SUMIFS('Clean Data'!$Q:$Q,'Clean Data'!$A:$A,"Rural+Urban",'Clean Data'!$B:$B,B16,'Clean Data'!$C:$C,C16)/SUMIFS('Clean Data'!$Q:$Q,'Clean Data'!$A:$A,"Rural+Urban",'Clean Data'!$B:$B,YEAR(EDATE(A16,-1)),'Clean Data'!$C:$C,TEXT(EDATE(A16,-1),"mmmm"))-1,"")</f>
        <v>3.1233732431024119E-3</v>
      </c>
      <c r="T16" s="32">
        <f>IFERROR(SUMIFS('Clean Data'!$R:$R,'Clean Data'!$A:$A,"Rural+Urban",'Clean Data'!$B:$B,B16,'Clean Data'!$C:$C,C16)/SUMIFS('Clean Data'!$R:$R,'Clean Data'!$A:$A,"Rural+Urban",'Clean Data'!$B:$B,YEAR(EDATE(A16,-1)),'Clean Data'!$C:$C,TEXT(EDATE(A16,-1),"mmmm"))-1,"")</f>
        <v>6.6828675577157437E-3</v>
      </c>
      <c r="U16" s="32">
        <f>IFERROR(SUMIFS('Clean Data'!$S:$S,'Clean Data'!$A:$A,"Rural+Urban",'Clean Data'!$B:$B,B16,'Clean Data'!$C:$C,C16)/SUMIFS('Clean Data'!$S:$S,'Clean Data'!$A:$A,"Rural+Urban",'Clean Data'!$B:$B,YEAR(EDATE(A16,-1)),'Clean Data'!$C:$C,TEXT(EDATE(A16,-1),"mmmm"))-1,"")</f>
        <v>6.4391500321956396E-3</v>
      </c>
      <c r="V16" s="32">
        <f>IFERROR(SUMIFS('Clean Data'!$T:$T,'Clean Data'!$A:$A,"Rural+Urban",'Clean Data'!$B:$B,B16,'Clean Data'!$C:$C,C16)/SUMIFS('Clean Data'!$T:$T,'Clean Data'!$A:$A,"Rural+Urban",'Clean Data'!$B:$B,YEAR(EDATE(A16,-1)),'Clean Data'!$C:$C,TEXT(EDATE(A16,-1),"mmmm"))-1,"")</f>
        <v>6.1236987140231847E-3</v>
      </c>
      <c r="W16" s="32">
        <f>IFERROR(SUMIFS('Clean Data'!$U:$U,'Clean Data'!$A:$A,"Rural+Urban",'Clean Data'!$B:$B,B16,'Clean Data'!$C:$C,C16)/SUMIFS('Clean Data'!$U:$U,'Clean Data'!$A:$A,"Rural+Urban",'Clean Data'!$B:$B,YEAR(EDATE(A16,-1)),'Clean Data'!$C:$C,TEXT(EDATE(A16,-1),"mmmm"))-1,"")</f>
        <v>9.2535471930907942E-3</v>
      </c>
      <c r="X16" s="32">
        <f>IFERROR(SUMIFS('Clean Data'!$V:$V,'Clean Data'!$A:$A,"Rural+Urban",'Clean Data'!$B:$B,B16,'Clean Data'!$C:$C,C16)/SUMIFS('Clean Data'!$V:$V,'Clean Data'!$A:$A,"Rural+Urban",'Clean Data'!$B:$B,YEAR(EDATE(A16,-1)),'Clean Data'!$C:$C,TEXT(EDATE(A16,-1),"mmmm"))-1,"")</f>
        <v>9.8400984009838766E-3</v>
      </c>
      <c r="Y16" s="32">
        <f>IFERROR(SUMIFS('Clean Data'!$W:$W,'Clean Data'!$A:$A,"Rural+Urban",'Clean Data'!$B:$B,B16,'Clean Data'!$C:$C,C16)/SUMIFS('Clean Data'!$W:$W,'Clean Data'!$A:$A,"Rural+Urban",'Clean Data'!$B:$B,YEAR(EDATE(A16,-1)),'Clean Data'!$C:$C,TEXT(EDATE(A16,-1),"mmmm"))-1,"")</f>
        <v>5.7142857142857828E-3</v>
      </c>
      <c r="Z16" s="32">
        <f>IFERROR(SUMIFS('Clean Data'!$X:$X,'Clean Data'!$A:$A,"Rural+Urban",'Clean Data'!$B:$B,B16,'Clean Data'!$C:$C,C16)/SUMIFS('Clean Data'!$X:$X,'Clean Data'!$A:$A,"Rural+Urban",'Clean Data'!$B:$B,YEAR(EDATE(A16,-1)),'Clean Data'!$C:$C,TEXT(EDATE(A16,-1),"mmmm"))-1,"")</f>
        <v>4.1567695961994833E-3</v>
      </c>
      <c r="AA16" s="32">
        <f>IFERROR(SUMIFS('Clean Data'!$Y:$Y,'Clean Data'!$A:$A,"Rural+Urban",'Clean Data'!$B:$B,B16,'Clean Data'!$C:$C,C16)/SUMIFS('Clean Data'!$Y:$Y,'Clean Data'!$A:$A,"Rural+Urban",'Clean Data'!$B:$B,YEAR(EDATE(A16,-1)),'Clean Data'!$C:$C,TEXT(EDATE(A16,-1),"mmmm"))-1,"")</f>
        <v>1.1038961038960959E-2</v>
      </c>
      <c r="AB16" s="32">
        <f>IFERROR(SUMIFS('Clean Data'!$Z:$Z,'Clean Data'!$A:$A,"Rural+Urban",'Clean Data'!$B:$B,B16,'Clean Data'!$C:$C,C16)/SUMIFS('Clean Data'!$Z:$Z,'Clean Data'!$A:$A,"Rural+Urban",'Clean Data'!$B:$B,YEAR(EDATE(A16,-1)),'Clean Data'!$C:$C,TEXT(EDATE(A16,-1),"mmmm"))-1,"")</f>
        <v>5.7070386810400553E-3</v>
      </c>
      <c r="AC16" s="32">
        <f>IFERROR(SUMIFS('Clean Data'!$AA:$AA,'Clean Data'!$A:$A,"Rural+Urban",'Clean Data'!$B:$B,B16,'Clean Data'!$C:$C,C16)/SUMIFS('Clean Data'!$AA:$AA,'Clean Data'!$A:$A,"Rural+Urban",'Clean Data'!$B:$B,YEAR(EDATE(A16,-1)),'Clean Data'!$C:$C,TEXT(EDATE(A16,-1),"mmmm"))-1,"")</f>
        <v>1.2217470983506562E-3</v>
      </c>
      <c r="AD16" s="32">
        <f>IFERROR(SUMIFS('Clean Data'!$AB:$AB,'Clean Data'!$A:$A,"Rural+Urban",'Clean Data'!$B:$B,B16,'Clean Data'!$C:$C,C16)/SUMIFS('Clean Data'!$AB:$AB,'Clean Data'!$A:$A,"Rural+Urban",'Clean Data'!$B:$B,YEAR(EDATE(A16,-1)),'Clean Data'!$C:$C,TEXT(EDATE(A16,-1),"mmmm"))-1,"")</f>
        <v>5.0000000000001155E-3</v>
      </c>
      <c r="AE16" s="32">
        <f>IFERROR(SUMIFS('Clean Data'!$AC:$AC,'Clean Data'!$A:$A,"Rural+Urban",'Clean Data'!$B:$B,B16,'Clean Data'!$C:$C,C16)/SUMIFS('Clean Data'!$AC:$AC,'Clean Data'!$A:$A,"Rural+Urban",'Clean Data'!$B:$B,YEAR(EDATE(A16,-1)),'Clean Data'!$C:$C,TEXT(EDATE(A16,-1),"mmmm"))-1,"")</f>
        <v>6.2500000000000888E-3</v>
      </c>
      <c r="AF16" s="32">
        <f>IFERROR(SUMIFS('Clean Data'!$AD:$AD,'Clean Data'!$A:$A,"Rural+Urban",'Clean Data'!$B:$B,B16,'Clean Data'!$C:$C,C16)/SUMIFS('Clean Data'!$AD:$AD,'Clean Data'!$A:$A,"Rural+Urban",'Clean Data'!$B:$B,YEAR(EDATE(A16,-1)),'Clean Data'!$C:$C,TEXT(EDATE(A16,-1),"mmmm"))-1,"")</f>
        <v>1.4093137254902022E-2</v>
      </c>
    </row>
    <row r="17" spans="1:32" ht="15" customHeight="1" x14ac:dyDescent="0.2">
      <c r="A17" s="44">
        <v>44501</v>
      </c>
      <c r="B17" s="30">
        <v>2021</v>
      </c>
      <c r="C17" s="30" t="s">
        <v>107</v>
      </c>
      <c r="D17" s="12">
        <v>80.64</v>
      </c>
      <c r="E17" s="25">
        <f t="shared" si="0"/>
        <v>-1.7902813299232712E-2</v>
      </c>
      <c r="F17" s="32">
        <f>IFERROR(SUMIFS('Clean Data'!$D:$D,'Clean Data'!$A:$A,"Rural+Urban",'Clean Data'!$B:$B,B17,'Clean Data'!$C:$C,C17)/SUMIFS('Clean Data'!$D:$D,'Clean Data'!$A:$A,"Rural+Urban",'Clean Data'!$B:$B,YEAR(EDATE(A17,-1)),'Clean Data'!$C:$C,TEXT(EDATE(A17,-1),"mmmm"))-1,"")</f>
        <v>5.4274084124830146E-3</v>
      </c>
      <c r="G17" s="32">
        <f>IFERROR(SUMIFS('Clean Data'!$E:$E,'Clean Data'!$A:$A,"Rural+Urban",'Clean Data'!$B:$B,B17,'Clean Data'!$C:$C,C17)/SUMIFS('Clean Data'!$E:$E,'Clean Data'!$A:$A,"Rural+Urban",'Clean Data'!$B:$B,YEAR(EDATE(A17,-1)),'Clean Data'!$C:$C,TEXT(EDATE(A17,-1),"mmmm"))-1,"")</f>
        <v>-1.4662756598240456E-2</v>
      </c>
      <c r="H17" s="32">
        <f>IFERROR(SUMIFS('Clean Data'!$F:$F,'Clean Data'!$A:$A,"Rural+Urban",'Clean Data'!$B:$B,B17,'Clean Data'!$C:$C,C17)/SUMIFS('Clean Data'!$F:$F,'Clean Data'!$A:$A,"Rural+Urban",'Clean Data'!$B:$B,YEAR(EDATE(A17,-1)),'Clean Data'!$C:$C,TEXT(EDATE(A17,-1),"mmmm"))-1,"")</f>
        <v>1.0514018691588856E-2</v>
      </c>
      <c r="I17" s="32">
        <f>IFERROR(SUMIFS('Clean Data'!$G:$G,'Clean Data'!$A:$A,"Rural+Urban",'Clean Data'!$B:$B,B17,'Clean Data'!$C:$C,C17)/SUMIFS('Clean Data'!$G:$G,'Clean Data'!$A:$A,"Rural+Urban",'Clean Data'!$B:$B,YEAR(EDATE(A17,-1)),'Clean Data'!$C:$C,TEXT(EDATE(A17,-1),"mmmm"))-1,"")</f>
        <v>3.780718336483968E-3</v>
      </c>
      <c r="J17" s="32">
        <f>IFERROR(SUMIFS('Clean Data'!$H:$H,'Clean Data'!$A:$A,"Rural+Urban",'Clean Data'!$B:$B,B17,'Clean Data'!$C:$C,C17)/SUMIFS('Clean Data'!$H:$H,'Clean Data'!$A:$A,"Rural+Urban",'Clean Data'!$B:$B,YEAR(EDATE(A17,-1)),'Clean Data'!$C:$C,TEXT(EDATE(A17,-1),"mmmm"))-1,"")</f>
        <v>-2.6232948583421178E-3</v>
      </c>
      <c r="K17" s="32">
        <f>IFERROR(SUMIFS('Clean Data'!$I:$I,'Clean Data'!$A:$A,"Rural+Urban",'Clean Data'!$B:$B,B17,'Clean Data'!$C:$C,C17)/SUMIFS('Clean Data'!$I:$I,'Clean Data'!$A:$A,"Rural+Urban",'Clean Data'!$B:$B,YEAR(EDATE(A17,-1)),'Clean Data'!$C:$C,TEXT(EDATE(A17,-1),"mmmm"))-1,"")</f>
        <v>5.138086062941527E-3</v>
      </c>
      <c r="L17" s="32">
        <f>IFERROR(SUMIFS('Clean Data'!$J:$J,'Clean Data'!$A:$A,"Rural+Urban",'Clean Data'!$B:$B,B17,'Clean Data'!$C:$C,C17)/SUMIFS('Clean Data'!$J:$J,'Clean Data'!$A:$A,"Rural+Urban",'Clean Data'!$B:$B,YEAR(EDATE(A17,-1)),'Clean Data'!$C:$C,TEXT(EDATE(A17,-1),"mmmm"))-1,"")</f>
        <v>7.5013491635186114E-2</v>
      </c>
      <c r="M17" s="32">
        <f>IFERROR(SUMIFS('Clean Data'!$K:$K,'Clean Data'!$A:$A,"Rural+Urban",'Clean Data'!$B:$B,B17,'Clean Data'!$C:$C,C17)/SUMIFS('Clean Data'!$K:$K,'Clean Data'!$A:$A,"Rural+Urban",'Clean Data'!$B:$B,YEAR(EDATE(A17,-1)),'Clean Data'!$C:$C,TEXT(EDATE(A17,-1),"mmmm"))-1,"")</f>
        <v>6.0532687651337902E-4</v>
      </c>
      <c r="N17" s="32">
        <f>IFERROR(SUMIFS('Clean Data'!$L:$L,'Clean Data'!$A:$A,"Rural+Urban",'Clean Data'!$B:$B,B17,'Clean Data'!$C:$C,C17)/SUMIFS('Clean Data'!$L:$L,'Clean Data'!$A:$A,"Rural+Urban",'Clean Data'!$B:$B,YEAR(EDATE(A17,-1)),'Clean Data'!$C:$C,TEXT(EDATE(A17,-1),"mmmm"))-1,"")</f>
        <v>4.1017227235438103E-3</v>
      </c>
      <c r="O17" s="32">
        <f>IFERROR(SUMIFS('Clean Data'!$M:$M,'Clean Data'!$A:$A,"Rural+Urban",'Clean Data'!$B:$B,B17,'Clean Data'!$C:$C,C17)/SUMIFS('Clean Data'!$M:$M,'Clean Data'!$A:$A,"Rural+Urban",'Clean Data'!$B:$B,YEAR(EDATE(A17,-1)),'Clean Data'!$C:$C,TEXT(EDATE(A17,-1),"mmmm"))-1,"")</f>
        <v>1.7720023626697223E-3</v>
      </c>
      <c r="P17" s="32">
        <f>IFERROR(SUMIFS('Clean Data'!$N:$N,'Clean Data'!$A:$A,"Rural+Urban",'Clean Data'!$B:$B,B17,'Clean Data'!$C:$C,C17)/SUMIFS('Clean Data'!$N:$N,'Clean Data'!$A:$A,"Rural+Urban",'Clean Data'!$B:$B,YEAR(EDATE(A17,-1)),'Clean Data'!$C:$C,TEXT(EDATE(A17,-1),"mmmm"))-1,"")</f>
        <v>3.0637254901961786E-3</v>
      </c>
      <c r="Q17" s="32">
        <f>IFERROR(SUMIFS('Clean Data'!$O:$O,'Clean Data'!$A:$A,"Rural+Urban",'Clean Data'!$B:$B,B17,'Clean Data'!$C:$C,C17)/SUMIFS('Clean Data'!$O:$O,'Clean Data'!$A:$A,"Rural+Urban",'Clean Data'!$B:$B,YEAR(EDATE(A17,-1)),'Clean Data'!$C:$C,TEXT(EDATE(A17,-1),"mmmm"))-1,"")</f>
        <v>4.5792787635947629E-3</v>
      </c>
      <c r="R17" s="32">
        <f>IFERROR(SUMIFS('Clean Data'!$P:$P,'Clean Data'!$A:$A,"Rural+Urban",'Clean Data'!$B:$B,B17,'Clean Data'!$C:$C,C17)/SUMIFS('Clean Data'!$P:$P,'Clean Data'!$A:$A,"Rural+Urban",'Clean Data'!$B:$B,YEAR(EDATE(A17,-1)),'Clean Data'!$C:$C,TEXT(EDATE(A17,-1),"mmmm"))-1,"")</f>
        <v>1.1926058437686349E-2</v>
      </c>
      <c r="S17" s="32">
        <f>IFERROR(SUMIFS('Clean Data'!$Q:$Q,'Clean Data'!$A:$A,"Rural+Urban",'Clean Data'!$B:$B,B17,'Clean Data'!$C:$C,C17)/SUMIFS('Clean Data'!$Q:$Q,'Clean Data'!$A:$A,"Rural+Urban",'Clean Data'!$B:$B,YEAR(EDATE(A17,-1)),'Clean Data'!$C:$C,TEXT(EDATE(A17,-1),"mmmm"))-1,"")</f>
        <v>1.0378827192527584E-3</v>
      </c>
      <c r="T17" s="32">
        <f>IFERROR(SUMIFS('Clean Data'!$R:$R,'Clean Data'!$A:$A,"Rural+Urban",'Clean Data'!$B:$B,B17,'Clean Data'!$C:$C,C17)/SUMIFS('Clean Data'!$R:$R,'Clean Data'!$A:$A,"Rural+Urban",'Clean Data'!$B:$B,YEAR(EDATE(A17,-1)),'Clean Data'!$C:$C,TEXT(EDATE(A17,-1),"mmmm"))-1,"")</f>
        <v>9.0525045262521697E-3</v>
      </c>
      <c r="U17" s="32">
        <f>IFERROR(SUMIFS('Clean Data'!$S:$S,'Clean Data'!$A:$A,"Rural+Urban",'Clean Data'!$B:$B,B17,'Clean Data'!$C:$C,C17)/SUMIFS('Clean Data'!$S:$S,'Clean Data'!$A:$A,"Rural+Urban",'Clean Data'!$B:$B,YEAR(EDATE(A17,-1)),'Clean Data'!$C:$C,TEXT(EDATE(A17,-1),"mmmm"))-1,"")</f>
        <v>7.0377479206653604E-3</v>
      </c>
      <c r="V17" s="32">
        <f>IFERROR(SUMIFS('Clean Data'!$T:$T,'Clean Data'!$A:$A,"Rural+Urban",'Clean Data'!$B:$B,B17,'Clean Data'!$C:$C,C17)/SUMIFS('Clean Data'!$T:$T,'Clean Data'!$A:$A,"Rural+Urban",'Clean Data'!$B:$B,YEAR(EDATE(A17,-1)),'Clean Data'!$C:$C,TEXT(EDATE(A17,-1),"mmmm"))-1,"")</f>
        <v>9.1296409007912693E-3</v>
      </c>
      <c r="W17" s="32">
        <f>IFERROR(SUMIFS('Clean Data'!$U:$U,'Clean Data'!$A:$A,"Rural+Urban",'Clean Data'!$B:$B,B17,'Clean Data'!$C:$C,C17)/SUMIFS('Clean Data'!$U:$U,'Clean Data'!$A:$A,"Rural+Urban",'Clean Data'!$B:$B,YEAR(EDATE(A17,-1)),'Clean Data'!$C:$C,TEXT(EDATE(A17,-1),"mmmm"))-1,"")</f>
        <v>3.6674816625916762E-3</v>
      </c>
      <c r="X17" s="32">
        <f>IFERROR(SUMIFS('Clean Data'!$V:$V,'Clean Data'!$A:$A,"Rural+Urban",'Clean Data'!$B:$B,B17,'Clean Data'!$C:$C,C17)/SUMIFS('Clean Data'!$V:$V,'Clean Data'!$A:$A,"Rural+Urban",'Clean Data'!$B:$B,YEAR(EDATE(A17,-1)),'Clean Data'!$C:$C,TEXT(EDATE(A17,-1),"mmmm"))-1,"")</f>
        <v>-1.8270401948842219E-3</v>
      </c>
      <c r="Y17" s="32">
        <f>IFERROR(SUMIFS('Clean Data'!$W:$W,'Clean Data'!$A:$A,"Rural+Urban",'Clean Data'!$B:$B,B17,'Clean Data'!$C:$C,C17)/SUMIFS('Clean Data'!$W:$W,'Clean Data'!$A:$A,"Rural+Urban",'Clean Data'!$B:$B,YEAR(EDATE(A17,-1)),'Clean Data'!$C:$C,TEXT(EDATE(A17,-1),"mmmm"))-1,"")</f>
        <v>5.6818181818181213E-3</v>
      </c>
      <c r="Z17" s="32">
        <f>IFERROR(SUMIFS('Clean Data'!$X:$X,'Clean Data'!$A:$A,"Rural+Urban",'Clean Data'!$B:$B,B17,'Clean Data'!$C:$C,C17)/SUMIFS('Clean Data'!$X:$X,'Clean Data'!$A:$A,"Rural+Urban",'Clean Data'!$B:$B,YEAR(EDATE(A17,-1)),'Clean Data'!$C:$C,TEXT(EDATE(A17,-1),"mmmm"))-1,"")</f>
        <v>4.7309284447072386E-3</v>
      </c>
      <c r="AA17" s="32">
        <f>IFERROR(SUMIFS('Clean Data'!$Y:$Y,'Clean Data'!$A:$A,"Rural+Urban",'Clean Data'!$B:$B,B17,'Clean Data'!$C:$C,C17)/SUMIFS('Clean Data'!$Y:$Y,'Clean Data'!$A:$A,"Rural+Urban",'Clean Data'!$B:$B,YEAR(EDATE(A17,-1)),'Clean Data'!$C:$C,TEXT(EDATE(A17,-1),"mmmm"))-1,"")</f>
        <v>-5.7803468208090791E-3</v>
      </c>
      <c r="AB17" s="32">
        <f>IFERROR(SUMIFS('Clean Data'!$Z:$Z,'Clean Data'!$A:$A,"Rural+Urban",'Clean Data'!$B:$B,B17,'Clean Data'!$C:$C,C17)/SUMIFS('Clean Data'!$Z:$Z,'Clean Data'!$A:$A,"Rural+Urban",'Clean Data'!$B:$B,YEAR(EDATE(A17,-1)),'Clean Data'!$C:$C,TEXT(EDATE(A17,-1),"mmmm"))-1,"")</f>
        <v>7.5662042875159763E-3</v>
      </c>
      <c r="AC17" s="32">
        <f>IFERROR(SUMIFS('Clean Data'!$AA:$AA,'Clean Data'!$A:$A,"Rural+Urban",'Clean Data'!$B:$B,B17,'Clean Data'!$C:$C,C17)/SUMIFS('Clean Data'!$AA:$AA,'Clean Data'!$A:$A,"Rural+Urban",'Clean Data'!$B:$B,YEAR(EDATE(A17,-1)),'Clean Data'!$C:$C,TEXT(EDATE(A17,-1),"mmmm"))-1,"")</f>
        <v>2.4405125076265577E-3</v>
      </c>
      <c r="AD17" s="32">
        <f>IFERROR(SUMIFS('Clean Data'!$AB:$AB,'Clean Data'!$A:$A,"Rural+Urban",'Clean Data'!$B:$B,B17,'Clean Data'!$C:$C,C17)/SUMIFS('Clean Data'!$AB:$AB,'Clean Data'!$A:$A,"Rural+Urban",'Clean Data'!$B:$B,YEAR(EDATE(A17,-1)),'Clean Data'!$C:$C,TEXT(EDATE(A17,-1),"mmmm"))-1,"")</f>
        <v>8.7064676616914749E-3</v>
      </c>
      <c r="AE17" s="32">
        <f>IFERROR(SUMIFS('Clean Data'!$AC:$AC,'Clean Data'!$A:$A,"Rural+Urban",'Clean Data'!$B:$B,B17,'Clean Data'!$C:$C,C17)/SUMIFS('Clean Data'!$AC:$AC,'Clean Data'!$A:$A,"Rural+Urban",'Clean Data'!$B:$B,YEAR(EDATE(A17,-1)),'Clean Data'!$C:$C,TEXT(EDATE(A17,-1),"mmmm"))-1,"")</f>
        <v>2.4844720496894901E-3</v>
      </c>
      <c r="AF17" s="32">
        <f>IFERROR(SUMIFS('Clean Data'!$AD:$AD,'Clean Data'!$A:$A,"Rural+Urban",'Clean Data'!$B:$B,B17,'Clean Data'!$C:$C,C17)/SUMIFS('Clean Data'!$AD:$AD,'Clean Data'!$A:$A,"Rural+Urban",'Clean Data'!$B:$B,YEAR(EDATE(A17,-1)),'Clean Data'!$C:$C,TEXT(EDATE(A17,-1),"mmmm"))-1,"")</f>
        <v>7.2507552870089143E-3</v>
      </c>
    </row>
    <row r="18" spans="1:32" ht="15" customHeight="1" x14ac:dyDescent="0.2">
      <c r="A18" s="44">
        <v>44531</v>
      </c>
      <c r="B18" s="30">
        <v>2021</v>
      </c>
      <c r="C18" s="30" t="s">
        <v>109</v>
      </c>
      <c r="D18" s="12">
        <v>73.3</v>
      </c>
      <c r="E18" s="25">
        <f t="shared" si="0"/>
        <v>-9.1021825396825462E-2</v>
      </c>
      <c r="F18" s="32">
        <f>IFERROR(SUMIFS('Clean Data'!$D:$D,'Clean Data'!$A:$A,"Rural+Urban",'Clean Data'!$B:$B,B18,'Clean Data'!$C:$C,C18)/SUMIFS('Clean Data'!$D:$D,'Clean Data'!$A:$A,"Rural+Urban",'Clean Data'!$B:$B,YEAR(EDATE(A18,-1)),'Clean Data'!$C:$C,TEXT(EDATE(A18,-1),"mmmm"))-1,"")</f>
        <v>3.3738191632928238E-3</v>
      </c>
      <c r="G18" s="32">
        <f>IFERROR(SUMIFS('Clean Data'!$E:$E,'Clean Data'!$A:$A,"Rural+Urban",'Clean Data'!$B:$B,B18,'Clean Data'!$C:$C,C18)/SUMIFS('Clean Data'!$E:$E,'Clean Data'!$A:$A,"Rural+Urban",'Clean Data'!$B:$B,YEAR(EDATE(A18,-1)),'Clean Data'!$C:$C,TEXT(EDATE(A18,-1),"mmmm"))-1,"")</f>
        <v>-1.388888888888884E-2</v>
      </c>
      <c r="H18" s="32">
        <f>IFERROR(SUMIFS('Clean Data'!$F:$F,'Clean Data'!$A:$A,"Rural+Urban",'Clean Data'!$B:$B,B18,'Clean Data'!$C:$C,C18)/SUMIFS('Clean Data'!$F:$F,'Clean Data'!$A:$A,"Rural+Urban",'Clean Data'!$B:$B,YEAR(EDATE(A18,-1)),'Clean Data'!$C:$C,TEXT(EDATE(A18,-1),"mmmm"))-1,"")</f>
        <v>2.8323699421965332E-2</v>
      </c>
      <c r="I18" s="32">
        <f>IFERROR(SUMIFS('Clean Data'!$G:$G,'Clean Data'!$A:$A,"Rural+Urban",'Clean Data'!$B:$B,B18,'Clean Data'!$C:$C,C18)/SUMIFS('Clean Data'!$G:$G,'Clean Data'!$A:$A,"Rural+Urban",'Clean Data'!$B:$B,YEAR(EDATE(A18,-1)),'Clean Data'!$C:$C,TEXT(EDATE(A18,-1),"mmmm"))-1,"")</f>
        <v>3.7664783427495685E-3</v>
      </c>
      <c r="J18" s="32">
        <f>IFERROR(SUMIFS('Clean Data'!$H:$H,'Clean Data'!$A:$A,"Rural+Urban",'Clean Data'!$B:$B,B18,'Clean Data'!$C:$C,C18)/SUMIFS('Clean Data'!$H:$H,'Clean Data'!$A:$A,"Rural+Urban",'Clean Data'!$B:$B,YEAR(EDATE(A18,-1)),'Clean Data'!$C:$C,TEXT(EDATE(A18,-1),"mmmm"))-1,"")</f>
        <v>-1.3150973172014746E-2</v>
      </c>
      <c r="K18" s="32">
        <f>IFERROR(SUMIFS('Clean Data'!$I:$I,'Clean Data'!$A:$A,"Rural+Urban",'Clean Data'!$B:$B,B18,'Clean Data'!$C:$C,C18)/SUMIFS('Clean Data'!$I:$I,'Clean Data'!$A:$A,"Rural+Urban",'Clean Data'!$B:$B,YEAR(EDATE(A18,-1)),'Clean Data'!$C:$C,TEXT(EDATE(A18,-1),"mmmm"))-1,"")</f>
        <v>-1.0223642172523917E-2</v>
      </c>
      <c r="L18" s="32">
        <f>IFERROR(SUMIFS('Clean Data'!$J:$J,'Clean Data'!$A:$A,"Rural+Urban",'Clean Data'!$B:$B,B18,'Clean Data'!$C:$C,C18)/SUMIFS('Clean Data'!$J:$J,'Clean Data'!$A:$A,"Rural+Urban",'Clean Data'!$B:$B,YEAR(EDATE(A18,-1)),'Clean Data'!$C:$C,TEXT(EDATE(A18,-1),"mmmm"))-1,"")</f>
        <v>-5.4718875502007935E-2</v>
      </c>
      <c r="M18" s="32">
        <f>IFERROR(SUMIFS('Clean Data'!$K:$K,'Clean Data'!$A:$A,"Rural+Urban",'Clean Data'!$B:$B,B18,'Clean Data'!$C:$C,C18)/SUMIFS('Clean Data'!$K:$K,'Clean Data'!$A:$A,"Rural+Urban",'Clean Data'!$B:$B,YEAR(EDATE(A18,-1)),'Clean Data'!$C:$C,TEXT(EDATE(A18,-1),"mmmm"))-1,"")</f>
        <v>-5.4446460980036582E-3</v>
      </c>
      <c r="N18" s="32">
        <f>IFERROR(SUMIFS('Clean Data'!$L:$L,'Clean Data'!$A:$A,"Rural+Urban",'Clean Data'!$B:$B,B18,'Clean Data'!$C:$C,C18)/SUMIFS('Clean Data'!$L:$L,'Clean Data'!$A:$A,"Rural+Urban",'Clean Data'!$B:$B,YEAR(EDATE(A18,-1)),'Clean Data'!$C:$C,TEXT(EDATE(A18,-1),"mmmm"))-1,"")</f>
        <v>-1.1437908496732097E-2</v>
      </c>
      <c r="O18" s="32">
        <f>IFERROR(SUMIFS('Clean Data'!$M:$M,'Clean Data'!$A:$A,"Rural+Urban",'Clean Data'!$B:$B,B18,'Clean Data'!$C:$C,C18)/SUMIFS('Clean Data'!$M:$M,'Clean Data'!$A:$A,"Rural+Urban",'Clean Data'!$B:$B,YEAR(EDATE(A18,-1)),'Clean Data'!$C:$C,TEXT(EDATE(A18,-1),"mmmm"))-1,"")</f>
        <v>5.3066037735849392E-3</v>
      </c>
      <c r="P18" s="32">
        <f>IFERROR(SUMIFS('Clean Data'!$N:$N,'Clean Data'!$A:$A,"Rural+Urban",'Clean Data'!$B:$B,B18,'Clean Data'!$C:$C,C18)/SUMIFS('Clean Data'!$N:$N,'Clean Data'!$A:$A,"Rural+Urban",'Clean Data'!$B:$B,YEAR(EDATE(A18,-1)),'Clean Data'!$C:$C,TEXT(EDATE(A18,-1),"mmmm"))-1,"")</f>
        <v>3.0543677458765295E-3</v>
      </c>
      <c r="Q18" s="32">
        <f>IFERROR(SUMIFS('Clean Data'!$O:$O,'Clean Data'!$A:$A,"Rural+Urban",'Clean Data'!$B:$B,B18,'Clean Data'!$C:$C,C18)/SUMIFS('Clean Data'!$O:$O,'Clean Data'!$A:$A,"Rural+Urban",'Clean Data'!$B:$B,YEAR(EDATE(A18,-1)),'Clean Data'!$C:$C,TEXT(EDATE(A18,-1),"mmmm"))-1,"")</f>
        <v>5.6980056980056037E-3</v>
      </c>
      <c r="R18" s="32">
        <f>IFERROR(SUMIFS('Clean Data'!$P:$P,'Clean Data'!$A:$A,"Rural+Urban",'Clean Data'!$B:$B,B18,'Clean Data'!$C:$C,C18)/SUMIFS('Clean Data'!$P:$P,'Clean Data'!$A:$A,"Rural+Urban",'Clean Data'!$B:$B,YEAR(EDATE(A18,-1)),'Clean Data'!$C:$C,TEXT(EDATE(A18,-1),"mmmm"))-1,"")</f>
        <v>-8.8391278727165679E-3</v>
      </c>
      <c r="S18" s="32">
        <f>IFERROR(SUMIFS('Clean Data'!$Q:$Q,'Clean Data'!$A:$A,"Rural+Urban",'Clean Data'!$B:$B,B18,'Clean Data'!$C:$C,C18)/SUMIFS('Clean Data'!$Q:$Q,'Clean Data'!$A:$A,"Rural+Urban",'Clean Data'!$B:$B,YEAR(EDATE(A18,-1)),'Clean Data'!$C:$C,TEXT(EDATE(A18,-1),"mmmm"))-1,"")</f>
        <v>-2.5920165889061764E-3</v>
      </c>
      <c r="T18" s="32">
        <f>IFERROR(SUMIFS('Clean Data'!$R:$R,'Clean Data'!$A:$A,"Rural+Urban",'Clean Data'!$B:$B,B18,'Clean Data'!$C:$C,C18)/SUMIFS('Clean Data'!$R:$R,'Clean Data'!$A:$A,"Rural+Urban",'Clean Data'!$B:$B,YEAR(EDATE(A18,-1)),'Clean Data'!$C:$C,TEXT(EDATE(A18,-1),"mmmm"))-1,"")</f>
        <v>7.7751196172248793E-3</v>
      </c>
      <c r="U18" s="32">
        <f>IFERROR(SUMIFS('Clean Data'!$S:$S,'Clean Data'!$A:$A,"Rural+Urban",'Clean Data'!$B:$B,B18,'Clean Data'!$C:$C,C18)/SUMIFS('Clean Data'!$S:$S,'Clean Data'!$A:$A,"Rural+Urban",'Clean Data'!$B:$B,YEAR(EDATE(A18,-1)),'Clean Data'!$C:$C,TEXT(EDATE(A18,-1),"mmmm"))-1,"")</f>
        <v>8.2592121982210109E-3</v>
      </c>
      <c r="V18" s="32">
        <f>IFERROR(SUMIFS('Clean Data'!$T:$T,'Clean Data'!$A:$A,"Rural+Urban",'Clean Data'!$B:$B,B18,'Clean Data'!$C:$C,C18)/SUMIFS('Clean Data'!$T:$T,'Clean Data'!$A:$A,"Rural+Urban",'Clean Data'!$B:$B,YEAR(EDATE(A18,-1)),'Clean Data'!$C:$C,TEXT(EDATE(A18,-1),"mmmm"))-1,"")</f>
        <v>7.2376357056693763E-3</v>
      </c>
      <c r="W18" s="32">
        <f>IFERROR(SUMIFS('Clean Data'!$U:$U,'Clean Data'!$A:$A,"Rural+Urban",'Clean Data'!$B:$B,B18,'Clean Data'!$C:$C,C18)/SUMIFS('Clean Data'!$U:$U,'Clean Data'!$A:$A,"Rural+Urban",'Clean Data'!$B:$B,YEAR(EDATE(A18,-1)),'Clean Data'!$C:$C,TEXT(EDATE(A18,-1),"mmmm"))-1,"")</f>
        <v>-4.872107186357999E-3</v>
      </c>
      <c r="X18" s="32">
        <f>IFERROR(SUMIFS('Clean Data'!$V:$V,'Clean Data'!$A:$A,"Rural+Urban",'Clean Data'!$B:$B,B18,'Clean Data'!$C:$C,C18)/SUMIFS('Clean Data'!$V:$V,'Clean Data'!$A:$A,"Rural+Urban",'Clean Data'!$B:$B,YEAR(EDATE(A18,-1)),'Clean Data'!$C:$C,TEXT(EDATE(A18,-1),"mmmm"))-1,"")</f>
        <v>1.2202562538132788E-3</v>
      </c>
      <c r="Y18" s="32">
        <f>IFERROR(SUMIFS('Clean Data'!$W:$W,'Clean Data'!$A:$A,"Rural+Urban",'Clean Data'!$B:$B,B18,'Clean Data'!$C:$C,C18)/SUMIFS('Clean Data'!$W:$W,'Clean Data'!$A:$A,"Rural+Urban",'Clean Data'!$B:$B,YEAR(EDATE(A18,-1)),'Clean Data'!$C:$C,TEXT(EDATE(A18,-1),"mmmm"))-1,"")</f>
        <v>5.6497175141241307E-3</v>
      </c>
      <c r="Z18" s="32">
        <f>IFERROR(SUMIFS('Clean Data'!$X:$X,'Clean Data'!$A:$A,"Rural+Urban",'Clean Data'!$B:$B,B18,'Clean Data'!$C:$C,C18)/SUMIFS('Clean Data'!$X:$X,'Clean Data'!$A:$A,"Rural+Urban",'Clean Data'!$B:$B,YEAR(EDATE(A18,-1)),'Clean Data'!$C:$C,TEXT(EDATE(A18,-1),"mmmm"))-1,"")</f>
        <v>4.1200706297821466E-3</v>
      </c>
      <c r="AA18" s="32">
        <f>IFERROR(SUMIFS('Clean Data'!$Y:$Y,'Clean Data'!$A:$A,"Rural+Urban",'Clean Data'!$B:$B,B18,'Clean Data'!$C:$C,C18)/SUMIFS('Clean Data'!$Y:$Y,'Clean Data'!$A:$A,"Rural+Urban",'Clean Data'!$B:$B,YEAR(EDATE(A18,-1)),'Clean Data'!$C:$C,TEXT(EDATE(A18,-1),"mmmm"))-1,"")</f>
        <v>5.8139534883718813E-3</v>
      </c>
      <c r="AB18" s="32">
        <f>IFERROR(SUMIFS('Clean Data'!$Z:$Z,'Clean Data'!$A:$A,"Rural+Urban",'Clean Data'!$B:$B,B18,'Clean Data'!$C:$C,C18)/SUMIFS('Clean Data'!$Z:$Z,'Clean Data'!$A:$A,"Rural+Urban",'Clean Data'!$B:$B,YEAR(EDATE(A18,-1)),'Clean Data'!$C:$C,TEXT(EDATE(A18,-1),"mmmm"))-1,"")</f>
        <v>5.0062578222778154E-3</v>
      </c>
      <c r="AC18" s="32">
        <f>IFERROR(SUMIFS('Clean Data'!$AA:$AA,'Clean Data'!$A:$A,"Rural+Urban",'Clean Data'!$B:$B,B18,'Clean Data'!$C:$C,C18)/SUMIFS('Clean Data'!$AA:$AA,'Clean Data'!$A:$A,"Rural+Urban",'Clean Data'!$B:$B,YEAR(EDATE(A18,-1)),'Clean Data'!$C:$C,TEXT(EDATE(A18,-1),"mmmm"))-1,"")</f>
        <v>6.0864272671934394E-4</v>
      </c>
      <c r="AD18" s="32">
        <f>IFERROR(SUMIFS('Clean Data'!$AB:$AB,'Clean Data'!$A:$A,"Rural+Urban",'Clean Data'!$B:$B,B18,'Clean Data'!$C:$C,C18)/SUMIFS('Clean Data'!$AB:$AB,'Clean Data'!$A:$A,"Rural+Urban",'Clean Data'!$B:$B,YEAR(EDATE(A18,-1)),'Clean Data'!$C:$C,TEXT(EDATE(A18,-1),"mmmm"))-1,"")</f>
        <v>2.4660912453762229E-3</v>
      </c>
      <c r="AE18" s="32">
        <f>IFERROR(SUMIFS('Clean Data'!$AC:$AC,'Clean Data'!$A:$A,"Rural+Urban",'Clean Data'!$B:$B,B18,'Clean Data'!$C:$C,C18)/SUMIFS('Clean Data'!$AC:$AC,'Clean Data'!$A:$A,"Rural+Urban",'Clean Data'!$B:$B,YEAR(EDATE(A18,-1)),'Clean Data'!$C:$C,TEXT(EDATE(A18,-1),"mmmm"))-1,"")</f>
        <v>3.7174721189590088E-3</v>
      </c>
      <c r="AF18" s="32">
        <f>IFERROR(SUMIFS('Clean Data'!$AD:$AD,'Clean Data'!$A:$A,"Rural+Urban",'Clean Data'!$B:$B,B18,'Clean Data'!$C:$C,C18)/SUMIFS('Clean Data'!$AD:$AD,'Clean Data'!$A:$A,"Rural+Urban",'Clean Data'!$B:$B,YEAR(EDATE(A18,-1)),'Clean Data'!$C:$C,TEXT(EDATE(A18,-1),"mmmm"))-1,"")</f>
        <v>-2.9994001199760145E-3</v>
      </c>
    </row>
    <row r="19" spans="1:32" ht="15" customHeight="1" x14ac:dyDescent="0.2">
      <c r="A19" s="44">
        <v>44562</v>
      </c>
      <c r="B19" s="30">
        <v>2022</v>
      </c>
      <c r="C19" s="30" t="s">
        <v>85</v>
      </c>
      <c r="D19" s="12">
        <v>84.67</v>
      </c>
      <c r="E19" s="25">
        <f t="shared" si="0"/>
        <v>0.15511596180081866</v>
      </c>
      <c r="F19" s="32">
        <f>IFERROR(SUMIFS('Clean Data'!$D:$D,'Clean Data'!$A:$A,"Rural+Urban",'Clean Data'!$B:$B,B19,'Clean Data'!$C:$C,C19)/SUMIFS('Clean Data'!$D:$D,'Clean Data'!$A:$A,"Rural+Urban",'Clean Data'!$B:$B,YEAR(EDATE(A19,-1)),'Clean Data'!$C:$C,TEXT(EDATE(A19,-1),"mmmm"))-1,"")</f>
        <v>5.3799596503028013E-3</v>
      </c>
      <c r="G19" s="32">
        <f>IFERROR(SUMIFS('Clean Data'!$E:$E,'Clean Data'!$A:$A,"Rural+Urban",'Clean Data'!$B:$B,B19,'Clean Data'!$C:$C,C19)/SUMIFS('Clean Data'!$E:$E,'Clean Data'!$A:$A,"Rural+Urban",'Clean Data'!$B:$B,YEAR(EDATE(A19,-1)),'Clean Data'!$C:$C,TEXT(EDATE(A19,-1),"mmmm"))-1,"")</f>
        <v>-5.0301810865205354E-4</v>
      </c>
      <c r="H19" s="32">
        <f>IFERROR(SUMIFS('Clean Data'!$F:$F,'Clean Data'!$A:$A,"Rural+Urban",'Clean Data'!$B:$B,B19,'Clean Data'!$C:$C,C19)/SUMIFS('Clean Data'!$F:$F,'Clean Data'!$A:$A,"Rural+Urban",'Clean Data'!$B:$B,YEAR(EDATE(A19,-1)),'Clean Data'!$C:$C,TEXT(EDATE(A19,-1),"mmmm"))-1,"")</f>
        <v>5.0590219224284638E-3</v>
      </c>
      <c r="I19" s="32">
        <f>IFERROR(SUMIFS('Clean Data'!$G:$G,'Clean Data'!$A:$A,"Rural+Urban",'Clean Data'!$B:$B,B19,'Clean Data'!$C:$C,C19)/SUMIFS('Clean Data'!$G:$G,'Clean Data'!$A:$A,"Rural+Urban",'Clean Data'!$B:$B,YEAR(EDATE(A19,-1)),'Clean Data'!$C:$C,TEXT(EDATE(A19,-1),"mmmm"))-1,"")</f>
        <v>3.7523452157597337E-3</v>
      </c>
      <c r="J19" s="32">
        <f>IFERROR(SUMIFS('Clean Data'!$H:$H,'Clean Data'!$A:$A,"Rural+Urban",'Clean Data'!$B:$B,B19,'Clean Data'!$C:$C,C19)/SUMIFS('Clean Data'!$H:$H,'Clean Data'!$A:$A,"Rural+Urban",'Clean Data'!$B:$B,YEAR(EDATE(A19,-1)),'Clean Data'!$C:$C,TEXT(EDATE(A19,-1),"mmmm"))-1,"")</f>
        <v>-1.545842217484017E-2</v>
      </c>
      <c r="K19" s="32">
        <f>IFERROR(SUMIFS('Clean Data'!$I:$I,'Clean Data'!$A:$A,"Rural+Urban",'Clean Data'!$B:$B,B19,'Clean Data'!$C:$C,C19)/SUMIFS('Clean Data'!$I:$I,'Clean Data'!$A:$A,"Rural+Urban",'Clean Data'!$B:$B,YEAR(EDATE(A19,-1)),'Clean Data'!$C:$C,TEXT(EDATE(A19,-1),"mmmm"))-1,"")</f>
        <v>-7.7469335054874966E-3</v>
      </c>
      <c r="L19" s="32">
        <f>IFERROR(SUMIFS('Clean Data'!$J:$J,'Clean Data'!$A:$A,"Rural+Urban",'Clean Data'!$B:$B,B19,'Clean Data'!$C:$C,C19)/SUMIFS('Clean Data'!$J:$J,'Clean Data'!$A:$A,"Rural+Urban",'Clean Data'!$B:$B,YEAR(EDATE(A19,-1)),'Clean Data'!$C:$C,TEXT(EDATE(A19,-1),"mmmm"))-1,"")</f>
        <v>-7.4349442379182173E-2</v>
      </c>
      <c r="M19" s="32">
        <f>IFERROR(SUMIFS('Clean Data'!$K:$K,'Clean Data'!$A:$A,"Rural+Urban",'Clean Data'!$B:$B,B19,'Clean Data'!$C:$C,C19)/SUMIFS('Clean Data'!$K:$K,'Clean Data'!$A:$A,"Rural+Urban",'Clean Data'!$B:$B,YEAR(EDATE(A19,-1)),'Clean Data'!$C:$C,TEXT(EDATE(A19,-1),"mmmm"))-1,"")</f>
        <v>-3.0413625304136493E-3</v>
      </c>
      <c r="N19" s="32">
        <f>IFERROR(SUMIFS('Clean Data'!$L:$L,'Clean Data'!$A:$A,"Rural+Urban",'Clean Data'!$B:$B,B19,'Clean Data'!$C:$C,C19)/SUMIFS('Clean Data'!$L:$L,'Clean Data'!$A:$A,"Rural+Urban",'Clean Data'!$B:$B,YEAR(EDATE(A19,-1)),'Clean Data'!$C:$C,TEXT(EDATE(A19,-1),"mmmm"))-1,"")</f>
        <v>-8.2644628099173278E-3</v>
      </c>
      <c r="O19" s="32">
        <f>IFERROR(SUMIFS('Clean Data'!$M:$M,'Clean Data'!$A:$A,"Rural+Urban",'Clean Data'!$B:$B,B19,'Clean Data'!$C:$C,C19)/SUMIFS('Clean Data'!$M:$M,'Clean Data'!$A:$A,"Rural+Urban",'Clean Data'!$B:$B,YEAR(EDATE(A19,-1)),'Clean Data'!$C:$C,TEXT(EDATE(A19,-1),"mmmm"))-1,"")</f>
        <v>9.3841642228738031E-3</v>
      </c>
      <c r="P19" s="32">
        <f>IFERROR(SUMIFS('Clean Data'!$N:$N,'Clean Data'!$A:$A,"Rural+Urban",'Clean Data'!$B:$B,B19,'Clean Data'!$C:$C,C19)/SUMIFS('Clean Data'!$N:$N,'Clean Data'!$A:$A,"Rural+Urban",'Clean Data'!$B:$B,YEAR(EDATE(A19,-1)),'Clean Data'!$C:$C,TEXT(EDATE(A19,-1),"mmmm"))-1,"")</f>
        <v>6.0901339829499967E-4</v>
      </c>
      <c r="Q19" s="32">
        <f>IFERROR(SUMIFS('Clean Data'!$O:$O,'Clean Data'!$A:$A,"Rural+Urban",'Clean Data'!$B:$B,B19,'Clean Data'!$C:$C,C19)/SUMIFS('Clean Data'!$O:$O,'Clean Data'!$A:$A,"Rural+Urban",'Clean Data'!$B:$B,YEAR(EDATE(A19,-1)),'Clean Data'!$C:$C,TEXT(EDATE(A19,-1),"mmmm"))-1,"")</f>
        <v>4.5325779036828884E-3</v>
      </c>
      <c r="R19" s="32">
        <f>IFERROR(SUMIFS('Clean Data'!$P:$P,'Clean Data'!$A:$A,"Rural+Urban",'Clean Data'!$B:$B,B19,'Clean Data'!$C:$C,C19)/SUMIFS('Clean Data'!$P:$P,'Clean Data'!$A:$A,"Rural+Urban",'Clean Data'!$B:$B,YEAR(EDATE(A19,-1)),'Clean Data'!$C:$C,TEXT(EDATE(A19,-1),"mmmm"))-1,"")</f>
        <v>-1.0701545778834642E-2</v>
      </c>
      <c r="S19" s="32">
        <f>IFERROR(SUMIFS('Clean Data'!$Q:$Q,'Clean Data'!$A:$A,"Rural+Urban",'Clean Data'!$B:$B,B19,'Clean Data'!$C:$C,C19)/SUMIFS('Clean Data'!$Q:$Q,'Clean Data'!$A:$A,"Rural+Urban",'Clean Data'!$B:$B,YEAR(EDATE(A19,-1)),'Clean Data'!$C:$C,TEXT(EDATE(A19,-1),"mmmm"))-1,"")</f>
        <v>-1.0395010395011228E-3</v>
      </c>
      <c r="T19" s="32">
        <f>IFERROR(SUMIFS('Clean Data'!$R:$R,'Clean Data'!$A:$A,"Rural+Urban",'Clean Data'!$B:$B,B19,'Clean Data'!$C:$C,C19)/SUMIFS('Clean Data'!$R:$R,'Clean Data'!$A:$A,"Rural+Urban",'Clean Data'!$B:$B,YEAR(EDATE(A19,-1)),'Clean Data'!$C:$C,TEXT(EDATE(A19,-1),"mmmm"))-1,"")</f>
        <v>8.3086053412462224E-3</v>
      </c>
      <c r="U19" s="32">
        <f>IFERROR(SUMIFS('Clean Data'!$S:$S,'Clean Data'!$A:$A,"Rural+Urban",'Clean Data'!$B:$B,B19,'Clean Data'!$C:$C,C19)/SUMIFS('Clean Data'!$S:$S,'Clean Data'!$A:$A,"Rural+Urban",'Clean Data'!$B:$B,YEAR(EDATE(A19,-1)),'Clean Data'!$C:$C,TEXT(EDATE(A19,-1),"mmmm"))-1,"")</f>
        <v>1.2602394454946486E-2</v>
      </c>
      <c r="V19" s="32">
        <f>IFERROR(SUMIFS('Clean Data'!$T:$T,'Clean Data'!$A:$A,"Rural+Urban",'Clean Data'!$B:$B,B19,'Clean Data'!$C:$C,C19)/SUMIFS('Clean Data'!$T:$T,'Clean Data'!$A:$A,"Rural+Urban",'Clean Data'!$B:$B,YEAR(EDATE(A19,-1)),'Clean Data'!$C:$C,TEXT(EDATE(A19,-1),"mmmm"))-1,"")</f>
        <v>8.9820359281436168E-3</v>
      </c>
      <c r="W19" s="32">
        <f>IFERROR(SUMIFS('Clean Data'!$U:$U,'Clean Data'!$A:$A,"Rural+Urban",'Clean Data'!$B:$B,B19,'Clean Data'!$C:$C,C19)/SUMIFS('Clean Data'!$U:$U,'Clean Data'!$A:$A,"Rural+Urban",'Clean Data'!$B:$B,YEAR(EDATE(A19,-1)),'Clean Data'!$C:$C,TEXT(EDATE(A19,-1),"mmmm"))-1,"")</f>
        <v>6.7319461444308448E-3</v>
      </c>
      <c r="X19" s="32">
        <f>IFERROR(SUMIFS('Clean Data'!$V:$V,'Clean Data'!$A:$A,"Rural+Urban",'Clean Data'!$B:$B,B19,'Clean Data'!$C:$C,C19)/SUMIFS('Clean Data'!$V:$V,'Clean Data'!$A:$A,"Rural+Urban",'Clean Data'!$B:$B,YEAR(EDATE(A19,-1)),'Clean Data'!$C:$C,TEXT(EDATE(A19,-1),"mmmm"))-1,"")</f>
        <v>6.0938452163306067E-4</v>
      </c>
      <c r="Y19" s="32">
        <f>IFERROR(SUMIFS('Clean Data'!$W:$W,'Clean Data'!$A:$A,"Rural+Urban",'Clean Data'!$B:$B,B19,'Clean Data'!$C:$C,C19)/SUMIFS('Clean Data'!$W:$W,'Clean Data'!$A:$A,"Rural+Urban",'Clean Data'!$B:$B,YEAR(EDATE(A19,-1)),'Clean Data'!$C:$C,TEXT(EDATE(A19,-1),"mmmm"))-1,"")</f>
        <v>5.6179775280900124E-3</v>
      </c>
      <c r="Z19" s="32">
        <f>IFERROR(SUMIFS('Clean Data'!$X:$X,'Clean Data'!$A:$A,"Rural+Urban",'Clean Data'!$B:$B,B19,'Clean Data'!$C:$C,C19)/SUMIFS('Clean Data'!$X:$X,'Clean Data'!$A:$A,"Rural+Urban",'Clean Data'!$B:$B,YEAR(EDATE(A19,-1)),'Clean Data'!$C:$C,TEXT(EDATE(A19,-1),"mmmm"))-1,"")</f>
        <v>4.6893317702227932E-3</v>
      </c>
      <c r="AA19" s="32">
        <f>IFERROR(SUMIFS('Clean Data'!$Y:$Y,'Clean Data'!$A:$A,"Rural+Urban",'Clean Data'!$B:$B,B19,'Clean Data'!$C:$C,C19)/SUMIFS('Clean Data'!$Y:$Y,'Clean Data'!$A:$A,"Rural+Urban",'Clean Data'!$B:$B,YEAR(EDATE(A19,-1)),'Clean Data'!$C:$C,TEXT(EDATE(A19,-1),"mmmm"))-1,"")</f>
        <v>5.138086062941527E-3</v>
      </c>
      <c r="AB19" s="32">
        <f>IFERROR(SUMIFS('Clean Data'!$Z:$Z,'Clean Data'!$A:$A,"Rural+Urban",'Clean Data'!$B:$B,B19,'Clean Data'!$C:$C,C19)/SUMIFS('Clean Data'!$Z:$Z,'Clean Data'!$A:$A,"Rural+Urban",'Clean Data'!$B:$B,YEAR(EDATE(A19,-1)),'Clean Data'!$C:$C,TEXT(EDATE(A19,-1),"mmmm"))-1,"")</f>
        <v>3.7359900373599153E-3</v>
      </c>
      <c r="AC19" s="32">
        <f>IFERROR(SUMIFS('Clean Data'!$AA:$AA,'Clean Data'!$A:$A,"Rural+Urban",'Clean Data'!$B:$B,B19,'Clean Data'!$C:$C,C19)/SUMIFS('Clean Data'!$AA:$AA,'Clean Data'!$A:$A,"Rural+Urban",'Clean Data'!$B:$B,YEAR(EDATE(A19,-1)),'Clean Data'!$C:$C,TEXT(EDATE(A19,-1),"mmmm"))-1,"")</f>
        <v>1.8248175182480342E-3</v>
      </c>
      <c r="AD19" s="32">
        <f>IFERROR(SUMIFS('Clean Data'!$AB:$AB,'Clean Data'!$A:$A,"Rural+Urban",'Clean Data'!$B:$B,B19,'Clean Data'!$C:$C,C19)/SUMIFS('Clean Data'!$AB:$AB,'Clean Data'!$A:$A,"Rural+Urban",'Clean Data'!$B:$B,YEAR(EDATE(A19,-1)),'Clean Data'!$C:$C,TEXT(EDATE(A19,-1),"mmmm"))-1,"")</f>
        <v>2.4600246002459691E-3</v>
      </c>
      <c r="AE19" s="32">
        <f>IFERROR(SUMIFS('Clean Data'!$AC:$AC,'Clean Data'!$A:$A,"Rural+Urban",'Clean Data'!$B:$B,B19,'Clean Data'!$C:$C,C19)/SUMIFS('Clean Data'!$AC:$AC,'Clean Data'!$A:$A,"Rural+Urban",'Clean Data'!$B:$B,YEAR(EDATE(A19,-1)),'Clean Data'!$C:$C,TEXT(EDATE(A19,-1),"mmmm"))-1,"")</f>
        <v>4.3209876543208736E-3</v>
      </c>
      <c r="AF19" s="32">
        <f>IFERROR(SUMIFS('Clean Data'!$AD:$AD,'Clean Data'!$A:$A,"Rural+Urban",'Clean Data'!$B:$B,B19,'Clean Data'!$C:$C,C19)/SUMIFS('Clean Data'!$AD:$AD,'Clean Data'!$A:$A,"Rural+Urban",'Clean Data'!$B:$B,YEAR(EDATE(A19,-1)),'Clean Data'!$C:$C,TEXT(EDATE(A19,-1),"mmmm"))-1,"")</f>
        <v>-3.0084235860409203E-3</v>
      </c>
    </row>
    <row r="20" spans="1:32" ht="15" customHeight="1" x14ac:dyDescent="0.2">
      <c r="A20" s="44">
        <v>44593</v>
      </c>
      <c r="B20" s="30">
        <v>2022</v>
      </c>
      <c r="C20" s="30" t="s">
        <v>90</v>
      </c>
      <c r="D20" s="12">
        <v>94.07</v>
      </c>
      <c r="E20" s="25">
        <f t="shared" si="0"/>
        <v>0.11101925121058209</v>
      </c>
      <c r="F20" s="32">
        <f>IFERROR(SUMIFS('Clean Data'!$D:$D,'Clean Data'!$A:$A,"Rural+Urban",'Clean Data'!$B:$B,B20,'Clean Data'!$C:$C,C20)/SUMIFS('Clean Data'!$D:$D,'Clean Data'!$A:$A,"Rural+Urban",'Clean Data'!$B:$B,YEAR(EDATE(A20,-1)),'Clean Data'!$C:$C,TEXT(EDATE(A20,-1),"mmmm"))-1,"")</f>
        <v>3.3444816053511683E-3</v>
      </c>
      <c r="G20" s="32">
        <f>IFERROR(SUMIFS('Clean Data'!$E:$E,'Clean Data'!$A:$A,"Rural+Urban",'Clean Data'!$B:$B,B20,'Clean Data'!$C:$C,C20)/SUMIFS('Clean Data'!$E:$E,'Clean Data'!$A:$A,"Rural+Urban",'Clean Data'!$B:$B,YEAR(EDATE(A20,-1)),'Clean Data'!$C:$C,TEXT(EDATE(A20,-1),"mmmm"))-1,"")</f>
        <v>9.5621540010064621E-3</v>
      </c>
      <c r="H20" s="32">
        <f>IFERROR(SUMIFS('Clean Data'!$F:$F,'Clean Data'!$A:$A,"Rural+Urban",'Clean Data'!$B:$B,B20,'Clean Data'!$C:$C,C20)/SUMIFS('Clean Data'!$F:$F,'Clean Data'!$A:$A,"Rural+Urban",'Clean Data'!$B:$B,YEAR(EDATE(A20,-1)),'Clean Data'!$C:$C,TEXT(EDATE(A20,-1),"mmmm"))-1,"")</f>
        <v>-1.6778523489932917E-2</v>
      </c>
      <c r="I20" s="32">
        <f>IFERROR(SUMIFS('Clean Data'!$G:$G,'Clean Data'!$A:$A,"Rural+Urban",'Clean Data'!$B:$B,B20,'Clean Data'!$C:$C,C20)/SUMIFS('Clean Data'!$G:$G,'Clean Data'!$A:$A,"Rural+Urban",'Clean Data'!$B:$B,YEAR(EDATE(A20,-1)),'Clean Data'!$C:$C,TEXT(EDATE(A20,-1),"mmmm"))-1,"")</f>
        <v>1.2461059190029822E-3</v>
      </c>
      <c r="J20" s="32">
        <f>IFERROR(SUMIFS('Clean Data'!$H:$H,'Clean Data'!$A:$A,"Rural+Urban",'Clean Data'!$B:$B,B20,'Clean Data'!$C:$C,C20)/SUMIFS('Clean Data'!$H:$H,'Clean Data'!$A:$A,"Rural+Urban",'Clean Data'!$B:$B,YEAR(EDATE(A20,-1)),'Clean Data'!$C:$C,TEXT(EDATE(A20,-1),"mmmm"))-1,"")</f>
        <v>1.0828370330266957E-3</v>
      </c>
      <c r="K20" s="32">
        <f>IFERROR(SUMIFS('Clean Data'!$I:$I,'Clean Data'!$A:$A,"Rural+Urban",'Clean Data'!$B:$B,B20,'Clean Data'!$C:$C,C20)/SUMIFS('Clean Data'!$I:$I,'Clean Data'!$A:$A,"Rural+Urban",'Clean Data'!$B:$B,YEAR(EDATE(A20,-1)),'Clean Data'!$C:$C,TEXT(EDATE(A20,-1),"mmmm"))-1,"")</f>
        <v>0</v>
      </c>
      <c r="L20" s="32">
        <f>IFERROR(SUMIFS('Clean Data'!$J:$J,'Clean Data'!$A:$A,"Rural+Urban",'Clean Data'!$B:$B,B20,'Clean Data'!$C:$C,C20)/SUMIFS('Clean Data'!$J:$J,'Clean Data'!$A:$A,"Rural+Urban",'Clean Data'!$B:$B,YEAR(EDATE(A20,-1)),'Clean Data'!$C:$C,TEXT(EDATE(A20,-1),"mmmm"))-1,"")</f>
        <v>-2.639127940332775E-2</v>
      </c>
      <c r="M20" s="32">
        <f>IFERROR(SUMIFS('Clean Data'!$K:$K,'Clean Data'!$A:$A,"Rural+Urban",'Clean Data'!$B:$B,B20,'Clean Data'!$C:$C,C20)/SUMIFS('Clean Data'!$K:$K,'Clean Data'!$A:$A,"Rural+Urban",'Clean Data'!$B:$B,YEAR(EDATE(A20,-1)),'Clean Data'!$C:$C,TEXT(EDATE(A20,-1),"mmmm"))-1,"")</f>
        <v>-1.2202562538133899E-3</v>
      </c>
      <c r="N20" s="32">
        <f>IFERROR(SUMIFS('Clean Data'!$L:$L,'Clean Data'!$A:$A,"Rural+Urban",'Clean Data'!$B:$B,B20,'Clean Data'!$C:$C,C20)/SUMIFS('Clean Data'!$L:$L,'Clean Data'!$A:$A,"Rural+Urban",'Clean Data'!$B:$B,YEAR(EDATE(A20,-1)),'Clean Data'!$C:$C,TEXT(EDATE(A20,-1),"mmmm"))-1,"")</f>
        <v>-9.1666666666666563E-3</v>
      </c>
      <c r="O20" s="32">
        <f>IFERROR(SUMIFS('Clean Data'!$M:$M,'Clean Data'!$A:$A,"Rural+Urban",'Clean Data'!$B:$B,B20,'Clean Data'!$C:$C,C20)/SUMIFS('Clean Data'!$M:$M,'Clean Data'!$A:$A,"Rural+Urban",'Clean Data'!$B:$B,YEAR(EDATE(A20,-1)),'Clean Data'!$C:$C,TEXT(EDATE(A20,-1),"mmmm"))-1,"")</f>
        <v>1.2783265543288902E-2</v>
      </c>
      <c r="P20" s="32">
        <f>IFERROR(SUMIFS('Clean Data'!$N:$N,'Clean Data'!$A:$A,"Rural+Urban",'Clean Data'!$B:$B,B20,'Clean Data'!$C:$C,C20)/SUMIFS('Clean Data'!$N:$N,'Clean Data'!$A:$A,"Rural+Urban",'Clean Data'!$B:$B,YEAR(EDATE(A20,-1)),'Clean Data'!$C:$C,TEXT(EDATE(A20,-1),"mmmm"))-1,"")</f>
        <v>2.4345709068775978E-3</v>
      </c>
      <c r="Q20" s="32">
        <f>IFERROR(SUMIFS('Clean Data'!$O:$O,'Clean Data'!$A:$A,"Rural+Urban",'Clean Data'!$B:$B,B20,'Clean Data'!$C:$C,C20)/SUMIFS('Clean Data'!$O:$O,'Clean Data'!$A:$A,"Rural+Urban",'Clean Data'!$B:$B,YEAR(EDATE(A20,-1)),'Clean Data'!$C:$C,TEXT(EDATE(A20,-1),"mmmm"))-1,"")</f>
        <v>3.9481105470953182E-3</v>
      </c>
      <c r="R20" s="32">
        <f>IFERROR(SUMIFS('Clean Data'!$P:$P,'Clean Data'!$A:$A,"Rural+Urban",'Clean Data'!$B:$B,B20,'Clean Data'!$C:$C,C20)/SUMIFS('Clean Data'!$P:$P,'Clean Data'!$A:$A,"Rural+Urban",'Clean Data'!$B:$B,YEAR(EDATE(A20,-1)),'Clean Data'!$C:$C,TEXT(EDATE(A20,-1),"mmmm"))-1,"")</f>
        <v>-1.2019230769231282E-3</v>
      </c>
      <c r="S20" s="32">
        <f>IFERROR(SUMIFS('Clean Data'!$Q:$Q,'Clean Data'!$A:$A,"Rural+Urban",'Clean Data'!$B:$B,B20,'Clean Data'!$C:$C,C20)/SUMIFS('Clean Data'!$Q:$Q,'Clean Data'!$A:$A,"Rural+Urban",'Clean Data'!$B:$B,YEAR(EDATE(A20,-1)),'Clean Data'!$C:$C,TEXT(EDATE(A20,-1),"mmmm"))-1,"")</f>
        <v>3.1217481789802548E-3</v>
      </c>
      <c r="T20" s="32">
        <f>IFERROR(SUMIFS('Clean Data'!$R:$R,'Clean Data'!$A:$A,"Rural+Urban",'Clean Data'!$B:$B,B20,'Clean Data'!$C:$C,C20)/SUMIFS('Clean Data'!$R:$R,'Clean Data'!$A:$A,"Rural+Urban",'Clean Data'!$B:$B,YEAR(EDATE(A20,-1)),'Clean Data'!$C:$C,TEXT(EDATE(A20,-1),"mmmm"))-1,"")</f>
        <v>5.297233666862855E-3</v>
      </c>
      <c r="U20" s="32">
        <f>IFERROR(SUMIFS('Clean Data'!$S:$S,'Clean Data'!$A:$A,"Rural+Urban",'Clean Data'!$B:$B,B20,'Clean Data'!$C:$C,C20)/SUMIFS('Clean Data'!$S:$S,'Clean Data'!$A:$A,"Rural+Urban",'Clean Data'!$B:$B,YEAR(EDATE(A20,-1)),'Clean Data'!$C:$C,TEXT(EDATE(A20,-1),"mmmm"))-1,"")</f>
        <v>1.0578718108276375E-2</v>
      </c>
      <c r="V20" s="32">
        <f>IFERROR(SUMIFS('Clean Data'!$T:$T,'Clean Data'!$A:$A,"Rural+Urban",'Clean Data'!$B:$B,B20,'Clean Data'!$C:$C,C20)/SUMIFS('Clean Data'!$T:$T,'Clean Data'!$A:$A,"Rural+Urban",'Clean Data'!$B:$B,YEAR(EDATE(A20,-1)),'Clean Data'!$C:$C,TEXT(EDATE(A20,-1),"mmmm"))-1,"")</f>
        <v>6.5281899109792541E-3</v>
      </c>
      <c r="W20" s="32">
        <f>IFERROR(SUMIFS('Clean Data'!$U:$U,'Clean Data'!$A:$A,"Rural+Urban",'Clean Data'!$B:$B,B20,'Clean Data'!$C:$C,C20)/SUMIFS('Clean Data'!$U:$U,'Clean Data'!$A:$A,"Rural+Urban",'Clean Data'!$B:$B,YEAR(EDATE(A20,-1)),'Clean Data'!$C:$C,TEXT(EDATE(A20,-1),"mmmm"))-1,"")</f>
        <v>6.0790273556230456E-3</v>
      </c>
      <c r="X20" s="32">
        <f>IFERROR(SUMIFS('Clean Data'!$V:$V,'Clean Data'!$A:$A,"Rural+Urban",'Clean Data'!$B:$B,B20,'Clean Data'!$C:$C,C20)/SUMIFS('Clean Data'!$V:$V,'Clean Data'!$A:$A,"Rural+Urban",'Clean Data'!$B:$B,YEAR(EDATE(A20,-1)),'Clean Data'!$C:$C,TEXT(EDATE(A20,-1),"mmmm"))-1,"")</f>
        <v>9.1352009744214424E-3</v>
      </c>
      <c r="Y20" s="32">
        <f>IFERROR(SUMIFS('Clean Data'!$W:$W,'Clean Data'!$A:$A,"Rural+Urban",'Clean Data'!$B:$B,B20,'Clean Data'!$C:$C,C20)/SUMIFS('Clean Data'!$W:$W,'Clean Data'!$A:$A,"Rural+Urban",'Clean Data'!$B:$B,YEAR(EDATE(A20,-1)),'Clean Data'!$C:$C,TEXT(EDATE(A20,-1),"mmmm"))-1,"")</f>
        <v>4.3451272501553451E-3</v>
      </c>
      <c r="Z20" s="32">
        <f>IFERROR(SUMIFS('Clean Data'!$X:$X,'Clean Data'!$A:$A,"Rural+Urban",'Clean Data'!$B:$B,B20,'Clean Data'!$C:$C,C20)/SUMIFS('Clean Data'!$X:$X,'Clean Data'!$A:$A,"Rural+Urban",'Clean Data'!$B:$B,YEAR(EDATE(A20,-1)),'Clean Data'!$C:$C,TEXT(EDATE(A20,-1),"mmmm"))-1,"")</f>
        <v>4.6674445740955139E-3</v>
      </c>
      <c r="AA20" s="32">
        <f>IFERROR(SUMIFS('Clean Data'!$Y:$Y,'Clean Data'!$A:$A,"Rural+Urban",'Clean Data'!$B:$B,B20,'Clean Data'!$C:$C,C20)/SUMIFS('Clean Data'!$Y:$Y,'Clean Data'!$A:$A,"Rural+Urban",'Clean Data'!$B:$B,YEAR(EDATE(A20,-1)),'Clean Data'!$C:$C,TEXT(EDATE(A20,-1),"mmmm"))-1,"")</f>
        <v>2.5559105431309792E-3</v>
      </c>
      <c r="AB20" s="32">
        <f>IFERROR(SUMIFS('Clean Data'!$Z:$Z,'Clean Data'!$A:$A,"Rural+Urban",'Clean Data'!$B:$B,B20,'Clean Data'!$C:$C,C20)/SUMIFS('Clean Data'!$Z:$Z,'Clean Data'!$A:$A,"Rural+Urban",'Clean Data'!$B:$B,YEAR(EDATE(A20,-1)),'Clean Data'!$C:$C,TEXT(EDATE(A20,-1),"mmmm"))-1,"")</f>
        <v>5.5831265508685668E-3</v>
      </c>
      <c r="AC20" s="32">
        <f>IFERROR(SUMIFS('Clean Data'!$AA:$AA,'Clean Data'!$A:$A,"Rural+Urban",'Clean Data'!$B:$B,B20,'Clean Data'!$C:$C,C20)/SUMIFS('Clean Data'!$AA:$AA,'Clean Data'!$A:$A,"Rural+Urban",'Clean Data'!$B:$B,YEAR(EDATE(A20,-1)),'Clean Data'!$C:$C,TEXT(EDATE(A20,-1),"mmmm"))-1,"")</f>
        <v>4.2501517911355258E-3</v>
      </c>
      <c r="AD20" s="32">
        <f>IFERROR(SUMIFS('Clean Data'!$AB:$AB,'Clean Data'!$A:$A,"Rural+Urban",'Clean Data'!$B:$B,B20,'Clean Data'!$C:$C,C20)/SUMIFS('Clean Data'!$AB:$AB,'Clean Data'!$A:$A,"Rural+Urban",'Clean Data'!$B:$B,YEAR(EDATE(A20,-1)),'Clean Data'!$C:$C,TEXT(EDATE(A20,-1),"mmmm"))-1,"")</f>
        <v>8.5889570552146743E-3</v>
      </c>
      <c r="AE20" s="32">
        <f>IFERROR(SUMIFS('Clean Data'!$AC:$AC,'Clean Data'!$A:$A,"Rural+Urban",'Clean Data'!$B:$B,B20,'Clean Data'!$C:$C,C20)/SUMIFS('Clean Data'!$AC:$AC,'Clean Data'!$A:$A,"Rural+Urban",'Clean Data'!$B:$B,YEAR(EDATE(A20,-1)),'Clean Data'!$C:$C,TEXT(EDATE(A20,-1),"mmmm"))-1,"")</f>
        <v>4.9170251997541214E-3</v>
      </c>
      <c r="AF20" s="32">
        <f>IFERROR(SUMIFS('Clean Data'!$AD:$AD,'Clean Data'!$A:$A,"Rural+Urban",'Clean Data'!$B:$B,B20,'Clean Data'!$C:$C,C20)/SUMIFS('Clean Data'!$AD:$AD,'Clean Data'!$A:$A,"Rural+Urban",'Clean Data'!$B:$B,YEAR(EDATE(A20,-1)),'Clean Data'!$C:$C,TEXT(EDATE(A20,-1),"mmmm"))-1,"")</f>
        <v>2.4140012070006378E-3</v>
      </c>
    </row>
    <row r="21" spans="1:32" ht="15" customHeight="1" x14ac:dyDescent="0.2">
      <c r="A21" s="44">
        <v>44621</v>
      </c>
      <c r="B21" s="30">
        <v>2022</v>
      </c>
      <c r="C21" s="30" t="s">
        <v>92</v>
      </c>
      <c r="D21" s="12">
        <v>112.87</v>
      </c>
      <c r="E21" s="25">
        <f t="shared" si="0"/>
        <v>0.19985117465717028</v>
      </c>
      <c r="F21" s="32">
        <f>IFERROR(SUMIFS('Clean Data'!$D:$D,'Clean Data'!$A:$A,"Rural+Urban",'Clean Data'!$B:$B,B21,'Clean Data'!$C:$C,C21)/SUMIFS('Clean Data'!$D:$D,'Clean Data'!$A:$A,"Rural+Urban",'Clean Data'!$B:$B,YEAR(EDATE(A21,-1)),'Clean Data'!$C:$C,TEXT(EDATE(A21,-1),"mmmm"))-1,"")</f>
        <v>8.6666666666668224E-3</v>
      </c>
      <c r="G21" s="32">
        <f>IFERROR(SUMIFS('Clean Data'!$E:$E,'Clean Data'!$A:$A,"Rural+Urban",'Clean Data'!$B:$B,B21,'Clean Data'!$C:$C,C21)/SUMIFS('Clean Data'!$E:$E,'Clean Data'!$A:$A,"Rural+Urban",'Clean Data'!$B:$B,YEAR(EDATE(A21,-1)),'Clean Data'!$C:$C,TEXT(EDATE(A21,-1),"mmmm"))-1,"")</f>
        <v>5.0348953140578301E-2</v>
      </c>
      <c r="H21" s="32">
        <f>IFERROR(SUMIFS('Clean Data'!$F:$F,'Clean Data'!$A:$A,"Rural+Urban",'Clean Data'!$B:$B,B21,'Clean Data'!$C:$C,C21)/SUMIFS('Clean Data'!$F:$F,'Clean Data'!$A:$A,"Rural+Urban",'Clean Data'!$B:$B,YEAR(EDATE(A21,-1)),'Clean Data'!$C:$C,TEXT(EDATE(A21,-1),"mmmm"))-1,"")</f>
        <v>-4.5506257110352721E-2</v>
      </c>
      <c r="I21" s="32">
        <f>IFERROR(SUMIFS('Clean Data'!$G:$G,'Clean Data'!$A:$A,"Rural+Urban",'Clean Data'!$B:$B,B21,'Clean Data'!$C:$C,C21)/SUMIFS('Clean Data'!$G:$G,'Clean Data'!$A:$A,"Rural+Urban",'Clean Data'!$B:$B,YEAR(EDATE(A21,-1)),'Clean Data'!$C:$C,TEXT(EDATE(A21,-1),"mmmm"))-1,"")</f>
        <v>9.3341630367143047E-3</v>
      </c>
      <c r="J21" s="32">
        <f>IFERROR(SUMIFS('Clean Data'!$H:$H,'Clean Data'!$A:$A,"Rural+Urban",'Clean Data'!$B:$B,B21,'Clean Data'!$C:$C,C21)/SUMIFS('Clean Data'!$H:$H,'Clean Data'!$A:$A,"Rural+Urban",'Clean Data'!$B:$B,YEAR(EDATE(A21,-1)),'Clean Data'!$C:$C,TEXT(EDATE(A21,-1),"mmmm"))-1,"")</f>
        <v>5.246078961600853E-2</v>
      </c>
      <c r="K21" s="32">
        <f>IFERROR(SUMIFS('Clean Data'!$I:$I,'Clean Data'!$A:$A,"Rural+Urban",'Clean Data'!$B:$B,B21,'Clean Data'!$C:$C,C21)/SUMIFS('Clean Data'!$I:$I,'Clean Data'!$A:$A,"Rural+Urban",'Clean Data'!$B:$B,YEAR(EDATE(A21,-1)),'Clean Data'!$C:$C,TEXT(EDATE(A21,-1),"mmmm"))-1,"")</f>
        <v>2.5374105400130187E-2</v>
      </c>
      <c r="L21" s="32">
        <f>IFERROR(SUMIFS('Clean Data'!$J:$J,'Clean Data'!$A:$A,"Rural+Urban",'Clean Data'!$B:$B,B21,'Clean Data'!$C:$C,C21)/SUMIFS('Clean Data'!$J:$J,'Clean Data'!$A:$A,"Rural+Urban",'Clean Data'!$B:$B,YEAR(EDATE(A21,-1)),'Clean Data'!$C:$C,TEXT(EDATE(A21,-1),"mmmm"))-1,"")</f>
        <v>-1.6499705362404193E-2</v>
      </c>
      <c r="M21" s="32">
        <f>IFERROR(SUMIFS('Clean Data'!$K:$K,'Clean Data'!$A:$A,"Rural+Urban",'Clean Data'!$B:$B,B21,'Clean Data'!$C:$C,C21)/SUMIFS('Clean Data'!$K:$K,'Clean Data'!$A:$A,"Rural+Urban",'Clean Data'!$B:$B,YEAR(EDATE(A21,-1)),'Clean Data'!$C:$C,TEXT(EDATE(A21,-1),"mmmm"))-1,"")</f>
        <v>1.2217470983506562E-3</v>
      </c>
      <c r="N21" s="32">
        <f>IFERROR(SUMIFS('Clean Data'!$L:$L,'Clean Data'!$A:$A,"Rural+Urban",'Clean Data'!$B:$B,B21,'Clean Data'!$C:$C,C21)/SUMIFS('Clean Data'!$L:$L,'Clean Data'!$A:$A,"Rural+Urban",'Clean Data'!$B:$B,YEAR(EDATE(A21,-1)),'Clean Data'!$C:$C,TEXT(EDATE(A21,-1),"mmmm"))-1,"")</f>
        <v>-8.4104289318764902E-4</v>
      </c>
      <c r="O21" s="32">
        <f>IFERROR(SUMIFS('Clean Data'!$M:$M,'Clean Data'!$A:$A,"Rural+Urban",'Clean Data'!$B:$B,B21,'Clean Data'!$C:$C,C21)/SUMIFS('Clean Data'!$M:$M,'Clean Data'!$A:$A,"Rural+Urban",'Clean Data'!$B:$B,YEAR(EDATE(A21,-1)),'Clean Data'!$C:$C,TEXT(EDATE(A21,-1),"mmmm"))-1,"")</f>
        <v>1.7785427423981703E-2</v>
      </c>
      <c r="P21" s="32">
        <f>IFERROR(SUMIFS('Clean Data'!$N:$N,'Clean Data'!$A:$A,"Rural+Urban",'Clean Data'!$B:$B,B21,'Clean Data'!$C:$C,C21)/SUMIFS('Clean Data'!$N:$N,'Clean Data'!$A:$A,"Rural+Urban",'Clean Data'!$B:$B,YEAR(EDATE(A21,-1)),'Clean Data'!$C:$C,TEXT(EDATE(A21,-1),"mmmm"))-1,"")</f>
        <v>3.6429872495447047E-3</v>
      </c>
      <c r="Q21" s="32">
        <f>IFERROR(SUMIFS('Clean Data'!$O:$O,'Clean Data'!$A:$A,"Rural+Urban",'Clean Data'!$B:$B,B21,'Clean Data'!$C:$C,C21)/SUMIFS('Clean Data'!$O:$O,'Clean Data'!$A:$A,"Rural+Urban",'Clean Data'!$B:$B,YEAR(EDATE(A21,-1)),'Clean Data'!$C:$C,TEXT(EDATE(A21,-1),"mmmm"))-1,"")</f>
        <v>7.3033707865168829E-3</v>
      </c>
      <c r="R21" s="32">
        <f>IFERROR(SUMIFS('Clean Data'!$P:$P,'Clean Data'!$A:$A,"Rural+Urban",'Clean Data'!$B:$B,B21,'Clean Data'!$C:$C,C21)/SUMIFS('Clean Data'!$P:$P,'Clean Data'!$A:$A,"Rural+Urban",'Clean Data'!$B:$B,YEAR(EDATE(A21,-1)),'Clean Data'!$C:$C,TEXT(EDATE(A21,-1),"mmmm"))-1,"")</f>
        <v>1.3237063778580138E-2</v>
      </c>
      <c r="S21" s="32">
        <f>IFERROR(SUMIFS('Clean Data'!$Q:$Q,'Clean Data'!$A:$A,"Rural+Urban",'Clean Data'!$B:$B,B21,'Clean Data'!$C:$C,C21)/SUMIFS('Clean Data'!$Q:$Q,'Clean Data'!$A:$A,"Rural+Urban",'Clean Data'!$B:$B,YEAR(EDATE(A21,-1)),'Clean Data'!$C:$C,TEXT(EDATE(A21,-1),"mmmm"))-1,"")</f>
        <v>4.6680497925311037E-3</v>
      </c>
      <c r="T21" s="32">
        <f>IFERROR(SUMIFS('Clean Data'!$R:$R,'Clean Data'!$A:$A,"Rural+Urban",'Clean Data'!$B:$B,B21,'Clean Data'!$C:$C,C21)/SUMIFS('Clean Data'!$R:$R,'Clean Data'!$A:$A,"Rural+Urban",'Clean Data'!$B:$B,YEAR(EDATE(A21,-1)),'Clean Data'!$C:$C,TEXT(EDATE(A21,-1),"mmmm"))-1,"")</f>
        <v>7.6112412177984368E-3</v>
      </c>
      <c r="U21" s="32">
        <f>IFERROR(SUMIFS('Clean Data'!$S:$S,'Clean Data'!$A:$A,"Rural+Urban",'Clean Data'!$B:$B,B21,'Clean Data'!$C:$C,C21)/SUMIFS('Clean Data'!$S:$S,'Clean Data'!$A:$A,"Rural+Urban",'Clean Data'!$B:$B,YEAR(EDATE(A21,-1)),'Clean Data'!$C:$C,TEXT(EDATE(A21,-1),"mmmm"))-1,"")</f>
        <v>1.3546798029556495E-2</v>
      </c>
      <c r="V21" s="32">
        <f>IFERROR(SUMIFS('Clean Data'!$T:$T,'Clean Data'!$A:$A,"Rural+Urban",'Clean Data'!$B:$B,B21,'Clean Data'!$C:$C,C21)/SUMIFS('Clean Data'!$T:$T,'Clean Data'!$A:$A,"Rural+Urban",'Clean Data'!$B:$B,YEAR(EDATE(A21,-1)),'Clean Data'!$C:$C,TEXT(EDATE(A21,-1),"mmmm"))-1,"")</f>
        <v>8.8443396226414173E-3</v>
      </c>
      <c r="W21" s="32">
        <f>IFERROR(SUMIFS('Clean Data'!$U:$U,'Clean Data'!$A:$A,"Rural+Urban",'Clean Data'!$B:$B,B21,'Clean Data'!$C:$C,C21)/SUMIFS('Clean Data'!$U:$U,'Clean Data'!$A:$A,"Rural+Urban",'Clean Data'!$B:$B,YEAR(EDATE(A21,-1)),'Clean Data'!$C:$C,TEXT(EDATE(A21,-1),"mmmm"))-1,"")</f>
        <v>-1.2084592145014117E-3</v>
      </c>
      <c r="X21" s="32">
        <f>IFERROR(SUMIFS('Clean Data'!$V:$V,'Clean Data'!$A:$A,"Rural+Urban",'Clean Data'!$B:$B,B21,'Clean Data'!$C:$C,C21)/SUMIFS('Clean Data'!$V:$V,'Clean Data'!$A:$A,"Rural+Urban",'Clean Data'!$B:$B,YEAR(EDATE(A21,-1)),'Clean Data'!$C:$C,TEXT(EDATE(A21,-1),"mmmm"))-1,"")</f>
        <v>9.0525045262521697E-3</v>
      </c>
      <c r="Y21" s="32">
        <f>IFERROR(SUMIFS('Clean Data'!$W:$W,'Clean Data'!$A:$A,"Rural+Urban",'Clean Data'!$B:$B,B21,'Clean Data'!$C:$C,C21)/SUMIFS('Clean Data'!$W:$W,'Clean Data'!$A:$A,"Rural+Urban",'Clean Data'!$B:$B,YEAR(EDATE(A21,-1)),'Clean Data'!$C:$C,TEXT(EDATE(A21,-1),"mmmm"))-1,"")</f>
        <v>6.1804697156984112E-3</v>
      </c>
      <c r="Z21" s="32">
        <f>IFERROR(SUMIFS('Clean Data'!$X:$X,'Clean Data'!$A:$A,"Rural+Urban",'Clean Data'!$B:$B,B21,'Clean Data'!$C:$C,C21)/SUMIFS('Clean Data'!$X:$X,'Clean Data'!$A:$A,"Rural+Urban",'Clean Data'!$B:$B,YEAR(EDATE(A21,-1)),'Clean Data'!$C:$C,TEXT(EDATE(A21,-1),"mmmm"))-1,"")</f>
        <v>4.6457607433216808E-3</v>
      </c>
      <c r="AA21" s="32">
        <f>IFERROR(SUMIFS('Clean Data'!$Y:$Y,'Clean Data'!$A:$A,"Rural+Urban",'Clean Data'!$B:$B,B21,'Clean Data'!$C:$C,C21)/SUMIFS('Clean Data'!$Y:$Y,'Clean Data'!$A:$A,"Rural+Urban",'Clean Data'!$B:$B,YEAR(EDATE(A21,-1)),'Clean Data'!$C:$C,TEXT(EDATE(A21,-1),"mmmm"))-1,"")</f>
        <v>6.3734862970044048E-3</v>
      </c>
      <c r="AB21" s="32">
        <f>IFERROR(SUMIFS('Clean Data'!$Z:$Z,'Clean Data'!$A:$A,"Rural+Urban",'Clean Data'!$B:$B,B21,'Clean Data'!$C:$C,C21)/SUMIFS('Clean Data'!$Z:$Z,'Clean Data'!$A:$A,"Rural+Urban",'Clean Data'!$B:$B,YEAR(EDATE(A21,-1)),'Clean Data'!$C:$C,TEXT(EDATE(A21,-1),"mmmm"))-1,"")</f>
        <v>7.402837754472591E-3</v>
      </c>
      <c r="AC21" s="32">
        <f>IFERROR(SUMIFS('Clean Data'!$AA:$AA,'Clean Data'!$A:$A,"Rural+Urban",'Clean Data'!$B:$B,B21,'Clean Data'!$C:$C,C21)/SUMIFS('Clean Data'!$AA:$AA,'Clean Data'!$A:$A,"Rural+Urban",'Clean Data'!$B:$B,YEAR(EDATE(A21,-1)),'Clean Data'!$C:$C,TEXT(EDATE(A21,-1),"mmmm"))-1,"")</f>
        <v>3.6275695284160303E-3</v>
      </c>
      <c r="AD21" s="32">
        <f>IFERROR(SUMIFS('Clean Data'!$AB:$AB,'Clean Data'!$A:$A,"Rural+Urban",'Clean Data'!$B:$B,B21,'Clean Data'!$C:$C,C21)/SUMIFS('Clean Data'!$AB:$AB,'Clean Data'!$A:$A,"Rural+Urban",'Clean Data'!$B:$B,YEAR(EDATE(A21,-1)),'Clean Data'!$C:$C,TEXT(EDATE(A21,-1),"mmmm"))-1,"")</f>
        <v>1.703163017031617E-2</v>
      </c>
      <c r="AE21" s="32">
        <f>IFERROR(SUMIFS('Clean Data'!$AC:$AC,'Clean Data'!$A:$A,"Rural+Urban",'Clean Data'!$B:$B,B21,'Clean Data'!$C:$C,C21)/SUMIFS('Clean Data'!$AC:$AC,'Clean Data'!$A:$A,"Rural+Urban",'Clean Data'!$B:$B,YEAR(EDATE(A21,-1)),'Clean Data'!$C:$C,TEXT(EDATE(A21,-1),"mmmm"))-1,"")</f>
        <v>6.7278287461773889E-3</v>
      </c>
      <c r="AF21" s="32">
        <f>IFERROR(SUMIFS('Clean Data'!$AD:$AD,'Clean Data'!$A:$A,"Rural+Urban",'Clean Data'!$B:$B,B21,'Clean Data'!$C:$C,C21)/SUMIFS('Clean Data'!$AD:$AD,'Clean Data'!$A:$A,"Rural+Urban",'Clean Data'!$B:$B,YEAR(EDATE(A21,-1)),'Clean Data'!$C:$C,TEXT(EDATE(A21,-1),"mmmm"))-1,"")</f>
        <v>9.6327513546057286E-3</v>
      </c>
    </row>
    <row r="22" spans="1:32" ht="15" customHeight="1" x14ac:dyDescent="0.2">
      <c r="A22" s="44">
        <v>44652</v>
      </c>
      <c r="B22" s="30">
        <v>2022</v>
      </c>
      <c r="C22" s="30" t="s">
        <v>93</v>
      </c>
      <c r="D22" s="12">
        <v>102.97</v>
      </c>
      <c r="E22" s="25">
        <f t="shared" si="0"/>
        <v>-8.7711526534951734E-2</v>
      </c>
      <c r="F22" s="32">
        <f>IFERROR(SUMIFS('Clean Data'!$D:$D,'Clean Data'!$A:$A,"Rural+Urban",'Clean Data'!$B:$B,B22,'Clean Data'!$C:$C,C22)/SUMIFS('Clean Data'!$D:$D,'Clean Data'!$A:$A,"Rural+Urban",'Clean Data'!$B:$B,YEAR(EDATE(A22,-1)),'Clean Data'!$C:$C,TEXT(EDATE(A22,-1),"mmmm"))-1,"")</f>
        <v>1.0575016523463265E-2</v>
      </c>
      <c r="G22" s="32">
        <f>IFERROR(SUMIFS('Clean Data'!$E:$E,'Clean Data'!$A:$A,"Rural+Urban",'Clean Data'!$B:$B,B22,'Clean Data'!$C:$C,C22)/SUMIFS('Clean Data'!$E:$E,'Clean Data'!$A:$A,"Rural+Urban",'Clean Data'!$B:$B,YEAR(EDATE(A22,-1)),'Clean Data'!$C:$C,TEXT(EDATE(A22,-1),"mmmm"))-1,"")</f>
        <v>5.2206929283342696E-3</v>
      </c>
      <c r="H22" s="32">
        <f>IFERROR(SUMIFS('Clean Data'!$F:$F,'Clean Data'!$A:$A,"Rural+Urban",'Clean Data'!$B:$B,B22,'Clean Data'!$C:$C,C22)/SUMIFS('Clean Data'!$F:$F,'Clean Data'!$A:$A,"Rural+Urban",'Clean Data'!$B:$B,YEAR(EDATE(A22,-1)),'Clean Data'!$C:$C,TEXT(EDATE(A22,-1),"mmmm"))-1,"")</f>
        <v>-1.966626936829563E-2</v>
      </c>
      <c r="I22" s="32">
        <f>IFERROR(SUMIFS('Clean Data'!$G:$G,'Clean Data'!$A:$A,"Rural+Urban",'Clean Data'!$B:$B,B22,'Clean Data'!$C:$C,C22)/SUMIFS('Clean Data'!$G:$G,'Clean Data'!$A:$A,"Rural+Urban",'Clean Data'!$B:$B,YEAR(EDATE(A22,-1)),'Clean Data'!$C:$C,TEXT(EDATE(A22,-1),"mmmm"))-1,"")</f>
        <v>1.0480887792848392E-2</v>
      </c>
      <c r="J22" s="32">
        <f>IFERROR(SUMIFS('Clean Data'!$H:$H,'Clean Data'!$A:$A,"Rural+Urban",'Clean Data'!$B:$B,B22,'Clean Data'!$C:$C,C22)/SUMIFS('Clean Data'!$H:$H,'Clean Data'!$A:$A,"Rural+Urban",'Clean Data'!$B:$B,YEAR(EDATE(A22,-1)),'Clean Data'!$C:$C,TEXT(EDATE(A22,-1),"mmmm"))-1,"")</f>
        <v>2.5179856115107979E-2</v>
      </c>
      <c r="K22" s="32">
        <f>IFERROR(SUMIFS('Clean Data'!$I:$I,'Clean Data'!$A:$A,"Rural+Urban",'Clean Data'!$B:$B,B22,'Clean Data'!$C:$C,C22)/SUMIFS('Clean Data'!$I:$I,'Clean Data'!$A:$A,"Rural+Urban",'Clean Data'!$B:$B,YEAR(EDATE(A22,-1)),'Clean Data'!$C:$C,TEXT(EDATE(A22,-1),"mmmm"))-1,"")</f>
        <v>9.5177664974619214E-2</v>
      </c>
      <c r="L22" s="32">
        <f>IFERROR(SUMIFS('Clean Data'!$J:$J,'Clean Data'!$A:$A,"Rural+Urban",'Clean Data'!$B:$B,B22,'Clean Data'!$C:$C,C22)/SUMIFS('Clean Data'!$J:$J,'Clean Data'!$A:$A,"Rural+Urban",'Clean Data'!$B:$B,YEAR(EDATE(A22,-1)),'Clean Data'!$C:$C,TEXT(EDATE(A22,-1),"mmmm"))-1,"")</f>
        <v>-4.1941282204913666E-3</v>
      </c>
      <c r="M22" s="32">
        <f>IFERROR(SUMIFS('Clean Data'!$K:$K,'Clean Data'!$A:$A,"Rural+Urban",'Clean Data'!$B:$B,B22,'Clean Data'!$C:$C,C22)/SUMIFS('Clean Data'!$K:$K,'Clean Data'!$A:$A,"Rural+Urban",'Clean Data'!$B:$B,YEAR(EDATE(A22,-1)),'Clean Data'!$C:$C,TEXT(EDATE(A22,-1),"mmmm"))-1,"")</f>
        <v>4.8810250152531154E-3</v>
      </c>
      <c r="N22" s="32">
        <f>IFERROR(SUMIFS('Clean Data'!$L:$L,'Clean Data'!$A:$A,"Rural+Urban",'Clean Data'!$B:$B,B22,'Clean Data'!$C:$C,C22)/SUMIFS('Clean Data'!$L:$L,'Clean Data'!$A:$A,"Rural+Urban",'Clean Data'!$B:$B,YEAR(EDATE(A22,-1)),'Clean Data'!$C:$C,TEXT(EDATE(A22,-1),"mmmm"))-1,"")</f>
        <v>1.6835016835017313E-3</v>
      </c>
      <c r="O22" s="32">
        <f>IFERROR(SUMIFS('Clean Data'!$M:$M,'Clean Data'!$A:$A,"Rural+Urban",'Clean Data'!$B:$B,B22,'Clean Data'!$C:$C,C22)/SUMIFS('Clean Data'!$M:$M,'Clean Data'!$A:$A,"Rural+Urban",'Clean Data'!$B:$B,YEAR(EDATE(A22,-1)),'Clean Data'!$C:$C,TEXT(EDATE(A22,-1),"mmmm"))-1,"")</f>
        <v>2.1984216459977501E-2</v>
      </c>
      <c r="P22" s="32">
        <f>IFERROR(SUMIFS('Clean Data'!$N:$N,'Clean Data'!$A:$A,"Rural+Urban",'Clean Data'!$B:$B,B22,'Clean Data'!$C:$C,C22)/SUMIFS('Clean Data'!$N:$N,'Clean Data'!$A:$A,"Rural+Urban",'Clean Data'!$B:$B,YEAR(EDATE(A22,-1)),'Clean Data'!$C:$C,TEXT(EDATE(A22,-1),"mmmm"))-1,"")</f>
        <v>5.4446460980035472E-3</v>
      </c>
      <c r="Q22" s="32">
        <f>IFERROR(SUMIFS('Clean Data'!$O:$O,'Clean Data'!$A:$A,"Rural+Urban",'Clean Data'!$B:$B,B22,'Clean Data'!$C:$C,C22)/SUMIFS('Clean Data'!$O:$O,'Clean Data'!$A:$A,"Rural+Urban",'Clean Data'!$B:$B,YEAR(EDATE(A22,-1)),'Clean Data'!$C:$C,TEXT(EDATE(A22,-1),"mmmm"))-1,"")</f>
        <v>8.9235917456775837E-3</v>
      </c>
      <c r="R22" s="32">
        <f>IFERROR(SUMIFS('Clean Data'!$P:$P,'Clean Data'!$A:$A,"Rural+Urban",'Clean Data'!$B:$B,B22,'Clean Data'!$C:$C,C22)/SUMIFS('Clean Data'!$P:$P,'Clean Data'!$A:$A,"Rural+Urban",'Clean Data'!$B:$B,YEAR(EDATE(A22,-1)),'Clean Data'!$C:$C,TEXT(EDATE(A22,-1),"mmmm"))-1,"")</f>
        <v>1.4251781472684133E-2</v>
      </c>
      <c r="S22" s="32">
        <f>IFERROR(SUMIFS('Clean Data'!$Q:$Q,'Clean Data'!$A:$A,"Rural+Urban",'Clean Data'!$B:$B,B22,'Clean Data'!$C:$C,C22)/SUMIFS('Clean Data'!$Q:$Q,'Clean Data'!$A:$A,"Rural+Urban",'Clean Data'!$B:$B,YEAR(EDATE(A22,-1)),'Clean Data'!$C:$C,TEXT(EDATE(A22,-1),"mmmm"))-1,"")</f>
        <v>1.0325245224573898E-3</v>
      </c>
      <c r="T22" s="32">
        <f>IFERROR(SUMIFS('Clean Data'!$R:$R,'Clean Data'!$A:$A,"Rural+Urban",'Clean Data'!$B:$B,B22,'Clean Data'!$C:$C,C22)/SUMIFS('Clean Data'!$R:$R,'Clean Data'!$A:$A,"Rural+Urban",'Clean Data'!$B:$B,YEAR(EDATE(A22,-1)),'Clean Data'!$C:$C,TEXT(EDATE(A22,-1),"mmmm"))-1,"")</f>
        <v>1.0459035444509102E-2</v>
      </c>
      <c r="U22" s="32">
        <f>IFERROR(SUMIFS('Clean Data'!$S:$S,'Clean Data'!$A:$A,"Rural+Urban",'Clean Data'!$B:$B,B22,'Clean Data'!$C:$C,C22)/SUMIFS('Clean Data'!$S:$S,'Clean Data'!$A:$A,"Rural+Urban",'Clean Data'!$B:$B,YEAR(EDATE(A22,-1)),'Clean Data'!$C:$C,TEXT(EDATE(A22,-1),"mmmm"))-1,"")</f>
        <v>1.1543134872417982E-2</v>
      </c>
      <c r="V22" s="32">
        <f>IFERROR(SUMIFS('Clean Data'!$T:$T,'Clean Data'!$A:$A,"Rural+Urban",'Clean Data'!$B:$B,B22,'Clean Data'!$C:$C,C22)/SUMIFS('Clean Data'!$T:$T,'Clean Data'!$A:$A,"Rural+Urban",'Clean Data'!$B:$B,YEAR(EDATE(A22,-1)),'Clean Data'!$C:$C,TEXT(EDATE(A22,-1),"mmmm"))-1,"")</f>
        <v>9.9357101110462143E-3</v>
      </c>
      <c r="W22" s="32">
        <f>IFERROR(SUMIFS('Clean Data'!$U:$U,'Clean Data'!$A:$A,"Rural+Urban",'Clean Data'!$B:$B,B22,'Clean Data'!$C:$C,C22)/SUMIFS('Clean Data'!$U:$U,'Clean Data'!$A:$A,"Rural+Urban",'Clean Data'!$B:$B,YEAR(EDATE(A22,-1)),'Clean Data'!$C:$C,TEXT(EDATE(A22,-1),"mmmm"))-1,"")</f>
        <v>1.0284331518451317E-2</v>
      </c>
      <c r="X22" s="32">
        <f>IFERROR(SUMIFS('Clean Data'!$V:$V,'Clean Data'!$A:$A,"Rural+Urban",'Clean Data'!$B:$B,B22,'Clean Data'!$C:$C,C22)/SUMIFS('Clean Data'!$V:$V,'Clean Data'!$A:$A,"Rural+Urban",'Clean Data'!$B:$B,YEAR(EDATE(A22,-1)),'Clean Data'!$C:$C,TEXT(EDATE(A22,-1),"mmmm"))-1,"")</f>
        <v>2.9904306220095656E-2</v>
      </c>
      <c r="Y22" s="32">
        <f>IFERROR(SUMIFS('Clean Data'!$W:$W,'Clean Data'!$A:$A,"Rural+Urban",'Clean Data'!$B:$B,B22,'Clean Data'!$C:$C,C22)/SUMIFS('Clean Data'!$W:$W,'Clean Data'!$A:$A,"Rural+Urban",'Clean Data'!$B:$B,YEAR(EDATE(A22,-1)),'Clean Data'!$C:$C,TEXT(EDATE(A22,-1),"mmmm"))-1,"")</f>
        <v>7.3710073710073765E-3</v>
      </c>
      <c r="Z22" s="32">
        <f>IFERROR(SUMIFS('Clean Data'!$X:$X,'Clean Data'!$A:$A,"Rural+Urban",'Clean Data'!$B:$B,B22,'Clean Data'!$C:$C,C22)/SUMIFS('Clean Data'!$X:$X,'Clean Data'!$A:$A,"Rural+Urban",'Clean Data'!$B:$B,YEAR(EDATE(A22,-1)),'Clean Data'!$C:$C,TEXT(EDATE(A22,-1),"mmmm"))-1,"")</f>
        <v>5.7803468208093012E-3</v>
      </c>
      <c r="AA22" s="32">
        <f>IFERROR(SUMIFS('Clean Data'!$Y:$Y,'Clean Data'!$A:$A,"Rural+Urban",'Clean Data'!$B:$B,B22,'Clean Data'!$C:$C,C22)/SUMIFS('Clean Data'!$Y:$Y,'Clean Data'!$A:$A,"Rural+Urban",'Clean Data'!$B:$B,YEAR(EDATE(A22,-1)),'Clean Data'!$C:$C,TEXT(EDATE(A22,-1),"mmmm"))-1,"")</f>
        <v>2.9765674477517434E-2</v>
      </c>
      <c r="AB22" s="32">
        <f>IFERROR(SUMIFS('Clean Data'!$Z:$Z,'Clean Data'!$A:$A,"Rural+Urban",'Clean Data'!$B:$B,B22,'Clean Data'!$C:$C,C22)/SUMIFS('Clean Data'!$Z:$Z,'Clean Data'!$A:$A,"Rural+Urban",'Clean Data'!$B:$B,YEAR(EDATE(A22,-1)),'Clean Data'!$C:$C,TEXT(EDATE(A22,-1),"mmmm"))-1,"")</f>
        <v>6.7360685854256364E-3</v>
      </c>
      <c r="AC22" s="32">
        <f>IFERROR(SUMIFS('Clean Data'!$AA:$AA,'Clean Data'!$A:$A,"Rural+Urban",'Clean Data'!$B:$B,B22,'Clean Data'!$C:$C,C22)/SUMIFS('Clean Data'!$AA:$AA,'Clean Data'!$A:$A,"Rural+Urban",'Clean Data'!$B:$B,YEAR(EDATE(A22,-1)),'Clean Data'!$C:$C,TEXT(EDATE(A22,-1),"mmmm"))-1,"")</f>
        <v>5.4216867469880636E-3</v>
      </c>
      <c r="AD22" s="32">
        <f>IFERROR(SUMIFS('Clean Data'!$AB:$AB,'Clean Data'!$A:$A,"Rural+Urban",'Clean Data'!$B:$B,B22,'Clean Data'!$C:$C,C22)/SUMIFS('Clean Data'!$AB:$AB,'Clean Data'!$A:$A,"Rural+Urban",'Clean Data'!$B:$B,YEAR(EDATE(A22,-1)),'Clean Data'!$C:$C,TEXT(EDATE(A22,-1),"mmmm"))-1,"")</f>
        <v>9.5693779904306719E-3</v>
      </c>
      <c r="AE22" s="32">
        <f>IFERROR(SUMIFS('Clean Data'!$AC:$AC,'Clean Data'!$A:$A,"Rural+Urban",'Clean Data'!$B:$B,B22,'Clean Data'!$C:$C,C22)/SUMIFS('Clean Data'!$AC:$AC,'Clean Data'!$A:$A,"Rural+Urban",'Clean Data'!$B:$B,YEAR(EDATE(A22,-1)),'Clean Data'!$C:$C,TEXT(EDATE(A22,-1),"mmmm"))-1,"")</f>
        <v>1.3365735115431487E-2</v>
      </c>
      <c r="AF22" s="32">
        <f>IFERROR(SUMIFS('Clean Data'!$AD:$AD,'Clean Data'!$A:$A,"Rural+Urban",'Clean Data'!$B:$B,B22,'Clean Data'!$C:$C,C22)/SUMIFS('Clean Data'!$AD:$AD,'Clean Data'!$A:$A,"Rural+Urban",'Clean Data'!$B:$B,YEAR(EDATE(A22,-1)),'Clean Data'!$C:$C,TEXT(EDATE(A22,-1),"mmmm"))-1,"")</f>
        <v>1.4311270125223707E-2</v>
      </c>
    </row>
    <row r="23" spans="1:32" ht="15" customHeight="1" x14ac:dyDescent="0.2">
      <c r="A23" s="44">
        <v>44682</v>
      </c>
      <c r="B23" s="30">
        <v>2022</v>
      </c>
      <c r="C23" s="30" t="s">
        <v>95</v>
      </c>
      <c r="D23" s="12">
        <v>109.51</v>
      </c>
      <c r="E23" s="25">
        <f t="shared" si="0"/>
        <v>6.3513644750898379E-2</v>
      </c>
      <c r="F23" s="32">
        <f>IFERROR(SUMIFS('Clean Data'!$D:$D,'Clean Data'!$A:$A,"Rural+Urban",'Clean Data'!$B:$B,B23,'Clean Data'!$C:$C,C23)/SUMIFS('Clean Data'!$D:$D,'Clean Data'!$A:$A,"Rural+Urban",'Clean Data'!$B:$B,YEAR(EDATE(A23,-1)),'Clean Data'!$C:$C,TEXT(EDATE(A23,-1),"mmmm"))-1,"")</f>
        <v>7.8482668410724266E-3</v>
      </c>
      <c r="G23" s="32">
        <f>IFERROR(SUMIFS('Clean Data'!$E:$E,'Clean Data'!$A:$A,"Rural+Urban",'Clean Data'!$B:$B,B23,'Clean Data'!$C:$C,C23)/SUMIFS('Clean Data'!$E:$E,'Clean Data'!$A:$A,"Rural+Urban",'Clean Data'!$B:$B,YEAR(EDATE(A23,-1)),'Clean Data'!$C:$C,TEXT(EDATE(A23,-1),"mmmm"))-1,"")</f>
        <v>2.455146364494798E-2</v>
      </c>
      <c r="H23" s="32">
        <f>IFERROR(SUMIFS('Clean Data'!$F:$F,'Clean Data'!$A:$A,"Rural+Urban",'Clean Data'!$B:$B,B23,'Clean Data'!$C:$C,C23)/SUMIFS('Clean Data'!$F:$F,'Clean Data'!$A:$A,"Rural+Urban",'Clean Data'!$B:$B,YEAR(EDATE(A23,-1)),'Clean Data'!$C:$C,TEXT(EDATE(A23,-1),"mmmm"))-1,"")</f>
        <v>-1.2765957446808529E-2</v>
      </c>
      <c r="I23" s="32">
        <f>IFERROR(SUMIFS('Clean Data'!$G:$G,'Clean Data'!$A:$A,"Rural+Urban",'Clean Data'!$B:$B,B23,'Clean Data'!$C:$C,C23)/SUMIFS('Clean Data'!$G:$G,'Clean Data'!$A:$A,"Rural+Urban",'Clean Data'!$B:$B,YEAR(EDATE(A23,-1)),'Clean Data'!$C:$C,TEXT(EDATE(A23,-1),"mmmm"))-1,"")</f>
        <v>6.1012812690663942E-3</v>
      </c>
      <c r="J23" s="32">
        <f>IFERROR(SUMIFS('Clean Data'!$H:$H,'Clean Data'!$A:$A,"Rural+Urban",'Clean Data'!$B:$B,B23,'Clean Data'!$C:$C,C23)/SUMIFS('Clean Data'!$H:$H,'Clean Data'!$A:$A,"Rural+Urban",'Clean Data'!$B:$B,YEAR(EDATE(A23,-1)),'Clean Data'!$C:$C,TEXT(EDATE(A23,-1),"mmmm"))-1,"")</f>
        <v>1.4536340852130403E-2</v>
      </c>
      <c r="K23" s="32">
        <f>IFERROR(SUMIFS('Clean Data'!$I:$I,'Clean Data'!$A:$A,"Rural+Urban",'Clean Data'!$B:$B,B23,'Clean Data'!$C:$C,C23)/SUMIFS('Clean Data'!$I:$I,'Clean Data'!$A:$A,"Rural+Urban",'Clean Data'!$B:$B,YEAR(EDATE(A23,-1)),'Clean Data'!$C:$C,TEXT(EDATE(A23,-1),"mmmm"))-1,"")</f>
        <v>-9.2699884125144738E-3</v>
      </c>
      <c r="L23" s="32">
        <f>IFERROR(SUMIFS('Clean Data'!$J:$J,'Clean Data'!$A:$A,"Rural+Urban",'Clean Data'!$B:$B,B23,'Clean Data'!$C:$C,C23)/SUMIFS('Clean Data'!$J:$J,'Clean Data'!$A:$A,"Rural+Urban",'Clean Data'!$B:$B,YEAR(EDATE(A23,-1)),'Clean Data'!$C:$C,TEXT(EDATE(A23,-1),"mmmm"))-1,"")</f>
        <v>5.2346570397111991E-2</v>
      </c>
      <c r="M23" s="32">
        <f>IFERROR(SUMIFS('Clean Data'!$K:$K,'Clean Data'!$A:$A,"Rural+Urban",'Clean Data'!$B:$B,B23,'Clean Data'!$C:$C,C23)/SUMIFS('Clean Data'!$K:$K,'Clean Data'!$A:$A,"Rural+Urban",'Clean Data'!$B:$B,YEAR(EDATE(A23,-1)),'Clean Data'!$C:$C,TEXT(EDATE(A23,-1),"mmmm"))-1,"")</f>
        <v>0</v>
      </c>
      <c r="N23" s="32">
        <f>IFERROR(SUMIFS('Clean Data'!$L:$L,'Clean Data'!$A:$A,"Rural+Urban",'Clean Data'!$B:$B,B23,'Clean Data'!$C:$C,C23)/SUMIFS('Clean Data'!$L:$L,'Clean Data'!$A:$A,"Rural+Urban",'Clean Data'!$B:$B,YEAR(EDATE(A23,-1)),'Clean Data'!$C:$C,TEXT(EDATE(A23,-1),"mmmm"))-1,"")</f>
        <v>5.8823529411764497E-3</v>
      </c>
      <c r="O23" s="32">
        <f>IFERROR(SUMIFS('Clean Data'!$M:$M,'Clean Data'!$A:$A,"Rural+Urban",'Clean Data'!$B:$B,B23,'Clean Data'!$C:$C,C23)/SUMIFS('Clean Data'!$M:$M,'Clean Data'!$A:$A,"Rural+Urban",'Clean Data'!$B:$B,YEAR(EDATE(A23,-1)),'Clean Data'!$C:$C,TEXT(EDATE(A23,-1),"mmmm"))-1,"")</f>
        <v>1.9856591285162706E-2</v>
      </c>
      <c r="P23" s="32">
        <f>IFERROR(SUMIFS('Clean Data'!$N:$N,'Clean Data'!$A:$A,"Rural+Urban",'Clean Data'!$B:$B,B23,'Clean Data'!$C:$C,C23)/SUMIFS('Clean Data'!$N:$N,'Clean Data'!$A:$A,"Rural+Urban",'Clean Data'!$B:$B,YEAR(EDATE(A23,-1)),'Clean Data'!$C:$C,TEXT(EDATE(A23,-1),"mmmm"))-1,"")</f>
        <v>5.4151624548737232E-3</v>
      </c>
      <c r="Q23" s="32">
        <f>IFERROR(SUMIFS('Clean Data'!$O:$O,'Clean Data'!$A:$A,"Rural+Urban",'Clean Data'!$B:$B,B23,'Clean Data'!$C:$C,C23)/SUMIFS('Clean Data'!$O:$O,'Clean Data'!$A:$A,"Rural+Urban",'Clean Data'!$B:$B,YEAR(EDATE(A23,-1)),'Clean Data'!$C:$C,TEXT(EDATE(A23,-1),"mmmm"))-1,"")</f>
        <v>8.8446655610834313E-3</v>
      </c>
      <c r="R23" s="32">
        <f>IFERROR(SUMIFS('Clean Data'!$P:$P,'Clean Data'!$A:$A,"Rural+Urban",'Clean Data'!$B:$B,B23,'Clean Data'!$C:$C,C23)/SUMIFS('Clean Data'!$P:$P,'Clean Data'!$A:$A,"Rural+Urban",'Clean Data'!$B:$B,YEAR(EDATE(A23,-1)),'Clean Data'!$C:$C,TEXT(EDATE(A23,-1),"mmmm"))-1,"")</f>
        <v>1.4637002341920446E-2</v>
      </c>
      <c r="S23" s="32">
        <f>IFERROR(SUMIFS('Clean Data'!$Q:$Q,'Clean Data'!$A:$A,"Rural+Urban",'Clean Data'!$B:$B,B23,'Clean Data'!$C:$C,C23)/SUMIFS('Clean Data'!$Q:$Q,'Clean Data'!$A:$A,"Rural+Urban",'Clean Data'!$B:$B,YEAR(EDATE(A23,-1)),'Clean Data'!$C:$C,TEXT(EDATE(A23,-1),"mmmm"))-1,"")</f>
        <v>1.0314595152138839E-3</v>
      </c>
      <c r="T23" s="32">
        <f>IFERROR(SUMIFS('Clean Data'!$R:$R,'Clean Data'!$A:$A,"Rural+Urban",'Clean Data'!$B:$B,B23,'Clean Data'!$C:$C,C23)/SUMIFS('Clean Data'!$R:$R,'Clean Data'!$A:$A,"Rural+Urban",'Clean Data'!$B:$B,YEAR(EDATE(A23,-1)),'Clean Data'!$C:$C,TEXT(EDATE(A23,-1),"mmmm"))-1,"")</f>
        <v>9.7757331799883662E-3</v>
      </c>
      <c r="U23" s="32">
        <f>IFERROR(SUMIFS('Clean Data'!$S:$S,'Clean Data'!$A:$A,"Rural+Urban",'Clean Data'!$B:$B,B23,'Clean Data'!$C:$C,C23)/SUMIFS('Clean Data'!$S:$S,'Clean Data'!$A:$A,"Rural+Urban",'Clean Data'!$B:$B,YEAR(EDATE(A23,-1)),'Clean Data'!$C:$C,TEXT(EDATE(A23,-1),"mmmm"))-1,"")</f>
        <v>1.1411411411411443E-2</v>
      </c>
      <c r="V23" s="32">
        <f>IFERROR(SUMIFS('Clean Data'!$T:$T,'Clean Data'!$A:$A,"Rural+Urban",'Clean Data'!$B:$B,B23,'Clean Data'!$C:$C,C23)/SUMIFS('Clean Data'!$T:$T,'Clean Data'!$A:$A,"Rural+Urban",'Clean Data'!$B:$B,YEAR(EDATE(A23,-1)),'Clean Data'!$C:$C,TEXT(EDATE(A23,-1),"mmmm"))-1,"")</f>
        <v>1.0416666666666519E-2</v>
      </c>
      <c r="W23" s="32">
        <f>IFERROR(SUMIFS('Clean Data'!$U:$U,'Clean Data'!$A:$A,"Rural+Urban",'Clean Data'!$B:$B,B23,'Clean Data'!$C:$C,C23)/SUMIFS('Clean Data'!$U:$U,'Clean Data'!$A:$A,"Rural+Urban",'Clean Data'!$B:$B,YEAR(EDATE(A23,-1)),'Clean Data'!$C:$C,TEXT(EDATE(A23,-1),"mmmm"))-1,"")</f>
        <v>2.9940119760478723E-3</v>
      </c>
      <c r="X23" s="32">
        <f>IFERROR(SUMIFS('Clean Data'!$V:$V,'Clean Data'!$A:$A,"Rural+Urban",'Clean Data'!$B:$B,B23,'Clean Data'!$C:$C,C23)/SUMIFS('Clean Data'!$V:$V,'Clean Data'!$A:$A,"Rural+Urban",'Clean Data'!$B:$B,YEAR(EDATE(A23,-1)),'Clean Data'!$C:$C,TEXT(EDATE(A23,-1),"mmmm"))-1,"")</f>
        <v>1.3937282229965264E-2</v>
      </c>
      <c r="Y23" s="32">
        <f>IFERROR(SUMIFS('Clean Data'!$W:$W,'Clean Data'!$A:$A,"Rural+Urban",'Clean Data'!$B:$B,B23,'Clean Data'!$C:$C,C23)/SUMIFS('Clean Data'!$W:$W,'Clean Data'!$A:$A,"Rural+Urban",'Clean Data'!$B:$B,YEAR(EDATE(A23,-1)),'Clean Data'!$C:$C,TEXT(EDATE(A23,-1),"mmmm"))-1,"")</f>
        <v>7.3170731707317138E-3</v>
      </c>
      <c r="Z23" s="32">
        <f>IFERROR(SUMIFS('Clean Data'!$X:$X,'Clean Data'!$A:$A,"Rural+Urban",'Clean Data'!$B:$B,B23,'Clean Data'!$C:$C,C23)/SUMIFS('Clean Data'!$X:$X,'Clean Data'!$A:$A,"Rural+Urban",'Clean Data'!$B:$B,YEAR(EDATE(A23,-1)),'Clean Data'!$C:$C,TEXT(EDATE(A23,-1),"mmmm"))-1,"")</f>
        <v>4.5977011494253706E-3</v>
      </c>
      <c r="AA23" s="32">
        <f>IFERROR(SUMIFS('Clean Data'!$Y:$Y,'Clean Data'!$A:$A,"Rural+Urban",'Clean Data'!$B:$B,B23,'Clean Data'!$C:$C,C23)/SUMIFS('Clean Data'!$Y:$Y,'Clean Data'!$A:$A,"Rural+Urban",'Clean Data'!$B:$B,YEAR(EDATE(A23,-1)),'Clean Data'!$C:$C,TEXT(EDATE(A23,-1),"mmmm"))-1,"")</f>
        <v>2.4600246002459691E-3</v>
      </c>
      <c r="AB23" s="32">
        <f>IFERROR(SUMIFS('Clean Data'!$Z:$Z,'Clean Data'!$A:$A,"Rural+Urban",'Clean Data'!$B:$B,B23,'Clean Data'!$C:$C,C23)/SUMIFS('Clean Data'!$Z:$Z,'Clean Data'!$A:$A,"Rural+Urban",'Clean Data'!$B:$B,YEAR(EDATE(A23,-1)),'Clean Data'!$C:$C,TEXT(EDATE(A23,-1),"mmmm"))-1,"")</f>
        <v>4.2579075425790425E-3</v>
      </c>
      <c r="AC23" s="32">
        <f>IFERROR(SUMIFS('Clean Data'!$AA:$AA,'Clean Data'!$A:$A,"Rural+Urban",'Clean Data'!$B:$B,B23,'Clean Data'!$C:$C,C23)/SUMIFS('Clean Data'!$AA:$AA,'Clean Data'!$A:$A,"Rural+Urban",'Clean Data'!$B:$B,YEAR(EDATE(A23,-1)),'Clean Data'!$C:$C,TEXT(EDATE(A23,-1),"mmmm"))-1,"")</f>
        <v>5.9916117435589999E-3</v>
      </c>
      <c r="AD23" s="32">
        <f>IFERROR(SUMIFS('Clean Data'!$AB:$AB,'Clean Data'!$A:$A,"Rural+Urban",'Clean Data'!$B:$B,B23,'Clean Data'!$C:$C,C23)/SUMIFS('Clean Data'!$AB:$AB,'Clean Data'!$A:$A,"Rural+Urban",'Clean Data'!$B:$B,YEAR(EDATE(A23,-1)),'Clean Data'!$C:$C,TEXT(EDATE(A23,-1),"mmmm"))-1,"")</f>
        <v>-2.3696682464455776E-3</v>
      </c>
      <c r="AE23" s="32">
        <f>IFERROR(SUMIFS('Clean Data'!$AC:$AC,'Clean Data'!$A:$A,"Rural+Urban",'Clean Data'!$B:$B,B23,'Clean Data'!$C:$C,C23)/SUMIFS('Clean Data'!$AC:$AC,'Clean Data'!$A:$A,"Rural+Urban",'Clean Data'!$B:$B,YEAR(EDATE(A23,-1)),'Clean Data'!$C:$C,TEXT(EDATE(A23,-1),"mmmm"))-1,"")</f>
        <v>4.1966426858512929E-3</v>
      </c>
      <c r="AF23" s="32">
        <f>IFERROR(SUMIFS('Clean Data'!$AD:$AD,'Clean Data'!$A:$A,"Rural+Urban",'Clean Data'!$B:$B,B23,'Clean Data'!$C:$C,C23)/SUMIFS('Clean Data'!$AD:$AD,'Clean Data'!$A:$A,"Rural+Urban",'Clean Data'!$B:$B,YEAR(EDATE(A23,-1)),'Clean Data'!$C:$C,TEXT(EDATE(A23,-1),"mmmm"))-1,"")</f>
        <v>9.4062316284537761E-3</v>
      </c>
    </row>
    <row r="24" spans="1:32" ht="15" customHeight="1" x14ac:dyDescent="0.2">
      <c r="A24" s="44">
        <v>44713</v>
      </c>
      <c r="B24" s="30">
        <v>2022</v>
      </c>
      <c r="C24" s="30" t="s">
        <v>96</v>
      </c>
      <c r="D24" s="12">
        <v>116.01</v>
      </c>
      <c r="E24" s="25">
        <f t="shared" si="0"/>
        <v>5.935531001735006E-2</v>
      </c>
      <c r="F24" s="32">
        <f>IFERROR(SUMIFS('Clean Data'!$D:$D,'Clean Data'!$A:$A,"Rural+Urban",'Clean Data'!$B:$B,B24,'Clean Data'!$C:$C,C24)/SUMIFS('Clean Data'!$D:$D,'Clean Data'!$A:$A,"Rural+Urban",'Clean Data'!$B:$B,YEAR(EDATE(A24,-1)),'Clean Data'!$C:$C,TEXT(EDATE(A24,-1),"mmmm"))-1,"")</f>
        <v>5.8403634003894034E-3</v>
      </c>
      <c r="G24" s="32">
        <f>IFERROR(SUMIFS('Clean Data'!$E:$E,'Clean Data'!$A:$A,"Rural+Urban",'Clean Data'!$B:$B,B24,'Clean Data'!$C:$C,C24)/SUMIFS('Clean Data'!$E:$E,'Clean Data'!$A:$A,"Rural+Urban",'Clean Data'!$B:$B,YEAR(EDATE(A24,-1)),'Clean Data'!$C:$C,TEXT(EDATE(A24,-1),"mmmm"))-1,"")</f>
        <v>1.1059907834101379E-2</v>
      </c>
      <c r="H24" s="32">
        <f>IFERROR(SUMIFS('Clean Data'!$F:$F,'Clean Data'!$A:$A,"Rural+Urban",'Clean Data'!$B:$B,B24,'Clean Data'!$C:$C,C24)/SUMIFS('Clean Data'!$F:$F,'Clean Data'!$A:$A,"Rural+Urban",'Clean Data'!$B:$B,YEAR(EDATE(A24,-1)),'Clean Data'!$C:$C,TEXT(EDATE(A24,-1),"mmmm"))-1,"")</f>
        <v>5.1724137931034475E-2</v>
      </c>
      <c r="I24" s="32">
        <f>IFERROR(SUMIFS('Clean Data'!$G:$G,'Clean Data'!$A:$A,"Rural+Urban",'Clean Data'!$B:$B,B24,'Clean Data'!$C:$C,C24)/SUMIFS('Clean Data'!$G:$G,'Clean Data'!$A:$A,"Rural+Urban",'Clean Data'!$B:$B,YEAR(EDATE(A24,-1)),'Clean Data'!$C:$C,TEXT(EDATE(A24,-1),"mmmm"))-1,"")</f>
        <v>5.4578532443905203E-3</v>
      </c>
      <c r="J24" s="32">
        <f>IFERROR(SUMIFS('Clean Data'!$H:$H,'Clean Data'!$A:$A,"Rural+Urban",'Clean Data'!$B:$B,B24,'Clean Data'!$C:$C,C24)/SUMIFS('Clean Data'!$H:$H,'Clean Data'!$A:$A,"Rural+Urban",'Clean Data'!$B:$B,YEAR(EDATE(A24,-1)),'Clean Data'!$C:$C,TEXT(EDATE(A24,-1),"mmmm"))-1,"")</f>
        <v>-7.4110671936759021E-3</v>
      </c>
      <c r="K24" s="32">
        <f>IFERROR(SUMIFS('Clean Data'!$I:$I,'Clean Data'!$A:$A,"Rural+Urban",'Clean Data'!$B:$B,B24,'Clean Data'!$C:$C,C24)/SUMIFS('Clean Data'!$I:$I,'Clean Data'!$A:$A,"Rural+Urban",'Clean Data'!$B:$B,YEAR(EDATE(A24,-1)),'Clean Data'!$C:$C,TEXT(EDATE(A24,-1),"mmmm"))-1,"")</f>
        <v>-7.6023391812866103E-3</v>
      </c>
      <c r="L24" s="32">
        <f>IFERROR(SUMIFS('Clean Data'!$J:$J,'Clean Data'!$A:$A,"Rural+Urban",'Clean Data'!$B:$B,B24,'Clean Data'!$C:$C,C24)/SUMIFS('Clean Data'!$J:$J,'Clean Data'!$A:$A,"Rural+Urban",'Clean Data'!$B:$B,YEAR(EDATE(A24,-1)),'Clean Data'!$C:$C,TEXT(EDATE(A24,-1),"mmmm"))-1,"")</f>
        <v>4.2309891366495211E-2</v>
      </c>
      <c r="M24" s="32">
        <f>IFERROR(SUMIFS('Clean Data'!$K:$K,'Clean Data'!$A:$A,"Rural+Urban",'Clean Data'!$B:$B,B24,'Clean Data'!$C:$C,C24)/SUMIFS('Clean Data'!$K:$K,'Clean Data'!$A:$A,"Rural+Urban",'Clean Data'!$B:$B,YEAR(EDATE(A24,-1)),'Clean Data'!$C:$C,TEXT(EDATE(A24,-1),"mmmm"))-1,"")</f>
        <v>-2.4286581663629514E-3</v>
      </c>
      <c r="N24" s="32">
        <f>IFERROR(SUMIFS('Clean Data'!$L:$L,'Clean Data'!$A:$A,"Rural+Urban",'Clean Data'!$B:$B,B24,'Clean Data'!$C:$C,C24)/SUMIFS('Clean Data'!$L:$L,'Clean Data'!$A:$A,"Rural+Urban",'Clean Data'!$B:$B,YEAR(EDATE(A24,-1)),'Clean Data'!$C:$C,TEXT(EDATE(A24,-1),"mmmm"))-1,"")</f>
        <v>1.6708437761070449E-3</v>
      </c>
      <c r="O24" s="32">
        <f>IFERROR(SUMIFS('Clean Data'!$M:$M,'Clean Data'!$A:$A,"Rural+Urban",'Clean Data'!$B:$B,B24,'Clean Data'!$C:$C,C24)/SUMIFS('Clean Data'!$M:$M,'Clean Data'!$A:$A,"Rural+Urban",'Clean Data'!$B:$B,YEAR(EDATE(A24,-1)),'Clean Data'!$C:$C,TEXT(EDATE(A24,-1),"mmmm"))-1,"")</f>
        <v>1.189832341806385E-2</v>
      </c>
      <c r="P24" s="32">
        <f>IFERROR(SUMIFS('Clean Data'!$N:$N,'Clean Data'!$A:$A,"Rural+Urban",'Clean Data'!$B:$B,B24,'Clean Data'!$C:$C,C24)/SUMIFS('Clean Data'!$N:$N,'Clean Data'!$A:$A,"Rural+Urban",'Clean Data'!$B:$B,YEAR(EDATE(A24,-1)),'Clean Data'!$C:$C,TEXT(EDATE(A24,-1),"mmmm"))-1,"")</f>
        <v>4.7875523638540862E-3</v>
      </c>
      <c r="Q24" s="32">
        <f>IFERROR(SUMIFS('Clean Data'!$O:$O,'Clean Data'!$A:$A,"Rural+Urban",'Clean Data'!$B:$B,B24,'Clean Data'!$C:$C,C24)/SUMIFS('Clean Data'!$O:$O,'Clean Data'!$A:$A,"Rural+Urban",'Clean Data'!$B:$B,YEAR(EDATE(A24,-1)),'Clean Data'!$C:$C,TEXT(EDATE(A24,-1),"mmmm"))-1,"")</f>
        <v>7.6712328767123417E-3</v>
      </c>
      <c r="R24" s="32">
        <f>IFERROR(SUMIFS('Clean Data'!$P:$P,'Clean Data'!$A:$A,"Rural+Urban",'Clean Data'!$B:$B,B24,'Clean Data'!$C:$C,C24)/SUMIFS('Clean Data'!$P:$P,'Clean Data'!$A:$A,"Rural+Urban",'Clean Data'!$B:$B,YEAR(EDATE(A24,-1)),'Clean Data'!$C:$C,TEXT(EDATE(A24,-1),"mmmm"))-1,"")</f>
        <v>9.2325447201384581E-3</v>
      </c>
      <c r="S24" s="32">
        <f>IFERROR(SUMIFS('Clean Data'!$Q:$Q,'Clean Data'!$A:$A,"Rural+Urban",'Clean Data'!$B:$B,B24,'Clean Data'!$C:$C,C24)/SUMIFS('Clean Data'!$Q:$Q,'Clean Data'!$A:$A,"Rural+Urban",'Clean Data'!$B:$B,YEAR(EDATE(A24,-1)),'Clean Data'!$C:$C,TEXT(EDATE(A24,-1),"mmmm"))-1,"")</f>
        <v>1.0303967027305294E-3</v>
      </c>
      <c r="T24" s="32">
        <f>IFERROR(SUMIFS('Clean Data'!$R:$R,'Clean Data'!$A:$A,"Rural+Urban",'Clean Data'!$B:$B,B24,'Clean Data'!$C:$C,C24)/SUMIFS('Clean Data'!$R:$R,'Clean Data'!$A:$A,"Rural+Urban",'Clean Data'!$B:$B,YEAR(EDATE(A24,-1)),'Clean Data'!$C:$C,TEXT(EDATE(A24,-1),"mmmm"))-1,"")</f>
        <v>8.5421412300683564E-3</v>
      </c>
      <c r="U24" s="32">
        <f>IFERROR(SUMIFS('Clean Data'!$S:$S,'Clean Data'!$A:$A,"Rural+Urban",'Clean Data'!$B:$B,B24,'Clean Data'!$C:$C,C24)/SUMIFS('Clean Data'!$S:$S,'Clean Data'!$A:$A,"Rural+Urban",'Clean Data'!$B:$B,YEAR(EDATE(A24,-1)),'Clean Data'!$C:$C,TEXT(EDATE(A24,-1),"mmmm"))-1,"")</f>
        <v>8.9073634204275276E-3</v>
      </c>
      <c r="V24" s="32">
        <f>IFERROR(SUMIFS('Clean Data'!$T:$T,'Clean Data'!$A:$A,"Rural+Urban",'Clean Data'!$B:$B,B24,'Clean Data'!$C:$C,C24)/SUMIFS('Clean Data'!$T:$T,'Clean Data'!$A:$A,"Rural+Urban",'Clean Data'!$B:$B,YEAR(EDATE(A24,-1)),'Clean Data'!$C:$C,TEXT(EDATE(A24,-1),"mmmm"))-1,"")</f>
        <v>8.0183276059564434E-3</v>
      </c>
      <c r="W24" s="32">
        <f>IFERROR(SUMIFS('Clean Data'!$U:$U,'Clean Data'!$A:$A,"Rural+Urban",'Clean Data'!$B:$B,B24,'Clean Data'!$C:$C,C24)/SUMIFS('Clean Data'!$U:$U,'Clean Data'!$A:$A,"Rural+Urban",'Clean Data'!$B:$B,YEAR(EDATE(A24,-1)),'Clean Data'!$C:$C,TEXT(EDATE(A24,-1),"mmmm"))-1,"")</f>
        <v>-4.179104477611828E-3</v>
      </c>
      <c r="X24" s="32">
        <f>IFERROR(SUMIFS('Clean Data'!$V:$V,'Clean Data'!$A:$A,"Rural+Urban",'Clean Data'!$B:$B,B24,'Clean Data'!$C:$C,C24)/SUMIFS('Clean Data'!$V:$V,'Clean Data'!$A:$A,"Rural+Urban",'Clean Data'!$B:$B,YEAR(EDATE(A24,-1)),'Clean Data'!$C:$C,TEXT(EDATE(A24,-1),"mmmm"))-1,"")</f>
        <v>8.0183276059564434E-3</v>
      </c>
      <c r="Y24" s="32">
        <f>IFERROR(SUMIFS('Clean Data'!$W:$W,'Clean Data'!$A:$A,"Rural+Urban",'Clean Data'!$B:$B,B24,'Clean Data'!$C:$C,C24)/SUMIFS('Clean Data'!$W:$W,'Clean Data'!$A:$A,"Rural+Urban",'Clean Data'!$B:$B,YEAR(EDATE(A24,-1)),'Clean Data'!$C:$C,TEXT(EDATE(A24,-1),"mmmm"))-1,"")</f>
        <v>7.2639225181598821E-3</v>
      </c>
      <c r="Z24" s="32">
        <f>IFERROR(SUMIFS('Clean Data'!$X:$X,'Clean Data'!$A:$A,"Rural+Urban",'Clean Data'!$B:$B,B24,'Clean Data'!$C:$C,C24)/SUMIFS('Clean Data'!$X:$X,'Clean Data'!$A:$A,"Rural+Urban",'Clean Data'!$B:$B,YEAR(EDATE(A24,-1)),'Clean Data'!$C:$C,TEXT(EDATE(A24,-1),"mmmm"))-1,"")</f>
        <v>3.4324942791761348E-3</v>
      </c>
      <c r="AA24" s="32">
        <f>IFERROR(SUMIFS('Clean Data'!$Y:$Y,'Clean Data'!$A:$A,"Rural+Urban",'Clean Data'!$B:$B,B24,'Clean Data'!$C:$C,C24)/SUMIFS('Clean Data'!$Y:$Y,'Clean Data'!$A:$A,"Rural+Urban",'Clean Data'!$B:$B,YEAR(EDATE(A24,-1)),'Clean Data'!$C:$C,TEXT(EDATE(A24,-1),"mmmm"))-1,"")</f>
        <v>-1.1656441717791455E-2</v>
      </c>
      <c r="AB24" s="32">
        <f>IFERROR(SUMIFS('Clean Data'!$Z:$Z,'Clean Data'!$A:$A,"Rural+Urban",'Clean Data'!$B:$B,B24,'Clean Data'!$C:$C,C24)/SUMIFS('Clean Data'!$Z:$Z,'Clean Data'!$A:$A,"Rural+Urban",'Clean Data'!$B:$B,YEAR(EDATE(A24,-1)),'Clean Data'!$C:$C,TEXT(EDATE(A24,-1),"mmmm"))-1,"")</f>
        <v>4.2398546335555842E-3</v>
      </c>
      <c r="AC24" s="32">
        <f>IFERROR(SUMIFS('Clean Data'!$AA:$AA,'Clean Data'!$A:$A,"Rural+Urban",'Clean Data'!$B:$B,B24,'Clean Data'!$C:$C,C24)/SUMIFS('Clean Data'!$AA:$AA,'Clean Data'!$A:$A,"Rural+Urban",'Clean Data'!$B:$B,YEAR(EDATE(A24,-1)),'Clean Data'!$C:$C,TEXT(EDATE(A24,-1),"mmmm"))-1,"")</f>
        <v>6.5515187611673298E-3</v>
      </c>
      <c r="AD24" s="32">
        <f>IFERROR(SUMIFS('Clean Data'!$AB:$AB,'Clean Data'!$A:$A,"Rural+Urban",'Clean Data'!$B:$B,B24,'Clean Data'!$C:$C,C24)/SUMIFS('Clean Data'!$AB:$AB,'Clean Data'!$A:$A,"Rural+Urban",'Clean Data'!$B:$B,YEAR(EDATE(A24,-1)),'Clean Data'!$C:$C,TEXT(EDATE(A24,-1),"mmmm"))-1,"")</f>
        <v>5.9382422802849444E-3</v>
      </c>
      <c r="AE24" s="32">
        <f>IFERROR(SUMIFS('Clean Data'!$AC:$AC,'Clean Data'!$A:$A,"Rural+Urban",'Clean Data'!$B:$B,B24,'Clean Data'!$C:$C,C24)/SUMIFS('Clean Data'!$AC:$AC,'Clean Data'!$A:$A,"Rural+Urban",'Clean Data'!$B:$B,YEAR(EDATE(A24,-1)),'Clean Data'!$C:$C,TEXT(EDATE(A24,-1),"mmmm"))-1,"")</f>
        <v>0</v>
      </c>
      <c r="AF24" s="32">
        <f>IFERROR(SUMIFS('Clean Data'!$AD:$AD,'Clean Data'!$A:$A,"Rural+Urban",'Clean Data'!$B:$B,B24,'Clean Data'!$C:$C,C24)/SUMIFS('Clean Data'!$AD:$AD,'Clean Data'!$A:$A,"Rural+Urban",'Clean Data'!$B:$B,YEAR(EDATE(A24,-1)),'Clean Data'!$C:$C,TEXT(EDATE(A24,-1),"mmmm"))-1,"")</f>
        <v>5.2417006406524358E-3</v>
      </c>
    </row>
    <row r="25" spans="1:32" ht="15" customHeight="1" x14ac:dyDescent="0.2">
      <c r="A25" s="44">
        <v>44743</v>
      </c>
      <c r="B25" s="30">
        <v>2022</v>
      </c>
      <c r="C25" s="30" t="s">
        <v>98</v>
      </c>
      <c r="D25" s="12">
        <v>105.49</v>
      </c>
      <c r="E25" s="25">
        <f t="shared" si="0"/>
        <v>-9.0681837772605856E-2</v>
      </c>
      <c r="F25" s="32">
        <f>IFERROR(SUMIFS('Clean Data'!$D:$D,'Clean Data'!$A:$A,"Rural+Urban",'Clean Data'!$B:$B,B25,'Clean Data'!$C:$C,C25)/SUMIFS('Clean Data'!$D:$D,'Clean Data'!$A:$A,"Rural+Urban",'Clean Data'!$B:$B,YEAR(EDATE(A25,-1)),'Clean Data'!$C:$C,TEXT(EDATE(A25,-1),"mmmm"))-1,"")</f>
        <v>9.6774193548387899E-3</v>
      </c>
      <c r="G25" s="32">
        <f>IFERROR(SUMIFS('Clean Data'!$E:$E,'Clean Data'!$A:$A,"Rural+Urban",'Clean Data'!$B:$B,B25,'Clean Data'!$C:$C,C25)/SUMIFS('Clean Data'!$E:$E,'Clean Data'!$A:$A,"Rural+Urban",'Clean Data'!$B:$B,YEAR(EDATE(A25,-1)),'Clean Data'!$C:$C,TEXT(EDATE(A25,-1),"mmmm"))-1,"")</f>
        <v>-2.9170464904284432E-2</v>
      </c>
      <c r="H25" s="32">
        <f>IFERROR(SUMIFS('Clean Data'!$F:$F,'Clean Data'!$A:$A,"Rural+Urban",'Clean Data'!$B:$B,B25,'Clean Data'!$C:$C,C25)/SUMIFS('Clean Data'!$F:$F,'Clean Data'!$A:$A,"Rural+Urban",'Clean Data'!$B:$B,YEAR(EDATE(A25,-1)),'Clean Data'!$C:$C,TEXT(EDATE(A25,-1),"mmmm"))-1,"")</f>
        <v>2.5761124121779666E-2</v>
      </c>
      <c r="I25" s="32">
        <f>IFERROR(SUMIFS('Clean Data'!$G:$G,'Clean Data'!$A:$A,"Rural+Urban",'Clean Data'!$B:$B,B25,'Clean Data'!$C:$C,C25)/SUMIFS('Clean Data'!$G:$G,'Clean Data'!$A:$A,"Rural+Urban",'Clean Data'!$B:$B,YEAR(EDATE(A25,-1)),'Clean Data'!$C:$C,TEXT(EDATE(A25,-1),"mmmm"))-1,"")</f>
        <v>4.8250904704463249E-3</v>
      </c>
      <c r="J25" s="32">
        <f>IFERROR(SUMIFS('Clean Data'!$H:$H,'Clean Data'!$A:$A,"Rural+Urban",'Clean Data'!$B:$B,B25,'Clean Data'!$C:$C,C25)/SUMIFS('Clean Data'!$H:$H,'Clean Data'!$A:$A,"Rural+Urban",'Clean Data'!$B:$B,YEAR(EDATE(A25,-1)),'Clean Data'!$C:$C,TEXT(EDATE(A25,-1),"mmmm"))-1,"")</f>
        <v>-2.5385764061722216E-2</v>
      </c>
      <c r="K25" s="32">
        <f>IFERROR(SUMIFS('Clean Data'!$I:$I,'Clean Data'!$A:$A,"Rural+Urban",'Clean Data'!$B:$B,B25,'Clean Data'!$C:$C,C25)/SUMIFS('Clean Data'!$I:$I,'Clean Data'!$A:$A,"Rural+Urban",'Clean Data'!$B:$B,YEAR(EDATE(A25,-1)),'Clean Data'!$C:$C,TEXT(EDATE(A25,-1),"mmmm"))-1,"")</f>
        <v>2.6517383618149593E-2</v>
      </c>
      <c r="L25" s="32">
        <f>IFERROR(SUMIFS('Clean Data'!$J:$J,'Clean Data'!$A:$A,"Rural+Urban",'Clean Data'!$B:$B,B25,'Clean Data'!$C:$C,C25)/SUMIFS('Clean Data'!$J:$J,'Clean Data'!$A:$A,"Rural+Urban",'Clean Data'!$B:$B,YEAR(EDATE(A25,-1)),'Clean Data'!$C:$C,TEXT(EDATE(A25,-1),"mmmm"))-1,"")</f>
        <v>-1.0970927043335577E-3</v>
      </c>
      <c r="M25" s="32">
        <f>IFERROR(SUMIFS('Clean Data'!$K:$K,'Clean Data'!$A:$A,"Rural+Urban",'Clean Data'!$B:$B,B25,'Clean Data'!$C:$C,C25)/SUMIFS('Clean Data'!$K:$K,'Clean Data'!$A:$A,"Rural+Urban",'Clean Data'!$B:$B,YEAR(EDATE(A25,-1)),'Clean Data'!$C:$C,TEXT(EDATE(A25,-1),"mmmm"))-1,"")</f>
        <v>0</v>
      </c>
      <c r="N25" s="32">
        <f>IFERROR(SUMIFS('Clean Data'!$L:$L,'Clean Data'!$A:$A,"Rural+Urban",'Clean Data'!$B:$B,B25,'Clean Data'!$C:$C,C25)/SUMIFS('Clean Data'!$L:$L,'Clean Data'!$A:$A,"Rural+Urban",'Clean Data'!$B:$B,YEAR(EDATE(A25,-1)),'Clean Data'!$C:$C,TEXT(EDATE(A25,-1),"mmmm"))-1,"")</f>
        <v>8.3402835696411159E-4</v>
      </c>
      <c r="O25" s="32">
        <f>IFERROR(SUMIFS('Clean Data'!$M:$M,'Clean Data'!$A:$A,"Rural+Urban",'Clean Data'!$B:$B,B25,'Clean Data'!$C:$C,C25)/SUMIFS('Clean Data'!$M:$M,'Clean Data'!$A:$A,"Rural+Urban",'Clean Data'!$B:$B,YEAR(EDATE(A25,-1)),'Clean Data'!$C:$C,TEXT(EDATE(A25,-1),"mmmm"))-1,"")</f>
        <v>1.5499732763228247E-2</v>
      </c>
      <c r="P25" s="32">
        <f>IFERROR(SUMIFS('Clean Data'!$N:$N,'Clean Data'!$A:$A,"Rural+Urban",'Clean Data'!$B:$B,B25,'Clean Data'!$C:$C,C25)/SUMIFS('Clean Data'!$N:$N,'Clean Data'!$A:$A,"Rural+Urban",'Clean Data'!$B:$B,YEAR(EDATE(A25,-1)),'Clean Data'!$C:$C,TEXT(EDATE(A25,-1),"mmmm"))-1,"")</f>
        <v>2.9779630732578166E-3</v>
      </c>
      <c r="Q25" s="32">
        <f>IFERROR(SUMIFS('Clean Data'!$O:$O,'Clean Data'!$A:$A,"Rural+Urban",'Clean Data'!$B:$B,B25,'Clean Data'!$C:$C,C25)/SUMIFS('Clean Data'!$O:$O,'Clean Data'!$A:$A,"Rural+Urban",'Clean Data'!$B:$B,YEAR(EDATE(A25,-1)),'Clean Data'!$C:$C,TEXT(EDATE(A25,-1),"mmmm"))-1,"")</f>
        <v>7.0690592713429368E-3</v>
      </c>
      <c r="R25" s="32">
        <f>IFERROR(SUMIFS('Clean Data'!$P:$P,'Clean Data'!$A:$A,"Rural+Urban",'Clean Data'!$B:$B,B25,'Clean Data'!$C:$C,C25)/SUMIFS('Clean Data'!$P:$P,'Clean Data'!$A:$A,"Rural+Urban",'Clean Data'!$B:$B,YEAR(EDATE(A25,-1)),'Clean Data'!$C:$C,TEXT(EDATE(A25,-1),"mmmm"))-1,"")</f>
        <v>5.7175528873631976E-4</v>
      </c>
      <c r="S25" s="32">
        <f>IFERROR(SUMIFS('Clean Data'!$Q:$Q,'Clean Data'!$A:$A,"Rural+Urban",'Clean Data'!$B:$B,B25,'Clean Data'!$C:$C,C25)/SUMIFS('Clean Data'!$Q:$Q,'Clean Data'!$A:$A,"Rural+Urban",'Clean Data'!$B:$B,YEAR(EDATE(A25,-1)),'Clean Data'!$C:$C,TEXT(EDATE(A25,-1),"mmmm"))-1,"")</f>
        <v>1.5440041173442332E-3</v>
      </c>
      <c r="T25" s="32">
        <f>IFERROR(SUMIFS('Clean Data'!$R:$R,'Clean Data'!$A:$A,"Rural+Urban",'Clean Data'!$B:$B,B25,'Clean Data'!$C:$C,C25)/SUMIFS('Clean Data'!$R:$R,'Clean Data'!$A:$A,"Rural+Urban",'Clean Data'!$B:$B,YEAR(EDATE(A25,-1)),'Clean Data'!$C:$C,TEXT(EDATE(A25,-1),"mmmm"))-1,"")</f>
        <v>6.7758328627893771E-3</v>
      </c>
      <c r="U25" s="32">
        <f>IFERROR(SUMIFS('Clean Data'!$S:$S,'Clean Data'!$A:$A,"Rural+Urban",'Clean Data'!$B:$B,B25,'Clean Data'!$C:$C,C25)/SUMIFS('Clean Data'!$S:$S,'Clean Data'!$A:$A,"Rural+Urban",'Clean Data'!$B:$B,YEAR(EDATE(A25,-1)),'Clean Data'!$C:$C,TEXT(EDATE(A25,-1),"mmmm"))-1,"")</f>
        <v>8.2401412595645152E-3</v>
      </c>
      <c r="V25" s="32">
        <f>IFERROR(SUMIFS('Clean Data'!$T:$T,'Clean Data'!$A:$A,"Rural+Urban",'Clean Data'!$B:$B,B25,'Clean Data'!$C:$C,C25)/SUMIFS('Clean Data'!$T:$T,'Clean Data'!$A:$A,"Rural+Urban",'Clean Data'!$B:$B,YEAR(EDATE(A25,-1)),'Clean Data'!$C:$C,TEXT(EDATE(A25,-1),"mmmm"))-1,"")</f>
        <v>7.3863636363638019E-3</v>
      </c>
      <c r="W25" s="32">
        <f>IFERROR(SUMIFS('Clean Data'!$U:$U,'Clean Data'!$A:$A,"Rural+Urban",'Clean Data'!$B:$B,B25,'Clean Data'!$C:$C,C25)/SUMIFS('Clean Data'!$U:$U,'Clean Data'!$A:$A,"Rural+Urban",'Clean Data'!$B:$B,YEAR(EDATE(A25,-1)),'Clean Data'!$C:$C,TEXT(EDATE(A25,-1),"mmmm"))-1,"")</f>
        <v>5.9952038369304184E-3</v>
      </c>
      <c r="X25" s="32">
        <f>IFERROR(SUMIFS('Clean Data'!$V:$V,'Clean Data'!$A:$A,"Rural+Urban",'Clean Data'!$B:$B,B25,'Clean Data'!$C:$C,C25)/SUMIFS('Clean Data'!$V:$V,'Clean Data'!$A:$A,"Rural+Urban",'Clean Data'!$B:$B,YEAR(EDATE(A25,-1)),'Clean Data'!$C:$C,TEXT(EDATE(A25,-1),"mmmm"))-1,"")</f>
        <v>2.0454545454545503E-2</v>
      </c>
      <c r="Y25" s="32">
        <f>IFERROR(SUMIFS('Clean Data'!$W:$W,'Clean Data'!$A:$A,"Rural+Urban",'Clean Data'!$B:$B,B25,'Clean Data'!$C:$C,C25)/SUMIFS('Clean Data'!$W:$W,'Clean Data'!$A:$A,"Rural+Urban",'Clean Data'!$B:$B,YEAR(EDATE(A25,-1)),'Clean Data'!$C:$C,TEXT(EDATE(A25,-1),"mmmm"))-1,"")</f>
        <v>6.0096153846154188E-3</v>
      </c>
      <c r="Z25" s="32">
        <f>IFERROR(SUMIFS('Clean Data'!$X:$X,'Clean Data'!$A:$A,"Rural+Urban",'Clean Data'!$B:$B,B25,'Clean Data'!$C:$C,C25)/SUMIFS('Clean Data'!$X:$X,'Clean Data'!$A:$A,"Rural+Urban",'Clean Data'!$B:$B,YEAR(EDATE(A25,-1)),'Clean Data'!$C:$C,TEXT(EDATE(A25,-1),"mmmm"))-1,"")</f>
        <v>3.9908779931583371E-3</v>
      </c>
      <c r="AA25" s="32">
        <f>IFERROR(SUMIFS('Clean Data'!$Y:$Y,'Clean Data'!$A:$A,"Rural+Urban",'Clean Data'!$B:$B,B25,'Clean Data'!$C:$C,C25)/SUMIFS('Clean Data'!$Y:$Y,'Clean Data'!$A:$A,"Rural+Urban",'Clean Data'!$B:$B,YEAR(EDATE(A25,-1)),'Clean Data'!$C:$C,TEXT(EDATE(A25,-1),"mmmm"))-1,"")</f>
        <v>3.1036623215394687E-3</v>
      </c>
      <c r="AB25" s="32">
        <f>IFERROR(SUMIFS('Clean Data'!$Z:$Z,'Clean Data'!$A:$A,"Rural+Urban",'Clean Data'!$B:$B,B25,'Clean Data'!$C:$C,C25)/SUMIFS('Clean Data'!$Z:$Z,'Clean Data'!$A:$A,"Rural+Urban",'Clean Data'!$B:$B,YEAR(EDATE(A25,-1)),'Clean Data'!$C:$C,TEXT(EDATE(A25,-1),"mmmm"))-1,"")</f>
        <v>3.0156815440289808E-3</v>
      </c>
      <c r="AC25" s="32">
        <f>IFERROR(SUMIFS('Clean Data'!$AA:$AA,'Clean Data'!$A:$A,"Rural+Urban",'Clean Data'!$B:$B,B25,'Clean Data'!$C:$C,C25)/SUMIFS('Clean Data'!$AA:$AA,'Clean Data'!$A:$A,"Rural+Urban",'Clean Data'!$B:$B,YEAR(EDATE(A25,-1)),'Clean Data'!$C:$C,TEXT(EDATE(A25,-1),"mmmm"))-1,"")</f>
        <v>1.4201183431952646E-2</v>
      </c>
      <c r="AD25" s="32">
        <f>IFERROR(SUMIFS('Clean Data'!$AB:$AB,'Clean Data'!$A:$A,"Rural+Urban",'Clean Data'!$B:$B,B25,'Clean Data'!$C:$C,C25)/SUMIFS('Clean Data'!$AB:$AB,'Clean Data'!$A:$A,"Rural+Urban",'Clean Data'!$B:$B,YEAR(EDATE(A25,-1)),'Clean Data'!$C:$C,TEXT(EDATE(A25,-1),"mmmm"))-1,"")</f>
        <v>1.7709563164107767E-3</v>
      </c>
      <c r="AE25" s="32">
        <f>IFERROR(SUMIFS('Clean Data'!$AC:$AC,'Clean Data'!$A:$A,"Rural+Urban",'Clean Data'!$B:$B,B25,'Clean Data'!$C:$C,C25)/SUMIFS('Clean Data'!$AC:$AC,'Clean Data'!$A:$A,"Rural+Urban",'Clean Data'!$B:$B,YEAR(EDATE(A25,-1)),'Clean Data'!$C:$C,TEXT(EDATE(A25,-1),"mmmm"))-1,"")</f>
        <v>5.3731343283582866E-3</v>
      </c>
      <c r="AF25" s="32">
        <f>IFERROR(SUMIFS('Clean Data'!$AD:$AD,'Clean Data'!$A:$A,"Rural+Urban",'Clean Data'!$B:$B,B25,'Clean Data'!$C:$C,C25)/SUMIFS('Clean Data'!$AD:$AD,'Clean Data'!$A:$A,"Rural+Urban",'Clean Data'!$B:$B,YEAR(EDATE(A25,-1)),'Clean Data'!$C:$C,TEXT(EDATE(A25,-1),"mmmm"))-1,"")</f>
        <v>4.6349942062573479E-3</v>
      </c>
    </row>
    <row r="26" spans="1:32" ht="15" customHeight="1" x14ac:dyDescent="0.2">
      <c r="A26" s="44">
        <v>44774</v>
      </c>
      <c r="B26" s="30">
        <v>2022</v>
      </c>
      <c r="C26" s="30" t="s">
        <v>100</v>
      </c>
      <c r="D26" s="12">
        <v>97.4</v>
      </c>
      <c r="E26" s="25">
        <f t="shared" si="0"/>
        <v>-7.668973362404008E-2</v>
      </c>
      <c r="F26" s="32">
        <f>IFERROR(SUMIFS('Clean Data'!$D:$D,'Clean Data'!$A:$A,"Rural+Urban",'Clean Data'!$B:$B,B26,'Clean Data'!$C:$C,C26)/SUMIFS('Clean Data'!$D:$D,'Clean Data'!$A:$A,"Rural+Urban",'Clean Data'!$B:$B,YEAR(EDATE(A26,-1)),'Clean Data'!$C:$C,TEXT(EDATE(A26,-1),"mmmm"))-1,"")</f>
        <v>2.4281150159744413E-2</v>
      </c>
      <c r="G26" s="32">
        <f>IFERROR(SUMIFS('Clean Data'!$E:$E,'Clean Data'!$A:$A,"Rural+Urban",'Clean Data'!$B:$B,B26,'Clean Data'!$C:$C,C26)/SUMIFS('Clean Data'!$E:$E,'Clean Data'!$A:$A,"Rural+Urban",'Clean Data'!$B:$B,YEAR(EDATE(A26,-1)),'Clean Data'!$C:$C,TEXT(EDATE(A26,-1),"mmmm"))-1,"")</f>
        <v>-3.0516431924882625E-2</v>
      </c>
      <c r="H26" s="32">
        <f>IFERROR(SUMIFS('Clean Data'!$F:$F,'Clean Data'!$A:$A,"Rural+Urban",'Clean Data'!$B:$B,B26,'Clean Data'!$C:$C,C26)/SUMIFS('Clean Data'!$F:$F,'Clean Data'!$A:$A,"Rural+Urban",'Clean Data'!$B:$B,YEAR(EDATE(A26,-1)),'Clean Data'!$C:$C,TEXT(EDATE(A26,-1),"mmmm"))-1,"")</f>
        <v>-3.4246575342465779E-2</v>
      </c>
      <c r="I26" s="32">
        <f>IFERROR(SUMIFS('Clean Data'!$G:$G,'Clean Data'!$A:$A,"Rural+Urban",'Clean Data'!$B:$B,B26,'Clean Data'!$C:$C,C26)/SUMIFS('Clean Data'!$G:$G,'Clean Data'!$A:$A,"Rural+Urban",'Clean Data'!$B:$B,YEAR(EDATE(A26,-1)),'Clean Data'!$C:$C,TEXT(EDATE(A26,-1),"mmmm"))-1,"")</f>
        <v>9.0036014405763254E-3</v>
      </c>
      <c r="J26" s="32">
        <f>IFERROR(SUMIFS('Clean Data'!$H:$H,'Clean Data'!$A:$A,"Rural+Urban",'Clean Data'!$B:$B,B26,'Clean Data'!$C:$C,C26)/SUMIFS('Clean Data'!$H:$H,'Clean Data'!$A:$A,"Rural+Urban",'Clean Data'!$B:$B,YEAR(EDATE(A26,-1)),'Clean Data'!$C:$C,TEXT(EDATE(A26,-1),"mmmm"))-1,"")</f>
        <v>-1.7364657814096018E-2</v>
      </c>
      <c r="K26" s="32">
        <f>IFERROR(SUMIFS('Clean Data'!$I:$I,'Clean Data'!$A:$A,"Rural+Urban",'Clean Data'!$B:$B,B26,'Clean Data'!$C:$C,C26)/SUMIFS('Clean Data'!$I:$I,'Clean Data'!$A:$A,"Rural+Urban",'Clean Data'!$B:$B,YEAR(EDATE(A26,-1)),'Clean Data'!$C:$C,TEXT(EDATE(A26,-1),"mmmm"))-1,"")</f>
        <v>-7.4626865671640896E-3</v>
      </c>
      <c r="L26" s="32">
        <f>IFERROR(SUMIFS('Clean Data'!$J:$J,'Clean Data'!$A:$A,"Rural+Urban",'Clean Data'!$B:$B,B26,'Clean Data'!$C:$C,C26)/SUMIFS('Clean Data'!$J:$J,'Clean Data'!$A:$A,"Rural+Urban",'Clean Data'!$B:$B,YEAR(EDATE(A26,-1)),'Clean Data'!$C:$C,TEXT(EDATE(A26,-1),"mmmm"))-1,"")</f>
        <v>2.5260845689181632E-2</v>
      </c>
      <c r="M26" s="32">
        <f>IFERROR(SUMIFS('Clean Data'!$K:$K,'Clean Data'!$A:$A,"Rural+Urban",'Clean Data'!$B:$B,B26,'Clean Data'!$C:$C,C26)/SUMIFS('Clean Data'!$K:$K,'Clean Data'!$A:$A,"Rural+Urban",'Clean Data'!$B:$B,YEAR(EDATE(A26,-1)),'Clean Data'!$C:$C,TEXT(EDATE(A26,-1),"mmmm"))-1,"")</f>
        <v>1.7650639074862973E-2</v>
      </c>
      <c r="N26" s="32">
        <f>IFERROR(SUMIFS('Clean Data'!$L:$L,'Clean Data'!$A:$A,"Rural+Urban",'Clean Data'!$B:$B,B26,'Clean Data'!$C:$C,C26)/SUMIFS('Clean Data'!$L:$L,'Clean Data'!$A:$A,"Rural+Urban",'Clean Data'!$B:$B,YEAR(EDATE(A26,-1)),'Clean Data'!$C:$C,TEXT(EDATE(A26,-1),"mmmm"))-1,"")</f>
        <v>7.5000000000000622E-3</v>
      </c>
      <c r="O26" s="32">
        <f>IFERROR(SUMIFS('Clean Data'!$M:$M,'Clean Data'!$A:$A,"Rural+Urban",'Clean Data'!$B:$B,B26,'Clean Data'!$C:$C,C26)/SUMIFS('Clean Data'!$M:$M,'Clean Data'!$A:$A,"Rural+Urban",'Clean Data'!$B:$B,YEAR(EDATE(A26,-1)),'Clean Data'!$C:$C,TEXT(EDATE(A26,-1),"mmmm"))-1,"")</f>
        <v>1.8947368421052602E-2</v>
      </c>
      <c r="P26" s="32">
        <f>IFERROR(SUMIFS('Clean Data'!$N:$N,'Clean Data'!$A:$A,"Rural+Urban",'Clean Data'!$B:$B,B26,'Clean Data'!$C:$C,C26)/SUMIFS('Clean Data'!$N:$N,'Clean Data'!$A:$A,"Rural+Urban",'Clean Data'!$B:$B,YEAR(EDATE(A26,-1)),'Clean Data'!$C:$C,TEXT(EDATE(A26,-1),"mmmm"))-1,"")</f>
        <v>2.3752969121140222E-3</v>
      </c>
      <c r="Q26" s="32">
        <f>IFERROR(SUMIFS('Clean Data'!$O:$O,'Clean Data'!$A:$A,"Rural+Urban",'Clean Data'!$B:$B,B26,'Clean Data'!$C:$C,C26)/SUMIFS('Clean Data'!$O:$O,'Clean Data'!$A:$A,"Rural+Urban",'Clean Data'!$B:$B,YEAR(EDATE(A26,-1)),'Clean Data'!$C:$C,TEXT(EDATE(A26,-1),"mmmm"))-1,"")</f>
        <v>5.9395248380131882E-3</v>
      </c>
      <c r="R26" s="32">
        <f>IFERROR(SUMIFS('Clean Data'!$P:$P,'Clean Data'!$A:$A,"Rural+Urban",'Clean Data'!$B:$B,B26,'Clean Data'!$C:$C,C26)/SUMIFS('Clean Data'!$P:$P,'Clean Data'!$A:$A,"Rural+Urban",'Clean Data'!$B:$B,YEAR(EDATE(A26,-1)),'Clean Data'!$C:$C,TEXT(EDATE(A26,-1),"mmmm"))-1,"")</f>
        <v>7.4285714285715621E-3</v>
      </c>
      <c r="S26" s="32">
        <f>IFERROR(SUMIFS('Clean Data'!$Q:$Q,'Clean Data'!$A:$A,"Rural+Urban",'Clean Data'!$B:$B,B26,'Clean Data'!$C:$C,C26)/SUMIFS('Clean Data'!$Q:$Q,'Clean Data'!$A:$A,"Rural+Urban",'Clean Data'!$B:$B,YEAR(EDATE(A26,-1)),'Clean Data'!$C:$C,TEXT(EDATE(A26,-1),"mmmm"))-1,"")</f>
        <v>2.0554984583762703E-3</v>
      </c>
      <c r="T26" s="32">
        <f>IFERROR(SUMIFS('Clean Data'!$R:$R,'Clean Data'!$A:$A,"Rural+Urban",'Clean Data'!$B:$B,B26,'Clean Data'!$C:$C,C26)/SUMIFS('Clean Data'!$R:$R,'Clean Data'!$A:$A,"Rural+Urban",'Clean Data'!$B:$B,YEAR(EDATE(A26,-1)),'Clean Data'!$C:$C,TEXT(EDATE(A26,-1),"mmmm"))-1,"")</f>
        <v>6.7302299495231033E-3</v>
      </c>
      <c r="U26" s="32">
        <f>IFERROR(SUMIFS('Clean Data'!$S:$S,'Clean Data'!$A:$A,"Rural+Urban",'Clean Data'!$B:$B,B26,'Clean Data'!$C:$C,C26)/SUMIFS('Clean Data'!$S:$S,'Clean Data'!$A:$A,"Rural+Urban",'Clean Data'!$B:$B,YEAR(EDATE(A26,-1)),'Clean Data'!$C:$C,TEXT(EDATE(A26,-1),"mmmm"))-1,"")</f>
        <v>8.172796263864468E-3</v>
      </c>
      <c r="V26" s="32">
        <f>IFERROR(SUMIFS('Clean Data'!$T:$T,'Clean Data'!$A:$A,"Rural+Urban",'Clean Data'!$B:$B,B26,'Clean Data'!$C:$C,C26)/SUMIFS('Clean Data'!$T:$T,'Clean Data'!$A:$A,"Rural+Urban",'Clean Data'!$B:$B,YEAR(EDATE(A26,-1)),'Clean Data'!$C:$C,TEXT(EDATE(A26,-1),"mmmm"))-1,"")</f>
        <v>6.7681895093061328E-3</v>
      </c>
      <c r="W26" s="32">
        <f>IFERROR(SUMIFS('Clean Data'!$U:$U,'Clean Data'!$A:$A,"Rural+Urban",'Clean Data'!$B:$B,B26,'Clean Data'!$C:$C,C26)/SUMIFS('Clean Data'!$U:$U,'Clean Data'!$A:$A,"Rural+Urban",'Clean Data'!$B:$B,YEAR(EDATE(A26,-1)),'Clean Data'!$C:$C,TEXT(EDATE(A26,-1),"mmmm"))-1,"")</f>
        <v>7.151370679380209E-3</v>
      </c>
      <c r="X26" s="32">
        <f>IFERROR(SUMIFS('Clean Data'!$V:$V,'Clean Data'!$A:$A,"Rural+Urban",'Clean Data'!$B:$B,B26,'Clean Data'!$C:$C,C26)/SUMIFS('Clean Data'!$V:$V,'Clean Data'!$A:$A,"Rural+Urban",'Clean Data'!$B:$B,YEAR(EDATE(A26,-1)),'Clean Data'!$C:$C,TEXT(EDATE(A26,-1),"mmmm"))-1,"")</f>
        <v>-4.4543429844097204E-3</v>
      </c>
      <c r="Y26" s="32">
        <f>IFERROR(SUMIFS('Clean Data'!$W:$W,'Clean Data'!$A:$A,"Rural+Urban",'Clean Data'!$B:$B,B26,'Clean Data'!$C:$C,C26)/SUMIFS('Clean Data'!$W:$W,'Clean Data'!$A:$A,"Rural+Urban",'Clean Data'!$B:$B,YEAR(EDATE(A26,-1)),'Clean Data'!$C:$C,TEXT(EDATE(A26,-1),"mmmm"))-1,"")</f>
        <v>6.5710872162485501E-3</v>
      </c>
      <c r="Z26" s="32">
        <f>IFERROR(SUMIFS('Clean Data'!$X:$X,'Clean Data'!$A:$A,"Rural+Urban",'Clean Data'!$B:$B,B26,'Clean Data'!$C:$C,C26)/SUMIFS('Clean Data'!$X:$X,'Clean Data'!$A:$A,"Rural+Urban",'Clean Data'!$B:$B,YEAR(EDATE(A26,-1)),'Clean Data'!$C:$C,TEXT(EDATE(A26,-1),"mmmm"))-1,"")</f>
        <v>3.9750141964793873E-3</v>
      </c>
      <c r="AA26" s="32">
        <f>IFERROR(SUMIFS('Clean Data'!$Y:$Y,'Clean Data'!$A:$A,"Rural+Urban",'Clean Data'!$B:$B,B26,'Clean Data'!$C:$C,C26)/SUMIFS('Clean Data'!$Y:$Y,'Clean Data'!$A:$A,"Rural+Urban",'Clean Data'!$B:$B,YEAR(EDATE(A26,-1)),'Clean Data'!$C:$C,TEXT(EDATE(A26,-1),"mmmm"))-1,"")</f>
        <v>1.8564356435644136E-3</v>
      </c>
      <c r="AB26" s="32">
        <f>IFERROR(SUMIFS('Clean Data'!$Z:$Z,'Clean Data'!$A:$A,"Rural+Urban",'Clean Data'!$B:$B,B26,'Clean Data'!$C:$C,C26)/SUMIFS('Clean Data'!$Z:$Z,'Clean Data'!$A:$A,"Rural+Urban",'Clean Data'!$B:$B,YEAR(EDATE(A26,-1)),'Clean Data'!$C:$C,TEXT(EDATE(A26,-1),"mmmm"))-1,"")</f>
        <v>3.6079374624173877E-3</v>
      </c>
      <c r="AC26" s="32">
        <f>IFERROR(SUMIFS('Clean Data'!$AA:$AA,'Clean Data'!$A:$A,"Rural+Urban",'Clean Data'!$B:$B,B26,'Clean Data'!$C:$C,C26)/SUMIFS('Clean Data'!$AA:$AA,'Clean Data'!$A:$A,"Rural+Urban",'Clean Data'!$B:$B,YEAR(EDATE(A26,-1)),'Clean Data'!$C:$C,TEXT(EDATE(A26,-1),"mmmm"))-1,"")</f>
        <v>5.2508751458577585E-3</v>
      </c>
      <c r="AD26" s="32">
        <f>IFERROR(SUMIFS('Clean Data'!$AB:$AB,'Clean Data'!$A:$A,"Rural+Urban",'Clean Data'!$B:$B,B26,'Clean Data'!$C:$C,C26)/SUMIFS('Clean Data'!$AB:$AB,'Clean Data'!$A:$A,"Rural+Urban",'Clean Data'!$B:$B,YEAR(EDATE(A26,-1)),'Clean Data'!$C:$C,TEXT(EDATE(A26,-1),"mmmm"))-1,"")</f>
        <v>8.8391278727164568E-3</v>
      </c>
      <c r="AE26" s="32">
        <f>IFERROR(SUMIFS('Clean Data'!$AC:$AC,'Clean Data'!$A:$A,"Rural+Urban",'Clean Data'!$B:$B,B26,'Clean Data'!$C:$C,C26)/SUMIFS('Clean Data'!$AC:$AC,'Clean Data'!$A:$A,"Rural+Urban",'Clean Data'!$B:$B,YEAR(EDATE(A26,-1)),'Clean Data'!$C:$C,TEXT(EDATE(A26,-1),"mmmm"))-1,"")</f>
        <v>4.1567695961994833E-3</v>
      </c>
      <c r="AF26" s="32">
        <f>IFERROR(SUMIFS('Clean Data'!$AD:$AD,'Clean Data'!$A:$A,"Rural+Urban",'Clean Data'!$B:$B,B26,'Clean Data'!$C:$C,C26)/SUMIFS('Clean Data'!$AD:$AD,'Clean Data'!$A:$A,"Rural+Urban",'Clean Data'!$B:$B,YEAR(EDATE(A26,-1)),'Clean Data'!$C:$C,TEXT(EDATE(A26,-1),"mmmm"))-1,"")</f>
        <v>5.1903114186850896E-3</v>
      </c>
    </row>
    <row r="27" spans="1:32" ht="15" customHeight="1" x14ac:dyDescent="0.2">
      <c r="A27" s="44">
        <v>44805</v>
      </c>
      <c r="B27" s="30">
        <v>2022</v>
      </c>
      <c r="C27" s="30" t="s">
        <v>102</v>
      </c>
      <c r="D27" s="12">
        <v>90.71</v>
      </c>
      <c r="E27" s="25">
        <f t="shared" si="0"/>
        <v>-6.8685831622176674E-2</v>
      </c>
      <c r="F27" s="32">
        <f>IFERROR(SUMIFS('Clean Data'!$D:$D,'Clean Data'!$A:$A,"Rural+Urban",'Clean Data'!$B:$B,B27,'Clean Data'!$C:$C,C27)/SUMIFS('Clean Data'!$D:$D,'Clean Data'!$A:$A,"Rural+Urban",'Clean Data'!$B:$B,YEAR(EDATE(A27,-1)),'Clean Data'!$C:$C,TEXT(EDATE(A27,-1),"mmmm"))-1,"")</f>
        <v>1.9962570180910744E-2</v>
      </c>
      <c r="G27" s="32">
        <f>IFERROR(SUMIFS('Clean Data'!$E:$E,'Clean Data'!$A:$A,"Rural+Urban",'Clean Data'!$B:$B,B27,'Clean Data'!$C:$C,C27)/SUMIFS('Clean Data'!$E:$E,'Clean Data'!$A:$A,"Rural+Urban",'Clean Data'!$B:$B,YEAR(EDATE(A27,-1)),'Clean Data'!$C:$C,TEXT(EDATE(A27,-1),"mmmm"))-1,"")</f>
        <v>1.3075060532687699E-2</v>
      </c>
      <c r="H27" s="32">
        <f>IFERROR(SUMIFS('Clean Data'!$F:$F,'Clean Data'!$A:$A,"Rural+Urban",'Clean Data'!$B:$B,B27,'Clean Data'!$C:$C,C27)/SUMIFS('Clean Data'!$F:$F,'Clean Data'!$A:$A,"Rural+Urban",'Clean Data'!$B:$B,YEAR(EDATE(A27,-1)),'Clean Data'!$C:$C,TEXT(EDATE(A27,-1),"mmmm"))-1,"")</f>
        <v>2.9550827423168169E-3</v>
      </c>
      <c r="I27" s="32">
        <f>IFERROR(SUMIFS('Clean Data'!$G:$G,'Clean Data'!$A:$A,"Rural+Urban",'Clean Data'!$B:$B,B27,'Clean Data'!$C:$C,C27)/SUMIFS('Clean Data'!$G:$G,'Clean Data'!$A:$A,"Rural+Urban",'Clean Data'!$B:$B,YEAR(EDATE(A27,-1)),'Clean Data'!$C:$C,TEXT(EDATE(A27,-1),"mmmm"))-1,"")</f>
        <v>9.5181439619274055E-3</v>
      </c>
      <c r="J27" s="32">
        <f>IFERROR(SUMIFS('Clean Data'!$H:$H,'Clean Data'!$A:$A,"Rural+Urban",'Clean Data'!$B:$B,B27,'Clean Data'!$C:$C,C27)/SUMIFS('Clean Data'!$H:$H,'Clean Data'!$A:$A,"Rural+Urban",'Clean Data'!$B:$B,YEAR(EDATE(A27,-1)),'Clean Data'!$C:$C,TEXT(EDATE(A27,-1),"mmmm"))-1,"")</f>
        <v>-1.9230769230769273E-2</v>
      </c>
      <c r="K27" s="32">
        <f>IFERROR(SUMIFS('Clean Data'!$I:$I,'Clean Data'!$A:$A,"Rural+Urban",'Clean Data'!$B:$B,B27,'Clean Data'!$C:$C,C27)/SUMIFS('Clean Data'!$I:$I,'Clean Data'!$A:$A,"Rural+Urban",'Clean Data'!$B:$B,YEAR(EDATE(A27,-1)),'Clean Data'!$C:$C,TEXT(EDATE(A27,-1),"mmmm"))-1,"")</f>
        <v>-4.1642567958357524E-2</v>
      </c>
      <c r="L27" s="32">
        <f>IFERROR(SUMIFS('Clean Data'!$J:$J,'Clean Data'!$A:$A,"Rural+Urban",'Clean Data'!$B:$B,B27,'Clean Data'!$C:$C,C27)/SUMIFS('Clean Data'!$J:$J,'Clean Data'!$A:$A,"Rural+Urban",'Clean Data'!$B:$B,YEAR(EDATE(A27,-1)),'Clean Data'!$C:$C,TEXT(EDATE(A27,-1),"mmmm"))-1,"")</f>
        <v>2.731655061596161E-2</v>
      </c>
      <c r="M27" s="32">
        <f>IFERROR(SUMIFS('Clean Data'!$K:$K,'Clean Data'!$A:$A,"Rural+Urban",'Clean Data'!$B:$B,B27,'Clean Data'!$C:$C,C27)/SUMIFS('Clean Data'!$K:$K,'Clean Data'!$A:$A,"Rural+Urban",'Clean Data'!$B:$B,YEAR(EDATE(A27,-1)),'Clean Data'!$C:$C,TEXT(EDATE(A27,-1),"mmmm"))-1,"")</f>
        <v>1.1363636363636465E-2</v>
      </c>
      <c r="N27" s="32">
        <f>IFERROR(SUMIFS('Clean Data'!$L:$L,'Clean Data'!$A:$A,"Rural+Urban",'Clean Data'!$B:$B,B27,'Clean Data'!$C:$C,C27)/SUMIFS('Clean Data'!$L:$L,'Clean Data'!$A:$A,"Rural+Urban",'Clean Data'!$B:$B,YEAR(EDATE(A27,-1)),'Clean Data'!$C:$C,TEXT(EDATE(A27,-1),"mmmm"))-1,"")</f>
        <v>5.7899090157154109E-3</v>
      </c>
      <c r="O27" s="32">
        <f>IFERROR(SUMIFS('Clean Data'!$M:$M,'Clean Data'!$A:$A,"Rural+Urban",'Clean Data'!$B:$B,B27,'Clean Data'!$C:$C,C27)/SUMIFS('Clean Data'!$M:$M,'Clean Data'!$A:$A,"Rural+Urban",'Clean Data'!$B:$B,YEAR(EDATE(A27,-1)),'Clean Data'!$C:$C,TEXT(EDATE(A27,-1),"mmmm"))-1,"")</f>
        <v>1.9111570247933862E-2</v>
      </c>
      <c r="P27" s="32">
        <f>IFERROR(SUMIFS('Clean Data'!$N:$N,'Clean Data'!$A:$A,"Rural+Urban",'Clean Data'!$B:$B,B27,'Clean Data'!$C:$C,C27)/SUMIFS('Clean Data'!$N:$N,'Clean Data'!$A:$A,"Rural+Urban",'Clean Data'!$B:$B,YEAR(EDATE(A27,-1)),'Clean Data'!$C:$C,TEXT(EDATE(A27,-1),"mmmm"))-1,"")</f>
        <v>3.5545023696681444E-3</v>
      </c>
      <c r="Q27" s="32">
        <f>IFERROR(SUMIFS('Clean Data'!$O:$O,'Clean Data'!$A:$A,"Rural+Urban",'Clean Data'!$B:$B,B27,'Clean Data'!$C:$C,C27)/SUMIFS('Clean Data'!$O:$O,'Clean Data'!$A:$A,"Rural+Urban",'Clean Data'!$B:$B,YEAR(EDATE(A27,-1)),'Clean Data'!$C:$C,TEXT(EDATE(A27,-1),"mmmm"))-1,"")</f>
        <v>5.9044551798175249E-3</v>
      </c>
      <c r="R27" s="32">
        <f>IFERROR(SUMIFS('Clean Data'!$P:$P,'Clean Data'!$A:$A,"Rural+Urban",'Clean Data'!$B:$B,B27,'Clean Data'!$C:$C,C27)/SUMIFS('Clean Data'!$P:$P,'Clean Data'!$A:$A,"Rural+Urban",'Clean Data'!$B:$B,YEAR(EDATE(A27,-1)),'Clean Data'!$C:$C,TEXT(EDATE(A27,-1),"mmmm"))-1,"")</f>
        <v>8.5082246171299669E-3</v>
      </c>
      <c r="S27" s="32">
        <f>IFERROR(SUMIFS('Clean Data'!$Q:$Q,'Clean Data'!$A:$A,"Rural+Urban",'Clean Data'!$B:$B,B27,'Clean Data'!$C:$C,C27)/SUMIFS('Clean Data'!$Q:$Q,'Clean Data'!$A:$A,"Rural+Urban",'Clean Data'!$B:$B,YEAR(EDATE(A27,-1)),'Clean Data'!$C:$C,TEXT(EDATE(A27,-1),"mmmm"))-1,"")</f>
        <v>4.6153846153846878E-3</v>
      </c>
      <c r="T27" s="32">
        <f>IFERROR(SUMIFS('Clean Data'!$R:$R,'Clean Data'!$A:$A,"Rural+Urban",'Clean Data'!$B:$B,B27,'Clean Data'!$C:$C,C27)/SUMIFS('Clean Data'!$R:$R,'Clean Data'!$A:$A,"Rural+Urban",'Clean Data'!$B:$B,YEAR(EDATE(A27,-1)),'Clean Data'!$C:$C,TEXT(EDATE(A27,-1),"mmmm"))-1,"")</f>
        <v>7.7994428969359042E-3</v>
      </c>
      <c r="U27" s="32">
        <f>IFERROR(SUMIFS('Clean Data'!$S:$S,'Clean Data'!$A:$A,"Rural+Urban",'Clean Data'!$B:$B,B27,'Clean Data'!$C:$C,C27)/SUMIFS('Clean Data'!$S:$S,'Clean Data'!$A:$A,"Rural+Urban",'Clean Data'!$B:$B,YEAR(EDATE(A27,-1)),'Clean Data'!$C:$C,TEXT(EDATE(A27,-1),"mmmm"))-1,"")</f>
        <v>9.2646207295890015E-3</v>
      </c>
      <c r="V27" s="32">
        <f>IFERROR(SUMIFS('Clean Data'!$T:$T,'Clean Data'!$A:$A,"Rural+Urban",'Clean Data'!$B:$B,B27,'Clean Data'!$C:$C,C27)/SUMIFS('Clean Data'!$T:$T,'Clean Data'!$A:$A,"Rural+Urban",'Clean Data'!$B:$B,YEAR(EDATE(A27,-1)),'Clean Data'!$C:$C,TEXT(EDATE(A27,-1),"mmmm"))-1,"")</f>
        <v>7.8431372549019329E-3</v>
      </c>
      <c r="W27" s="32">
        <f>IFERROR(SUMIFS('Clean Data'!$U:$U,'Clean Data'!$A:$A,"Rural+Urban",'Clean Data'!$B:$B,B27,'Clean Data'!$C:$C,C27)/SUMIFS('Clean Data'!$U:$U,'Clean Data'!$A:$A,"Rural+Urban",'Clean Data'!$B:$B,YEAR(EDATE(A27,-1)),'Clean Data'!$C:$C,TEXT(EDATE(A27,-1),"mmmm"))-1,"")</f>
        <v>2.9585798816567088E-3</v>
      </c>
      <c r="X27" s="32">
        <f>IFERROR(SUMIFS('Clean Data'!$V:$V,'Clean Data'!$A:$A,"Rural+Urban",'Clean Data'!$B:$B,B27,'Clean Data'!$C:$C,C27)/SUMIFS('Clean Data'!$V:$V,'Clean Data'!$A:$A,"Rural+Urban",'Clean Data'!$B:$B,YEAR(EDATE(A27,-1)),'Clean Data'!$C:$C,TEXT(EDATE(A27,-1),"mmmm"))-1,"")</f>
        <v>3.9149888143175104E-3</v>
      </c>
      <c r="Y27" s="32">
        <f>IFERROR(SUMIFS('Clean Data'!$W:$W,'Clean Data'!$A:$A,"Rural+Urban",'Clean Data'!$B:$B,B27,'Clean Data'!$C:$C,C27)/SUMIFS('Clean Data'!$W:$W,'Clean Data'!$A:$A,"Rural+Urban",'Clean Data'!$B:$B,YEAR(EDATE(A27,-1)),'Clean Data'!$C:$C,TEXT(EDATE(A27,-1),"mmmm"))-1,"")</f>
        <v>5.9347181008901906E-3</v>
      </c>
      <c r="Z27" s="32">
        <f>IFERROR(SUMIFS('Clean Data'!$X:$X,'Clean Data'!$A:$A,"Rural+Urban",'Clean Data'!$B:$B,B27,'Clean Data'!$C:$C,C27)/SUMIFS('Clean Data'!$X:$X,'Clean Data'!$A:$A,"Rural+Urban",'Clean Data'!$B:$B,YEAR(EDATE(A27,-1)),'Clean Data'!$C:$C,TEXT(EDATE(A27,-1),"mmmm"))-1,"")</f>
        <v>5.6561085972850478E-3</v>
      </c>
      <c r="AA27" s="32">
        <f>IFERROR(SUMIFS('Clean Data'!$Y:$Y,'Clean Data'!$A:$A,"Rural+Urban",'Clean Data'!$B:$B,B27,'Clean Data'!$C:$C,C27)/SUMIFS('Clean Data'!$Y:$Y,'Clean Data'!$A:$A,"Rural+Urban",'Clean Data'!$B:$B,YEAR(EDATE(A27,-1)),'Clean Data'!$C:$C,TEXT(EDATE(A27,-1),"mmmm"))-1,"")</f>
        <v>2.4706609017912662E-3</v>
      </c>
      <c r="AB27" s="32">
        <f>IFERROR(SUMIFS('Clean Data'!$Z:$Z,'Clean Data'!$A:$A,"Rural+Urban",'Clean Data'!$B:$B,B27,'Clean Data'!$C:$C,C27)/SUMIFS('Clean Data'!$Z:$Z,'Clean Data'!$A:$A,"Rural+Urban",'Clean Data'!$B:$B,YEAR(EDATE(A27,-1)),'Clean Data'!$C:$C,TEXT(EDATE(A27,-1),"mmmm"))-1,"")</f>
        <v>4.1941282204911445E-3</v>
      </c>
      <c r="AC27" s="32">
        <f>IFERROR(SUMIFS('Clean Data'!$AA:$AA,'Clean Data'!$A:$A,"Rural+Urban",'Clean Data'!$B:$B,B27,'Clean Data'!$C:$C,C27)/SUMIFS('Clean Data'!$AA:$AA,'Clean Data'!$A:$A,"Rural+Urban",'Clean Data'!$B:$B,YEAR(EDATE(A27,-1)),'Clean Data'!$C:$C,TEXT(EDATE(A27,-1),"mmmm"))-1,"")</f>
        <v>4.6430644225188278E-3</v>
      </c>
      <c r="AD27" s="32">
        <f>IFERROR(SUMIFS('Clean Data'!$AB:$AB,'Clean Data'!$A:$A,"Rural+Urban",'Clean Data'!$B:$B,B27,'Clean Data'!$C:$C,C27)/SUMIFS('Clean Data'!$AB:$AB,'Clean Data'!$A:$A,"Rural+Urban",'Clean Data'!$B:$B,YEAR(EDATE(A27,-1)),'Clean Data'!$C:$C,TEXT(EDATE(A27,-1),"mmmm"))-1,"")</f>
        <v>-1.7523364485980686E-3</v>
      </c>
      <c r="AE27" s="32">
        <f>IFERROR(SUMIFS('Clean Data'!$AC:$AC,'Clean Data'!$A:$A,"Rural+Urban",'Clean Data'!$B:$B,B27,'Clean Data'!$C:$C,C27)/SUMIFS('Clean Data'!$AC:$AC,'Clean Data'!$A:$A,"Rural+Urban",'Clean Data'!$B:$B,YEAR(EDATE(A27,-1)),'Clean Data'!$C:$C,TEXT(EDATE(A27,-1),"mmmm"))-1,"")</f>
        <v>3.548196333530429E-3</v>
      </c>
      <c r="AF27" s="32">
        <f>IFERROR(SUMIFS('Clean Data'!$AD:$AD,'Clean Data'!$A:$A,"Rural+Urban",'Clean Data'!$B:$B,B27,'Clean Data'!$C:$C,C27)/SUMIFS('Clean Data'!$AD:$AD,'Clean Data'!$A:$A,"Rural+Urban",'Clean Data'!$B:$B,YEAR(EDATE(A27,-1)),'Clean Data'!$C:$C,TEXT(EDATE(A27,-1),"mmmm"))-1,"")</f>
        <v>5.7372346528972162E-3</v>
      </c>
    </row>
    <row r="28" spans="1:32" ht="15" customHeight="1" x14ac:dyDescent="0.2">
      <c r="A28" s="44">
        <v>44835</v>
      </c>
      <c r="B28" s="30">
        <v>2022</v>
      </c>
      <c r="C28" s="30" t="s">
        <v>104</v>
      </c>
      <c r="D28" s="12">
        <v>91.7</v>
      </c>
      <c r="E28" s="25">
        <f t="shared" si="0"/>
        <v>1.0913901444162821E-2</v>
      </c>
      <c r="F28" s="32">
        <f>IFERROR(SUMIFS('Clean Data'!$D:$D,'Clean Data'!$A:$A,"Rural+Urban",'Clean Data'!$B:$B,B28,'Clean Data'!$C:$C,C28)/SUMIFS('Clean Data'!$D:$D,'Clean Data'!$A:$A,"Rural+Urban",'Clean Data'!$B:$B,YEAR(EDATE(A28,-1)),'Clean Data'!$C:$C,TEXT(EDATE(A28,-1),"mmmm"))-1,"")</f>
        <v>1.039755351681948E-2</v>
      </c>
      <c r="G28" s="32">
        <f>IFERROR(SUMIFS('Clean Data'!$E:$E,'Clean Data'!$A:$A,"Rural+Urban",'Clean Data'!$B:$B,B28,'Clean Data'!$C:$C,C28)/SUMIFS('Clean Data'!$E:$E,'Clean Data'!$A:$A,"Rural+Urban",'Clean Data'!$B:$B,YEAR(EDATE(A28,-1)),'Clean Data'!$C:$C,TEXT(EDATE(A28,-1),"mmmm"))-1,"")</f>
        <v>8.1261950286808382E-3</v>
      </c>
      <c r="H28" s="32">
        <f>IFERROR(SUMIFS('Clean Data'!$F:$F,'Clean Data'!$A:$A,"Rural+Urban",'Clean Data'!$B:$B,B28,'Clean Data'!$C:$C,C28)/SUMIFS('Clean Data'!$F:$F,'Clean Data'!$A:$A,"Rural+Urban",'Clean Data'!$B:$B,YEAR(EDATE(A28,-1)),'Clean Data'!$C:$C,TEXT(EDATE(A28,-1),"mmmm"))-1,"")</f>
        <v>7.0713022981734319E-3</v>
      </c>
      <c r="I28" s="32">
        <f>IFERROR(SUMIFS('Clean Data'!$G:$G,'Clean Data'!$A:$A,"Rural+Urban",'Clean Data'!$B:$B,B28,'Clean Data'!$C:$C,C28)/SUMIFS('Clean Data'!$G:$G,'Clean Data'!$A:$A,"Rural+Urban",'Clean Data'!$B:$B,YEAR(EDATE(A28,-1)),'Clean Data'!$C:$C,TEXT(EDATE(A28,-1),"mmmm"))-1,"")</f>
        <v>7.0713022981734319E-3</v>
      </c>
      <c r="J28" s="32">
        <f>IFERROR(SUMIFS('Clean Data'!$H:$H,'Clean Data'!$A:$A,"Rural+Urban",'Clean Data'!$B:$B,B28,'Clean Data'!$C:$C,C28)/SUMIFS('Clean Data'!$H:$H,'Clean Data'!$A:$A,"Rural+Urban",'Clean Data'!$B:$B,YEAR(EDATE(A28,-1)),'Clean Data'!$C:$C,TEXT(EDATE(A28,-1),"mmmm"))-1,"")</f>
        <v>-1.1658717541070396E-2</v>
      </c>
      <c r="K28" s="32">
        <f>IFERROR(SUMIFS('Clean Data'!$I:$I,'Clean Data'!$A:$A,"Rural+Urban",'Clean Data'!$B:$B,B28,'Clean Data'!$C:$C,C28)/SUMIFS('Clean Data'!$I:$I,'Clean Data'!$A:$A,"Rural+Urban",'Clean Data'!$B:$B,YEAR(EDATE(A28,-1)),'Clean Data'!$C:$C,TEXT(EDATE(A28,-1),"mmmm"))-1,"")</f>
        <v>-1.1466505733252697E-2</v>
      </c>
      <c r="L28" s="32">
        <f>IFERROR(SUMIFS('Clean Data'!$J:$J,'Clean Data'!$A:$A,"Rural+Urban",'Clean Data'!$B:$B,B28,'Clean Data'!$C:$C,C28)/SUMIFS('Clean Data'!$J:$J,'Clean Data'!$A:$A,"Rural+Urban",'Clean Data'!$B:$B,YEAR(EDATE(A28,-1)),'Clean Data'!$C:$C,TEXT(EDATE(A28,-1),"mmmm"))-1,"")</f>
        <v>4.1188738269030134E-2</v>
      </c>
      <c r="M28" s="32">
        <f>IFERROR(SUMIFS('Clean Data'!$K:$K,'Clean Data'!$A:$A,"Rural+Urban",'Clean Data'!$B:$B,B28,'Clean Data'!$C:$C,C28)/SUMIFS('Clean Data'!$K:$K,'Clean Data'!$A:$A,"Rural+Urban",'Clean Data'!$B:$B,YEAR(EDATE(A28,-1)),'Clean Data'!$C:$C,TEXT(EDATE(A28,-1),"mmmm"))-1,"")</f>
        <v>4.1395623891189448E-3</v>
      </c>
      <c r="N28" s="32">
        <f>IFERROR(SUMIFS('Clean Data'!$L:$L,'Clean Data'!$A:$A,"Rural+Urban",'Clean Data'!$B:$B,B28,'Clean Data'!$C:$C,C28)/SUMIFS('Clean Data'!$L:$L,'Clean Data'!$A:$A,"Rural+Urban",'Clean Data'!$B:$B,YEAR(EDATE(A28,-1)),'Clean Data'!$C:$C,TEXT(EDATE(A28,-1),"mmmm"))-1,"")</f>
        <v>2.4671052631579649E-3</v>
      </c>
      <c r="O28" s="32">
        <f>IFERROR(SUMIFS('Clean Data'!$M:$M,'Clean Data'!$A:$A,"Rural+Urban",'Clean Data'!$B:$B,B28,'Clean Data'!$C:$C,C28)/SUMIFS('Clean Data'!$M:$M,'Clean Data'!$A:$A,"Rural+Urban",'Clean Data'!$B:$B,YEAR(EDATE(A28,-1)),'Clean Data'!$C:$C,TEXT(EDATE(A28,-1),"mmmm"))-1,"")</f>
        <v>1.3177901672579706E-2</v>
      </c>
      <c r="P28" s="32">
        <f>IFERROR(SUMIFS('Clean Data'!$N:$N,'Clean Data'!$A:$A,"Rural+Urban",'Clean Data'!$B:$B,B28,'Clean Data'!$C:$C,C28)/SUMIFS('Clean Data'!$N:$N,'Clean Data'!$A:$A,"Rural+Urban",'Clean Data'!$B:$B,YEAR(EDATE(A28,-1)),'Clean Data'!$C:$C,TEXT(EDATE(A28,-1),"mmmm"))-1,"")</f>
        <v>2.9515938606847758E-3</v>
      </c>
      <c r="Q28" s="32">
        <f>IFERROR(SUMIFS('Clean Data'!$O:$O,'Clean Data'!$A:$A,"Rural+Urban",'Clean Data'!$B:$B,B28,'Clean Data'!$C:$C,C28)/SUMIFS('Clean Data'!$O:$O,'Clean Data'!$A:$A,"Rural+Urban",'Clean Data'!$B:$B,YEAR(EDATE(A28,-1)),'Clean Data'!$C:$C,TEXT(EDATE(A28,-1),"mmmm"))-1,"")</f>
        <v>4.8025613660618305E-3</v>
      </c>
      <c r="R28" s="32">
        <f>IFERROR(SUMIFS('Clean Data'!$P:$P,'Clean Data'!$A:$A,"Rural+Urban",'Clean Data'!$B:$B,B28,'Clean Data'!$C:$C,C28)/SUMIFS('Clean Data'!$P:$P,'Clean Data'!$A:$A,"Rural+Urban",'Clean Data'!$B:$B,YEAR(EDATE(A28,-1)),'Clean Data'!$C:$C,TEXT(EDATE(A28,-1),"mmmm"))-1,"")</f>
        <v>1.0123734533183271E-2</v>
      </c>
      <c r="S28" s="32">
        <f>IFERROR(SUMIFS('Clean Data'!$Q:$Q,'Clean Data'!$A:$A,"Rural+Urban",'Clean Data'!$B:$B,B28,'Clean Data'!$C:$C,C28)/SUMIFS('Clean Data'!$Q:$Q,'Clean Data'!$A:$A,"Rural+Urban",'Clean Data'!$B:$B,YEAR(EDATE(A28,-1)),'Clean Data'!$C:$C,TEXT(EDATE(A28,-1),"mmmm"))-1,"")</f>
        <v>2.0418580908627693E-3</v>
      </c>
      <c r="T28" s="32">
        <f>IFERROR(SUMIFS('Clean Data'!$R:$R,'Clean Data'!$A:$A,"Rural+Urban",'Clean Data'!$B:$B,B28,'Clean Data'!$C:$C,C28)/SUMIFS('Clean Data'!$R:$R,'Clean Data'!$A:$A,"Rural+Urban",'Clean Data'!$B:$B,YEAR(EDATE(A28,-1)),'Clean Data'!$C:$C,TEXT(EDATE(A28,-1),"mmmm"))-1,"")</f>
        <v>5.5279159756771445E-3</v>
      </c>
      <c r="U28" s="32">
        <f>IFERROR(SUMIFS('Clean Data'!$S:$S,'Clean Data'!$A:$A,"Rural+Urban",'Clean Data'!$B:$B,B28,'Clean Data'!$C:$C,C28)/SUMIFS('Clean Data'!$S:$S,'Clean Data'!$A:$A,"Rural+Urban",'Clean Data'!$B:$B,YEAR(EDATE(A28,-1)),'Clean Data'!$C:$C,TEXT(EDATE(A28,-1),"mmmm"))-1,"")</f>
        <v>5.7372346528972162E-3</v>
      </c>
      <c r="V28" s="32">
        <f>IFERROR(SUMIFS('Clean Data'!$T:$T,'Clean Data'!$A:$A,"Rural+Urban",'Clean Data'!$B:$B,B28,'Clean Data'!$C:$C,C28)/SUMIFS('Clean Data'!$T:$T,'Clean Data'!$A:$A,"Rural+Urban",'Clean Data'!$B:$B,YEAR(EDATE(A28,-1)),'Clean Data'!$C:$C,TEXT(EDATE(A28,-1),"mmmm"))-1,"")</f>
        <v>6.1145080600333301E-3</v>
      </c>
      <c r="W28" s="32">
        <f>IFERROR(SUMIFS('Clean Data'!$U:$U,'Clean Data'!$A:$A,"Rural+Urban",'Clean Data'!$B:$B,B28,'Clean Data'!$C:$C,C28)/SUMIFS('Clean Data'!$U:$U,'Clean Data'!$A:$A,"Rural+Urban",'Clean Data'!$B:$B,YEAR(EDATE(A28,-1)),'Clean Data'!$C:$C,TEXT(EDATE(A28,-1),"mmmm"))-1,"")</f>
        <v>1.0029498525073732E-2</v>
      </c>
      <c r="X28" s="32">
        <f>IFERROR(SUMIFS('Clean Data'!$V:$V,'Clean Data'!$A:$A,"Rural+Urban",'Clean Data'!$B:$B,B28,'Clean Data'!$C:$C,C28)/SUMIFS('Clean Data'!$V:$V,'Clean Data'!$A:$A,"Rural+Urban",'Clean Data'!$B:$B,YEAR(EDATE(A28,-1)),'Clean Data'!$C:$C,TEXT(EDATE(A28,-1),"mmmm"))-1,"")</f>
        <v>5.5710306406684396E-3</v>
      </c>
      <c r="Y28" s="32">
        <f>IFERROR(SUMIFS('Clean Data'!$W:$W,'Clean Data'!$A:$A,"Rural+Urban",'Clean Data'!$B:$B,B28,'Clean Data'!$C:$C,C28)/SUMIFS('Clean Data'!$W:$W,'Clean Data'!$A:$A,"Rural+Urban",'Clean Data'!$B:$B,YEAR(EDATE(A28,-1)),'Clean Data'!$C:$C,TEXT(EDATE(A28,-1),"mmmm"))-1,"")</f>
        <v>5.3097345132744334E-3</v>
      </c>
      <c r="Z28" s="32">
        <f>IFERROR(SUMIFS('Clean Data'!$X:$X,'Clean Data'!$A:$A,"Rural+Urban",'Clean Data'!$B:$B,B28,'Clean Data'!$C:$C,C28)/SUMIFS('Clean Data'!$X:$X,'Clean Data'!$A:$A,"Rural+Urban",'Clean Data'!$B:$B,YEAR(EDATE(A28,-1)),'Clean Data'!$C:$C,TEXT(EDATE(A28,-1),"mmmm"))-1,"")</f>
        <v>5.0618672665916353E-3</v>
      </c>
      <c r="AA28" s="32">
        <f>IFERROR(SUMIFS('Clean Data'!$Y:$Y,'Clean Data'!$A:$A,"Rural+Urban",'Clean Data'!$B:$B,B28,'Clean Data'!$C:$C,C28)/SUMIFS('Clean Data'!$Y:$Y,'Clean Data'!$A:$A,"Rural+Urban",'Clean Data'!$B:$B,YEAR(EDATE(A28,-1)),'Clean Data'!$C:$C,TEXT(EDATE(A28,-1),"mmmm"))-1,"")</f>
        <v>3.6968576709797141E-3</v>
      </c>
      <c r="AB28" s="32">
        <f>IFERROR(SUMIFS('Clean Data'!$Z:$Z,'Clean Data'!$A:$A,"Rural+Urban",'Clean Data'!$B:$B,B28,'Clean Data'!$C:$C,C28)/SUMIFS('Clean Data'!$Z:$Z,'Clean Data'!$A:$A,"Rural+Urban",'Clean Data'!$B:$B,YEAR(EDATE(A28,-1)),'Clean Data'!$C:$C,TEXT(EDATE(A28,-1),"mmmm"))-1,"")</f>
        <v>3.5799522673030104E-3</v>
      </c>
      <c r="AC28" s="32">
        <f>IFERROR(SUMIFS('Clean Data'!$AA:$AA,'Clean Data'!$A:$A,"Rural+Urban",'Clean Data'!$B:$B,B28,'Clean Data'!$C:$C,C28)/SUMIFS('Clean Data'!$AA:$AA,'Clean Data'!$A:$A,"Rural+Urban",'Clean Data'!$B:$B,YEAR(EDATE(A28,-1)),'Clean Data'!$C:$C,TEXT(EDATE(A28,-1),"mmmm"))-1,"")</f>
        <v>1.7331022530329143E-3</v>
      </c>
      <c r="AD28" s="32">
        <f>IFERROR(SUMIFS('Clean Data'!$AB:$AB,'Clean Data'!$A:$A,"Rural+Urban",'Clean Data'!$B:$B,B28,'Clean Data'!$C:$C,C28)/SUMIFS('Clean Data'!$AB:$AB,'Clean Data'!$A:$A,"Rural+Urban",'Clean Data'!$B:$B,YEAR(EDATE(A28,-1)),'Clean Data'!$C:$C,TEXT(EDATE(A28,-1),"mmmm"))-1,"")</f>
        <v>7.02165008777067E-3</v>
      </c>
      <c r="AE28" s="32">
        <f>IFERROR(SUMIFS('Clean Data'!$AC:$AC,'Clean Data'!$A:$A,"Rural+Urban",'Clean Data'!$B:$B,B28,'Clean Data'!$C:$C,C28)/SUMIFS('Clean Data'!$AC:$AC,'Clean Data'!$A:$A,"Rural+Urban",'Clean Data'!$B:$B,YEAR(EDATE(A28,-1)),'Clean Data'!$C:$C,TEXT(EDATE(A28,-1),"mmmm"))-1,"")</f>
        <v>4.7142015321155473E-3</v>
      </c>
      <c r="AF28" s="32">
        <f>IFERROR(SUMIFS('Clean Data'!$AD:$AD,'Clean Data'!$A:$A,"Rural+Urban",'Clean Data'!$B:$B,B28,'Clean Data'!$C:$C,C28)/SUMIFS('Clean Data'!$AD:$AD,'Clean Data'!$A:$A,"Rural+Urban",'Clean Data'!$B:$B,YEAR(EDATE(A28,-1)),'Clean Data'!$C:$C,TEXT(EDATE(A28,-1),"mmmm"))-1,"")</f>
        <v>7.986309184255358E-3</v>
      </c>
    </row>
    <row r="29" spans="1:32" ht="15" customHeight="1" x14ac:dyDescent="0.2">
      <c r="A29" s="44">
        <v>44866</v>
      </c>
      <c r="B29" s="30">
        <v>2022</v>
      </c>
      <c r="C29" s="30" t="s">
        <v>107</v>
      </c>
      <c r="D29" s="12">
        <v>87.55</v>
      </c>
      <c r="E29" s="25">
        <f t="shared" si="0"/>
        <v>-4.5256270447110225E-2</v>
      </c>
      <c r="F29" s="32">
        <f>IFERROR(SUMIFS('Clean Data'!$D:$D,'Clean Data'!$A:$A,"Rural+Urban",'Clean Data'!$B:$B,B29,'Clean Data'!$C:$C,C29)/SUMIFS('Clean Data'!$D:$D,'Clean Data'!$A:$A,"Rural+Urban",'Clean Data'!$B:$B,YEAR(EDATE(A29,-1)),'Clean Data'!$C:$C,TEXT(EDATE(A29,-1),"mmmm"))-1,"")</f>
        <v>1.3317191283293006E-2</v>
      </c>
      <c r="G29" s="32">
        <f>IFERROR(SUMIFS('Clean Data'!$E:$E,'Clean Data'!$A:$A,"Rural+Urban",'Clean Data'!$B:$B,B29,'Clean Data'!$C:$C,C29)/SUMIFS('Clean Data'!$E:$E,'Clean Data'!$A:$A,"Rural+Urban",'Clean Data'!$B:$B,YEAR(EDATE(A29,-1)),'Clean Data'!$C:$C,TEXT(EDATE(A29,-1),"mmmm"))-1,"")</f>
        <v>-7.1123755334281391E-3</v>
      </c>
      <c r="H29" s="32">
        <f>IFERROR(SUMIFS('Clean Data'!$F:$F,'Clean Data'!$A:$A,"Rural+Urban",'Clean Data'!$B:$B,B29,'Clean Data'!$C:$C,C29)/SUMIFS('Clean Data'!$F:$F,'Clean Data'!$A:$A,"Rural+Urban",'Clean Data'!$B:$B,YEAR(EDATE(A29,-1)),'Clean Data'!$C:$C,TEXT(EDATE(A29,-1),"mmmm"))-1,"")</f>
        <v>6.143943826799303E-2</v>
      </c>
      <c r="I29" s="32">
        <f>IFERROR(SUMIFS('Clean Data'!$G:$G,'Clean Data'!$A:$A,"Rural+Urban",'Clean Data'!$B:$B,B29,'Clean Data'!$C:$C,C29)/SUMIFS('Clean Data'!$G:$G,'Clean Data'!$A:$A,"Rural+Urban",'Clean Data'!$B:$B,YEAR(EDATE(A29,-1)),'Clean Data'!$C:$C,TEXT(EDATE(A29,-1),"mmmm"))-1,"")</f>
        <v>8.191925102399189E-3</v>
      </c>
      <c r="J29" s="32">
        <f>IFERROR(SUMIFS('Clean Data'!$H:$H,'Clean Data'!$A:$A,"Rural+Urban",'Clean Data'!$B:$B,B29,'Clean Data'!$C:$C,C29)/SUMIFS('Clean Data'!$H:$H,'Clean Data'!$A:$A,"Rural+Urban",'Clean Data'!$B:$B,YEAR(EDATE(A29,-1)),'Clean Data'!$C:$C,TEXT(EDATE(A29,-1),"mmmm"))-1,"")</f>
        <v>1.2868632707774719E-2</v>
      </c>
      <c r="K29" s="32">
        <f>IFERROR(SUMIFS('Clean Data'!$I:$I,'Clean Data'!$A:$A,"Rural+Urban",'Clean Data'!$B:$B,B29,'Clean Data'!$C:$C,C29)/SUMIFS('Clean Data'!$I:$I,'Clean Data'!$A:$A,"Rural+Urban",'Clean Data'!$B:$B,YEAR(EDATE(A29,-1)),'Clean Data'!$C:$C,TEXT(EDATE(A29,-1),"mmmm"))-1,"")</f>
        <v>-1.892551892551908E-2</v>
      </c>
      <c r="L29" s="32">
        <f>IFERROR(SUMIFS('Clean Data'!$J:$J,'Clean Data'!$A:$A,"Rural+Urban",'Clean Data'!$B:$B,B29,'Clean Data'!$C:$C,C29)/SUMIFS('Clean Data'!$J:$J,'Clean Data'!$A:$A,"Rural+Urban",'Clean Data'!$B:$B,YEAR(EDATE(A29,-1)),'Clean Data'!$C:$C,TEXT(EDATE(A29,-1),"mmmm"))-1,"")</f>
        <v>-8.3124687030545763E-2</v>
      </c>
      <c r="M29" s="32">
        <f>IFERROR(SUMIFS('Clean Data'!$K:$K,'Clean Data'!$A:$A,"Rural+Urban",'Clean Data'!$B:$B,B29,'Clean Data'!$C:$C,C29)/SUMIFS('Clean Data'!$K:$K,'Clean Data'!$A:$A,"Rural+Urban",'Clean Data'!$B:$B,YEAR(EDATE(A29,-1)),'Clean Data'!$C:$C,TEXT(EDATE(A29,-1),"mmmm"))-1,"")</f>
        <v>4.1224970553592755E-3</v>
      </c>
      <c r="N29" s="32">
        <f>IFERROR(SUMIFS('Clean Data'!$L:$L,'Clean Data'!$A:$A,"Rural+Urban",'Clean Data'!$B:$B,B29,'Clean Data'!$C:$C,C29)/SUMIFS('Clean Data'!$L:$L,'Clean Data'!$A:$A,"Rural+Urban",'Clean Data'!$B:$B,YEAR(EDATE(A29,-1)),'Clean Data'!$C:$C,TEXT(EDATE(A29,-1),"mmmm"))-1,"")</f>
        <v>1.6406890894173909E-3</v>
      </c>
      <c r="O29" s="32">
        <f>IFERROR(SUMIFS('Clean Data'!$M:$M,'Clean Data'!$A:$A,"Rural+Urban",'Clean Data'!$B:$B,B29,'Clean Data'!$C:$C,C29)/SUMIFS('Clean Data'!$M:$M,'Clean Data'!$A:$A,"Rural+Urban",'Clean Data'!$B:$B,YEAR(EDATE(A29,-1)),'Clean Data'!$C:$C,TEXT(EDATE(A29,-1),"mmmm"))-1,"")</f>
        <v>1.4507253626813377E-2</v>
      </c>
      <c r="P29" s="32">
        <f>IFERROR(SUMIFS('Clean Data'!$N:$N,'Clean Data'!$A:$A,"Rural+Urban",'Clean Data'!$B:$B,B29,'Clean Data'!$C:$C,C29)/SUMIFS('Clean Data'!$N:$N,'Clean Data'!$A:$A,"Rural+Urban",'Clean Data'!$B:$B,YEAR(EDATE(A29,-1)),'Clean Data'!$C:$C,TEXT(EDATE(A29,-1),"mmmm"))-1,"")</f>
        <v>2.9429075927016601E-3</v>
      </c>
      <c r="Q29" s="32">
        <f>IFERROR(SUMIFS('Clean Data'!$O:$O,'Clean Data'!$A:$A,"Rural+Urban",'Clean Data'!$B:$B,B29,'Clean Data'!$C:$C,C29)/SUMIFS('Clean Data'!$O:$O,'Clean Data'!$A:$A,"Rural+Urban",'Clean Data'!$B:$B,YEAR(EDATE(A29,-1)),'Clean Data'!$C:$C,TEXT(EDATE(A29,-1),"mmmm"))-1,"")</f>
        <v>6.3728093467869673E-3</v>
      </c>
      <c r="R29" s="32">
        <f>IFERROR(SUMIFS('Clean Data'!$P:$P,'Clean Data'!$A:$A,"Rural+Urban",'Clean Data'!$B:$B,B29,'Clean Data'!$C:$C,C29)/SUMIFS('Clean Data'!$P:$P,'Clean Data'!$A:$A,"Rural+Urban",'Clean Data'!$B:$B,YEAR(EDATE(A29,-1)),'Clean Data'!$C:$C,TEXT(EDATE(A29,-1),"mmmm"))-1,"")</f>
        <v>-7.2383073496657957E-3</v>
      </c>
      <c r="S29" s="32">
        <f>IFERROR(SUMIFS('Clean Data'!$Q:$Q,'Clean Data'!$A:$A,"Rural+Urban",'Clean Data'!$B:$B,B29,'Clean Data'!$C:$C,C29)/SUMIFS('Clean Data'!$Q:$Q,'Clean Data'!$A:$A,"Rural+Urban",'Clean Data'!$B:$B,YEAR(EDATE(A29,-1)),'Clean Data'!$C:$C,TEXT(EDATE(A29,-1),"mmmm"))-1,"")</f>
        <v>3.0565461029037344E-3</v>
      </c>
      <c r="T29" s="32">
        <f>IFERROR(SUMIFS('Clean Data'!$R:$R,'Clean Data'!$A:$A,"Rural+Urban",'Clean Data'!$B:$B,B29,'Clean Data'!$C:$C,C29)/SUMIFS('Clean Data'!$R:$R,'Clean Data'!$A:$A,"Rural+Urban",'Clean Data'!$B:$B,YEAR(EDATE(A29,-1)),'Clean Data'!$C:$C,TEXT(EDATE(A29,-1),"mmmm"))-1,"")</f>
        <v>6.5970313358987287E-3</v>
      </c>
      <c r="U29" s="32">
        <f>IFERROR(SUMIFS('Clean Data'!$S:$S,'Clean Data'!$A:$A,"Rural+Urban",'Clean Data'!$B:$B,B29,'Clean Data'!$C:$C,C29)/SUMIFS('Clean Data'!$S:$S,'Clean Data'!$A:$A,"Rural+Urban",'Clean Data'!$B:$B,YEAR(EDATE(A29,-1)),'Clean Data'!$C:$C,TEXT(EDATE(A29,-1),"mmmm"))-1,"")</f>
        <v>5.1340559041641587E-3</v>
      </c>
      <c r="V29" s="32">
        <f>IFERROR(SUMIFS('Clean Data'!$T:$T,'Clean Data'!$A:$A,"Rural+Urban",'Clean Data'!$B:$B,B29,'Clean Data'!$C:$C,C29)/SUMIFS('Clean Data'!$T:$T,'Clean Data'!$A:$A,"Rural+Urban",'Clean Data'!$B:$B,YEAR(EDATE(A29,-1)),'Clean Data'!$C:$C,TEXT(EDATE(A29,-1),"mmmm"))-1,"")</f>
        <v>6.0773480662983381E-3</v>
      </c>
      <c r="W29" s="32">
        <f>IFERROR(SUMIFS('Clean Data'!$U:$U,'Clean Data'!$A:$A,"Rural+Urban",'Clean Data'!$B:$B,B29,'Clean Data'!$C:$C,C29)/SUMIFS('Clean Data'!$U:$U,'Clean Data'!$A:$A,"Rural+Urban",'Clean Data'!$B:$B,YEAR(EDATE(A29,-1)),'Clean Data'!$C:$C,TEXT(EDATE(A29,-1),"mmmm"))-1,"")</f>
        <v>3.5046728971963592E-3</v>
      </c>
      <c r="X29" s="32">
        <f>IFERROR(SUMIFS('Clean Data'!$V:$V,'Clean Data'!$A:$A,"Rural+Urban",'Clean Data'!$B:$B,B29,'Clean Data'!$C:$C,C29)/SUMIFS('Clean Data'!$V:$V,'Clean Data'!$A:$A,"Rural+Urban",'Clean Data'!$B:$B,YEAR(EDATE(A29,-1)),'Clean Data'!$C:$C,TEXT(EDATE(A29,-1),"mmmm"))-1,"")</f>
        <v>4.4321329639889218E-3</v>
      </c>
      <c r="Y29" s="32">
        <f>IFERROR(SUMIFS('Clean Data'!$W:$W,'Clean Data'!$A:$A,"Rural+Urban",'Clean Data'!$B:$B,B29,'Clean Data'!$C:$C,C29)/SUMIFS('Clean Data'!$W:$W,'Clean Data'!$A:$A,"Rural+Urban",'Clean Data'!$B:$B,YEAR(EDATE(A29,-1)),'Clean Data'!$C:$C,TEXT(EDATE(A29,-1),"mmmm"))-1,"")</f>
        <v>5.8685446009389963E-3</v>
      </c>
      <c r="Z29" s="32">
        <f>IFERROR(SUMIFS('Clean Data'!$X:$X,'Clean Data'!$A:$A,"Rural+Urban",'Clean Data'!$B:$B,B29,'Clean Data'!$C:$C,C29)/SUMIFS('Clean Data'!$X:$X,'Clean Data'!$A:$A,"Rural+Urban",'Clean Data'!$B:$B,YEAR(EDATE(A29,-1)),'Clean Data'!$C:$C,TEXT(EDATE(A29,-1),"mmmm"))-1,"")</f>
        <v>6.1555679910465511E-3</v>
      </c>
      <c r="AA29" s="32">
        <f>IFERROR(SUMIFS('Clean Data'!$Y:$Y,'Clean Data'!$A:$A,"Rural+Urban",'Clean Data'!$B:$B,B29,'Clean Data'!$C:$C,C29)/SUMIFS('Clean Data'!$Y:$Y,'Clean Data'!$A:$A,"Rural+Urban",'Clean Data'!$B:$B,YEAR(EDATE(A29,-1)),'Clean Data'!$C:$C,TEXT(EDATE(A29,-1),"mmmm"))-1,"")</f>
        <v>6.1387354205022504E-4</v>
      </c>
      <c r="AB29" s="32">
        <f>IFERROR(SUMIFS('Clean Data'!$Z:$Z,'Clean Data'!$A:$A,"Rural+Urban",'Clean Data'!$B:$B,B29,'Clean Data'!$C:$C,C29)/SUMIFS('Clean Data'!$Z:$Z,'Clean Data'!$A:$A,"Rural+Urban",'Clean Data'!$B:$B,YEAR(EDATE(A29,-1)),'Clean Data'!$C:$C,TEXT(EDATE(A29,-1),"mmmm"))-1,"")</f>
        <v>1.7835909631391811E-3</v>
      </c>
      <c r="AC29" s="32">
        <f>IFERROR(SUMIFS('Clean Data'!$AA:$AA,'Clean Data'!$A:$A,"Rural+Urban",'Clean Data'!$B:$B,B29,'Clean Data'!$C:$C,C29)/SUMIFS('Clean Data'!$AA:$AA,'Clean Data'!$A:$A,"Rural+Urban",'Clean Data'!$B:$B,YEAR(EDATE(A29,-1)),'Clean Data'!$C:$C,TEXT(EDATE(A29,-1),"mmmm"))-1,"")</f>
        <v>1.7301038062282892E-3</v>
      </c>
      <c r="AD29" s="32">
        <f>IFERROR(SUMIFS('Clean Data'!$AB:$AB,'Clean Data'!$A:$A,"Rural+Urban",'Clean Data'!$B:$B,B29,'Clean Data'!$C:$C,C29)/SUMIFS('Clean Data'!$AB:$AB,'Clean Data'!$A:$A,"Rural+Urban",'Clean Data'!$B:$B,YEAR(EDATE(A29,-1)),'Clean Data'!$C:$C,TEXT(EDATE(A29,-1),"mmmm"))-1,"")</f>
        <v>8.7158628704242513E-3</v>
      </c>
      <c r="AE29" s="32">
        <f>IFERROR(SUMIFS('Clean Data'!$AC:$AC,'Clean Data'!$A:$A,"Rural+Urban",'Clean Data'!$B:$B,B29,'Clean Data'!$C:$C,C29)/SUMIFS('Clean Data'!$AC:$AC,'Clean Data'!$A:$A,"Rural+Urban",'Clean Data'!$B:$B,YEAR(EDATE(A29,-1)),'Clean Data'!$C:$C,TEXT(EDATE(A29,-1),"mmmm"))-1,"")</f>
        <v>3.5190615835776207E-3</v>
      </c>
      <c r="AF29" s="32">
        <f>IFERROR(SUMIFS('Clean Data'!$AD:$AD,'Clean Data'!$A:$A,"Rural+Urban",'Clean Data'!$B:$B,B29,'Clean Data'!$C:$C,C29)/SUMIFS('Clean Data'!$AD:$AD,'Clean Data'!$A:$A,"Rural+Urban",'Clean Data'!$B:$B,YEAR(EDATE(A29,-1)),'Clean Data'!$C:$C,TEXT(EDATE(A29,-1),"mmmm"))-1,"")</f>
        <v>-1.1318619128465324E-3</v>
      </c>
    </row>
    <row r="30" spans="1:32" ht="15" customHeight="1" x14ac:dyDescent="0.2">
      <c r="A30" s="44">
        <v>44896</v>
      </c>
      <c r="B30" s="30">
        <v>2022</v>
      </c>
      <c r="C30" s="30" t="s">
        <v>109</v>
      </c>
      <c r="D30" s="12">
        <v>78.099999999999994</v>
      </c>
      <c r="E30" s="25">
        <f t="shared" si="0"/>
        <v>-0.10793832095945177</v>
      </c>
      <c r="F30" s="32">
        <f>IFERROR(SUMIFS('Clean Data'!$D:$D,'Clean Data'!$A:$A,"Rural+Urban",'Clean Data'!$B:$B,B30,'Clean Data'!$C:$C,C30)/SUMIFS('Clean Data'!$D:$D,'Clean Data'!$A:$A,"Rural+Urban",'Clean Data'!$B:$B,YEAR(EDATE(A30,-1)),'Clean Data'!$C:$C,TEXT(EDATE(A30,-1),"mmmm"))-1,"")</f>
        <v>1.0752688172043001E-2</v>
      </c>
      <c r="G30" s="32">
        <f>IFERROR(SUMIFS('Clean Data'!$E:$E,'Clean Data'!$A:$A,"Rural+Urban",'Clean Data'!$B:$B,B30,'Clean Data'!$C:$C,C30)/SUMIFS('Clean Data'!$E:$E,'Clean Data'!$A:$A,"Rural+Urban",'Clean Data'!$B:$B,YEAR(EDATE(A30,-1)),'Clean Data'!$C:$C,TEXT(EDATE(A30,-1),"mmmm"))-1,"")</f>
        <v>-1.9102196752627254E-3</v>
      </c>
      <c r="H30" s="32">
        <f>IFERROR(SUMIFS('Clean Data'!$F:$F,'Clean Data'!$A:$A,"Rural+Urban",'Clean Data'!$B:$B,B30,'Clean Data'!$C:$C,C30)/SUMIFS('Clean Data'!$F:$F,'Clean Data'!$A:$A,"Rural+Urban",'Clean Data'!$B:$B,YEAR(EDATE(A30,-1)),'Clean Data'!$C:$C,TEXT(EDATE(A30,-1),"mmmm"))-1,"")</f>
        <v>4.8511576626240283E-2</v>
      </c>
      <c r="I30" s="32">
        <f>IFERROR(SUMIFS('Clean Data'!$G:$G,'Clean Data'!$A:$A,"Rural+Urban",'Clean Data'!$B:$B,B30,'Clean Data'!$C:$C,C30)/SUMIFS('Clean Data'!$G:$G,'Clean Data'!$A:$A,"Rural+Urban",'Clean Data'!$B:$B,YEAR(EDATE(A30,-1)),'Clean Data'!$C:$C,TEXT(EDATE(A30,-1),"mmmm"))-1,"")</f>
        <v>7.5449796865929564E-3</v>
      </c>
      <c r="J30" s="32">
        <f>IFERROR(SUMIFS('Clean Data'!$H:$H,'Clean Data'!$A:$A,"Rural+Urban",'Clean Data'!$B:$B,B30,'Clean Data'!$C:$C,C30)/SUMIFS('Clean Data'!$H:$H,'Clean Data'!$A:$A,"Rural+Urban",'Clean Data'!$B:$B,YEAR(EDATE(A30,-1)),'Clean Data'!$C:$C,TEXT(EDATE(A30,-1),"mmmm"))-1,"")</f>
        <v>-2.1175224986765828E-3</v>
      </c>
      <c r="K30" s="32">
        <f>IFERROR(SUMIFS('Clean Data'!$I:$I,'Clean Data'!$A:$A,"Rural+Urban",'Clean Data'!$B:$B,B30,'Clean Data'!$C:$C,C30)/SUMIFS('Clean Data'!$I:$I,'Clean Data'!$A:$A,"Rural+Urban",'Clean Data'!$B:$B,YEAR(EDATE(A30,-1)),'Clean Data'!$C:$C,TEXT(EDATE(A30,-1),"mmmm"))-1,"")</f>
        <v>-1.6801493466085837E-2</v>
      </c>
      <c r="L30" s="32">
        <f>IFERROR(SUMIFS('Clean Data'!$J:$J,'Clean Data'!$A:$A,"Rural+Urban",'Clean Data'!$B:$B,B30,'Clean Data'!$C:$C,C30)/SUMIFS('Clean Data'!$J:$J,'Clean Data'!$A:$A,"Rural+Urban",'Clean Data'!$B:$B,YEAR(EDATE(A30,-1)),'Clean Data'!$C:$C,TEXT(EDATE(A30,-1),"mmmm"))-1,"")</f>
        <v>-0.12670671764063346</v>
      </c>
      <c r="M30" s="32">
        <f>IFERROR(SUMIFS('Clean Data'!$K:$K,'Clean Data'!$A:$A,"Rural+Urban",'Clean Data'!$B:$B,B30,'Clean Data'!$C:$C,C30)/SUMIFS('Clean Data'!$K:$K,'Clean Data'!$A:$A,"Rural+Urban",'Clean Data'!$B:$B,YEAR(EDATE(A30,-1)),'Clean Data'!$C:$C,TEXT(EDATE(A30,-1),"mmmm"))-1,"")</f>
        <v>1.7595307917890324E-3</v>
      </c>
      <c r="N30" s="32">
        <f>IFERROR(SUMIFS('Clean Data'!$L:$L,'Clean Data'!$A:$A,"Rural+Urban",'Clean Data'!$B:$B,B30,'Clean Data'!$C:$C,C30)/SUMIFS('Clean Data'!$L:$L,'Clean Data'!$A:$A,"Rural+Urban",'Clean Data'!$B:$B,YEAR(EDATE(A30,-1)),'Clean Data'!$C:$C,TEXT(EDATE(A30,-1),"mmmm"))-1,"")</f>
        <v>-2.4570024570024218E-3</v>
      </c>
      <c r="O30" s="32">
        <f>IFERROR(SUMIFS('Clean Data'!$M:$M,'Clean Data'!$A:$A,"Rural+Urban",'Clean Data'!$B:$B,B30,'Clean Data'!$C:$C,C30)/SUMIFS('Clean Data'!$M:$M,'Clean Data'!$A:$A,"Rural+Urban",'Clean Data'!$B:$B,YEAR(EDATE(A30,-1)),'Clean Data'!$C:$C,TEXT(EDATE(A30,-1),"mmmm"))-1,"")</f>
        <v>1.1834319526627057E-2</v>
      </c>
      <c r="P30" s="32">
        <f>IFERROR(SUMIFS('Clean Data'!$N:$N,'Clean Data'!$A:$A,"Rural+Urban",'Clean Data'!$B:$B,B30,'Clean Data'!$C:$C,C30)/SUMIFS('Clean Data'!$N:$N,'Clean Data'!$A:$A,"Rural+Urban",'Clean Data'!$B:$B,YEAR(EDATE(A30,-1)),'Clean Data'!$C:$C,TEXT(EDATE(A30,-1),"mmmm"))-1,"")</f>
        <v>3.5211267605632646E-3</v>
      </c>
      <c r="Q30" s="32">
        <f>IFERROR(SUMIFS('Clean Data'!$O:$O,'Clean Data'!$A:$A,"Rural+Urban",'Clean Data'!$B:$B,B30,'Clean Data'!$C:$C,C30)/SUMIFS('Clean Data'!$O:$O,'Clean Data'!$A:$A,"Rural+Urban",'Clean Data'!$B:$B,YEAR(EDATE(A30,-1)),'Clean Data'!$C:$C,TEXT(EDATE(A30,-1),"mmmm"))-1,"")</f>
        <v>4.2216358839051171E-3</v>
      </c>
      <c r="R30" s="32">
        <f>IFERROR(SUMIFS('Clean Data'!$P:$P,'Clean Data'!$A:$A,"Rural+Urban",'Clean Data'!$B:$B,B30,'Clean Data'!$C:$C,C30)/SUMIFS('Clean Data'!$P:$P,'Clean Data'!$A:$A,"Rural+Urban",'Clean Data'!$B:$B,YEAR(EDATE(A30,-1)),'Clean Data'!$C:$C,TEXT(EDATE(A30,-1),"mmmm"))-1,"")</f>
        <v>-1.346045989904654E-2</v>
      </c>
      <c r="S30" s="32">
        <f>IFERROR(SUMIFS('Clean Data'!$Q:$Q,'Clean Data'!$A:$A,"Rural+Urban",'Clean Data'!$B:$B,B30,'Clean Data'!$C:$C,C30)/SUMIFS('Clean Data'!$Q:$Q,'Clean Data'!$A:$A,"Rural+Urban",'Clean Data'!$B:$B,YEAR(EDATE(A30,-1)),'Clean Data'!$C:$C,TEXT(EDATE(A30,-1),"mmmm"))-1,"")</f>
        <v>2.0314880650076361E-3</v>
      </c>
      <c r="T30" s="32">
        <f>IFERROR(SUMIFS('Clean Data'!$R:$R,'Clean Data'!$A:$A,"Rural+Urban",'Clean Data'!$B:$B,B30,'Clean Data'!$C:$C,C30)/SUMIFS('Clean Data'!$R:$R,'Clean Data'!$A:$A,"Rural+Urban",'Clean Data'!$B:$B,YEAR(EDATE(A30,-1)),'Clean Data'!$C:$C,TEXT(EDATE(A30,-1),"mmmm"))-1,"")</f>
        <v>4.9153468050247007E-3</v>
      </c>
      <c r="U30" s="32">
        <f>IFERROR(SUMIFS('Clean Data'!$S:$S,'Clean Data'!$A:$A,"Rural+Urban",'Clean Data'!$B:$B,B30,'Clean Data'!$C:$C,C30)/SUMIFS('Clean Data'!$S:$S,'Clean Data'!$A:$A,"Rural+Urban",'Clean Data'!$B:$B,YEAR(EDATE(A30,-1)),'Clean Data'!$C:$C,TEXT(EDATE(A30,-1),"mmmm"))-1,"")</f>
        <v>4.5402951191828578E-3</v>
      </c>
      <c r="V30" s="32">
        <f>IFERROR(SUMIFS('Clean Data'!$T:$T,'Clean Data'!$A:$A,"Rural+Urban",'Clean Data'!$B:$B,B30,'Clean Data'!$C:$C,C30)/SUMIFS('Clean Data'!$T:$T,'Clean Data'!$A:$A,"Rural+Urban",'Clean Data'!$B:$B,YEAR(EDATE(A30,-1)),'Clean Data'!$C:$C,TEXT(EDATE(A30,-1),"mmmm"))-1,"")</f>
        <v>4.9423393739704835E-3</v>
      </c>
      <c r="W30" s="32">
        <f>IFERROR(SUMIFS('Clean Data'!$U:$U,'Clean Data'!$A:$A,"Rural+Urban",'Clean Data'!$B:$B,B30,'Clean Data'!$C:$C,C30)/SUMIFS('Clean Data'!$U:$U,'Clean Data'!$A:$A,"Rural+Urban",'Clean Data'!$B:$B,YEAR(EDATE(A30,-1)),'Clean Data'!$C:$C,TEXT(EDATE(A30,-1),"mmmm"))-1,"")</f>
        <v>-6.4027939464494921E-3</v>
      </c>
      <c r="X30" s="32">
        <f>IFERROR(SUMIFS('Clean Data'!$V:$V,'Clean Data'!$A:$A,"Rural+Urban",'Clean Data'!$B:$B,B30,'Clean Data'!$C:$C,C30)/SUMIFS('Clean Data'!$V:$V,'Clean Data'!$A:$A,"Rural+Urban",'Clean Data'!$B:$B,YEAR(EDATE(A30,-1)),'Clean Data'!$C:$C,TEXT(EDATE(A30,-1),"mmmm"))-1,"")</f>
        <v>3.8610038610038533E-3</v>
      </c>
      <c r="Y30" s="32">
        <f>IFERROR(SUMIFS('Clean Data'!$W:$W,'Clean Data'!$A:$A,"Rural+Urban",'Clean Data'!$B:$B,B30,'Clean Data'!$C:$C,C30)/SUMIFS('Clean Data'!$W:$W,'Clean Data'!$A:$A,"Rural+Urban",'Clean Data'!$B:$B,YEAR(EDATE(A30,-1)),'Clean Data'!$C:$C,TEXT(EDATE(A30,-1),"mmmm"))-1,"")</f>
        <v>4.0840140023337135E-3</v>
      </c>
      <c r="Z30" s="32">
        <f>IFERROR(SUMIFS('Clean Data'!$X:$X,'Clean Data'!$A:$A,"Rural+Urban",'Clean Data'!$B:$B,B30,'Clean Data'!$C:$C,C30)/SUMIFS('Clean Data'!$X:$X,'Clean Data'!$A:$A,"Rural+Urban",'Clean Data'!$B:$B,YEAR(EDATE(A30,-1)),'Clean Data'!$C:$C,TEXT(EDATE(A30,-1),"mmmm"))-1,"")</f>
        <v>7.2302558398218419E-3</v>
      </c>
      <c r="AA30" s="32">
        <f>IFERROR(SUMIFS('Clean Data'!$Y:$Y,'Clean Data'!$A:$A,"Rural+Urban",'Clean Data'!$B:$B,B30,'Clean Data'!$C:$C,C30)/SUMIFS('Clean Data'!$Y:$Y,'Clean Data'!$A:$A,"Rural+Urban",'Clean Data'!$B:$B,YEAR(EDATE(A30,-1)),'Clean Data'!$C:$C,TEXT(EDATE(A30,-1),"mmmm"))-1,"")</f>
        <v>2.4539877300613355E-3</v>
      </c>
      <c r="AB30" s="32">
        <f>IFERROR(SUMIFS('Clean Data'!$Z:$Z,'Clean Data'!$A:$A,"Rural+Urban",'Clean Data'!$B:$B,B30,'Clean Data'!$C:$C,C30)/SUMIFS('Clean Data'!$Z:$Z,'Clean Data'!$A:$A,"Rural+Urban",'Clean Data'!$B:$B,YEAR(EDATE(A30,-1)),'Clean Data'!$C:$C,TEXT(EDATE(A30,-1),"mmmm"))-1,"")</f>
        <v>2.3738872403560318E-3</v>
      </c>
      <c r="AC30" s="32">
        <f>IFERROR(SUMIFS('Clean Data'!$AA:$AA,'Clean Data'!$A:$A,"Rural+Urban",'Clean Data'!$B:$B,B30,'Clean Data'!$C:$C,C30)/SUMIFS('Clean Data'!$AA:$AA,'Clean Data'!$A:$A,"Rural+Urban",'Clean Data'!$B:$B,YEAR(EDATE(A30,-1)),'Clean Data'!$C:$C,TEXT(EDATE(A30,-1),"mmmm"))-1,"")</f>
        <v>2.3028209556708035E-3</v>
      </c>
      <c r="AD30" s="32">
        <f>IFERROR(SUMIFS('Clean Data'!$AB:$AB,'Clean Data'!$A:$A,"Rural+Urban",'Clean Data'!$B:$B,B30,'Clean Data'!$C:$C,C30)/SUMIFS('Clean Data'!$AB:$AB,'Clean Data'!$A:$A,"Rural+Urban",'Clean Data'!$B:$B,YEAR(EDATE(A30,-1)),'Clean Data'!$C:$C,TEXT(EDATE(A30,-1),"mmmm"))-1,"")</f>
        <v>1.2672811059907918E-2</v>
      </c>
      <c r="AE30" s="32">
        <f>IFERROR(SUMIFS('Clean Data'!$AC:$AC,'Clean Data'!$A:$A,"Rural+Urban",'Clean Data'!$B:$B,B30,'Clean Data'!$C:$C,C30)/SUMIFS('Clean Data'!$AC:$AC,'Clean Data'!$A:$A,"Rural+Urban",'Clean Data'!$B:$B,YEAR(EDATE(A30,-1)),'Clean Data'!$C:$C,TEXT(EDATE(A30,-1),"mmmm"))-1,"")</f>
        <v>5.260081823495133E-3</v>
      </c>
      <c r="AF30" s="32">
        <f>IFERROR(SUMIFS('Clean Data'!$AD:$AD,'Clean Data'!$A:$A,"Rural+Urban",'Clean Data'!$B:$B,B30,'Clean Data'!$C:$C,C30)/SUMIFS('Clean Data'!$AD:$AD,'Clean Data'!$A:$A,"Rural+Urban",'Clean Data'!$B:$B,YEAR(EDATE(A30,-1)),'Clean Data'!$C:$C,TEXT(EDATE(A30,-1),"mmmm"))-1,"")</f>
        <v>-4.5325779036827774E-3</v>
      </c>
    </row>
    <row r="31" spans="1:32" ht="15" customHeight="1" x14ac:dyDescent="0.2">
      <c r="A31" s="44">
        <v>44927</v>
      </c>
      <c r="B31" s="30">
        <v>2023</v>
      </c>
      <c r="C31" s="30" t="s">
        <v>85</v>
      </c>
      <c r="D31" s="12">
        <v>80.92</v>
      </c>
      <c r="E31" s="25">
        <f t="shared" si="0"/>
        <v>3.6107554417413645E-2</v>
      </c>
      <c r="F31" s="32">
        <f>IFERROR(SUMIFS('Clean Data'!$D:$D,'Clean Data'!$A:$A,"Rural+Urban",'Clean Data'!$B:$B,B31,'Clean Data'!$C:$C,C31)/SUMIFS('Clean Data'!$D:$D,'Clean Data'!$A:$A,"Rural+Urban",'Clean Data'!$B:$B,YEAR(EDATE(A31,-1)),'Clean Data'!$C:$C,TEXT(EDATE(A31,-1),"mmmm"))-1,"")</f>
        <v>2.7186761229314627E-2</v>
      </c>
      <c r="G31" s="32">
        <f>IFERROR(SUMIFS('Clean Data'!$E:$E,'Clean Data'!$A:$A,"Rural+Urban",'Clean Data'!$B:$B,B31,'Clean Data'!$C:$C,C31)/SUMIFS('Clean Data'!$E:$E,'Clean Data'!$A:$A,"Rural+Urban",'Clean Data'!$B:$B,YEAR(EDATE(A31,-1)),'Clean Data'!$C:$C,TEXT(EDATE(A31,-1),"mmmm"))-1,"")</f>
        <v>8.1339712918659934E-3</v>
      </c>
      <c r="H31" s="32">
        <f>IFERROR(SUMIFS('Clean Data'!$F:$F,'Clean Data'!$A:$A,"Rural+Urban",'Clean Data'!$B:$B,B31,'Clean Data'!$C:$C,C31)/SUMIFS('Clean Data'!$F:$F,'Clean Data'!$A:$A,"Rural+Urban",'Clean Data'!$B:$B,YEAR(EDATE(A31,-1)),'Clean Data'!$C:$C,TEXT(EDATE(A31,-1),"mmmm"))-1,"")</f>
        <v>2.2607781282860229E-2</v>
      </c>
      <c r="I31" s="32">
        <f>IFERROR(SUMIFS('Clean Data'!$G:$G,'Clean Data'!$A:$A,"Rural+Urban",'Clean Data'!$B:$B,B31,'Clean Data'!$C:$C,C31)/SUMIFS('Clean Data'!$G:$G,'Clean Data'!$A:$A,"Rural+Urban",'Clean Data'!$B:$B,YEAR(EDATE(A31,-1)),'Clean Data'!$C:$C,TEXT(EDATE(A31,-1),"mmmm"))-1,"")</f>
        <v>5.7603686635945284E-3</v>
      </c>
      <c r="J31" s="32">
        <f>IFERROR(SUMIFS('Clean Data'!$H:$H,'Clean Data'!$A:$A,"Rural+Urban",'Clean Data'!$B:$B,B31,'Clean Data'!$C:$C,C31)/SUMIFS('Clean Data'!$H:$H,'Clean Data'!$A:$A,"Rural+Urban",'Clean Data'!$B:$B,YEAR(EDATE(A31,-1)),'Clean Data'!$C:$C,TEXT(EDATE(A31,-1),"mmmm"))-1,"")</f>
        <v>-6.8965517241379448E-3</v>
      </c>
      <c r="K31" s="32">
        <f>IFERROR(SUMIFS('Clean Data'!$I:$I,'Clean Data'!$A:$A,"Rural+Urban",'Clean Data'!$B:$B,B31,'Clean Data'!$C:$C,C31)/SUMIFS('Clean Data'!$I:$I,'Clean Data'!$A:$A,"Rural+Urban",'Clean Data'!$B:$B,YEAR(EDATE(A31,-1)),'Clean Data'!$C:$C,TEXT(EDATE(A31,-1),"mmmm"))-1,"")</f>
        <v>1.8987341772152E-3</v>
      </c>
      <c r="L31" s="32">
        <f>IFERROR(SUMIFS('Clean Data'!$J:$J,'Clean Data'!$A:$A,"Rural+Urban",'Clean Data'!$B:$B,B31,'Clean Data'!$C:$C,C31)/SUMIFS('Clean Data'!$J:$J,'Clean Data'!$A:$A,"Rural+Urban",'Clean Data'!$B:$B,YEAR(EDATE(A31,-1)),'Clean Data'!$C:$C,TEXT(EDATE(A31,-1),"mmmm"))-1,"")</f>
        <v>-3.7523452157598447E-2</v>
      </c>
      <c r="M31" s="32">
        <f>IFERROR(SUMIFS('Clean Data'!$K:$K,'Clean Data'!$A:$A,"Rural+Urban",'Clean Data'!$B:$B,B31,'Clean Data'!$C:$C,C31)/SUMIFS('Clean Data'!$K:$K,'Clean Data'!$A:$A,"Rural+Urban",'Clean Data'!$B:$B,YEAR(EDATE(A31,-1)),'Clean Data'!$C:$C,TEXT(EDATE(A31,-1),"mmmm"))-1,"")</f>
        <v>5.8548009367687115E-4</v>
      </c>
      <c r="N31" s="32">
        <f>IFERROR(SUMIFS('Clean Data'!$L:$L,'Clean Data'!$A:$A,"Rural+Urban",'Clean Data'!$B:$B,B31,'Clean Data'!$C:$C,C31)/SUMIFS('Clean Data'!$L:$L,'Clean Data'!$A:$A,"Rural+Urban",'Clean Data'!$B:$B,YEAR(EDATE(A31,-1)),'Clean Data'!$C:$C,TEXT(EDATE(A31,-1),"mmmm"))-1,"")</f>
        <v>-5.7471264367816577E-3</v>
      </c>
      <c r="O31" s="32">
        <f>IFERROR(SUMIFS('Clean Data'!$M:$M,'Clean Data'!$A:$A,"Rural+Urban",'Clean Data'!$B:$B,B31,'Clean Data'!$C:$C,C31)/SUMIFS('Clean Data'!$M:$M,'Clean Data'!$A:$A,"Rural+Urban",'Clean Data'!$B:$B,YEAR(EDATE(A31,-1)),'Clean Data'!$C:$C,TEXT(EDATE(A31,-1),"mmmm"))-1,"")</f>
        <v>1.5594541910331383E-2</v>
      </c>
      <c r="P31" s="32">
        <f>IFERROR(SUMIFS('Clean Data'!$N:$N,'Clean Data'!$A:$A,"Rural+Urban",'Clean Data'!$B:$B,B31,'Clean Data'!$C:$C,C31)/SUMIFS('Clean Data'!$N:$N,'Clean Data'!$A:$A,"Rural+Urban",'Clean Data'!$B:$B,YEAR(EDATE(A31,-1)),'Clean Data'!$C:$C,TEXT(EDATE(A31,-1),"mmmm"))-1,"")</f>
        <v>2.3391812865496409E-3</v>
      </c>
      <c r="Q31" s="32">
        <f>IFERROR(SUMIFS('Clean Data'!$O:$O,'Clean Data'!$A:$A,"Rural+Urban",'Clean Data'!$B:$B,B31,'Clean Data'!$C:$C,C31)/SUMIFS('Clean Data'!$O:$O,'Clean Data'!$A:$A,"Rural+Urban",'Clean Data'!$B:$B,YEAR(EDATE(A31,-1)),'Clean Data'!$C:$C,TEXT(EDATE(A31,-1),"mmmm"))-1,"")</f>
        <v>4.7293746715710849E-3</v>
      </c>
      <c r="R31" s="32">
        <f>IFERROR(SUMIFS('Clean Data'!$P:$P,'Clean Data'!$A:$A,"Rural+Urban",'Clean Data'!$B:$B,B31,'Clean Data'!$C:$C,C31)/SUMIFS('Clean Data'!$P:$P,'Clean Data'!$A:$A,"Rural+Urban",'Clean Data'!$B:$B,YEAR(EDATE(A31,-1)),'Clean Data'!$C:$C,TEXT(EDATE(A31,-1),"mmmm"))-1,"")</f>
        <v>4.5480386583285348E-3</v>
      </c>
      <c r="S31" s="32">
        <f>IFERROR(SUMIFS('Clean Data'!$Q:$Q,'Clean Data'!$A:$A,"Rural+Urban",'Clean Data'!$B:$B,B31,'Clean Data'!$C:$C,C31)/SUMIFS('Clean Data'!$Q:$Q,'Clean Data'!$A:$A,"Rural+Urban",'Clean Data'!$B:$B,YEAR(EDATE(A31,-1)),'Clean Data'!$C:$C,TEXT(EDATE(A31,-1),"mmmm"))-1,"")</f>
        <v>4.5615813482005052E-3</v>
      </c>
      <c r="T31" s="32">
        <f>IFERROR(SUMIFS('Clean Data'!$R:$R,'Clean Data'!$A:$A,"Rural+Urban",'Clean Data'!$B:$B,B31,'Clean Data'!$C:$C,C31)/SUMIFS('Clean Data'!$R:$R,'Clean Data'!$A:$A,"Rural+Urban",'Clean Data'!$B:$B,YEAR(EDATE(A31,-1)),'Clean Data'!$C:$C,TEXT(EDATE(A31,-1),"mmmm"))-1,"")</f>
        <v>4.891304347826031E-3</v>
      </c>
      <c r="U31" s="32">
        <f>IFERROR(SUMIFS('Clean Data'!$S:$S,'Clean Data'!$A:$A,"Rural+Urban",'Clean Data'!$B:$B,B31,'Clean Data'!$C:$C,C31)/SUMIFS('Clean Data'!$S:$S,'Clean Data'!$A:$A,"Rural+Urban",'Clean Data'!$B:$B,YEAR(EDATE(A31,-1)),'Clean Data'!$C:$C,TEXT(EDATE(A31,-1),"mmmm"))-1,"")</f>
        <v>3.3898305084745228E-3</v>
      </c>
      <c r="V31" s="32">
        <f>IFERROR(SUMIFS('Clean Data'!$T:$T,'Clean Data'!$A:$A,"Rural+Urban",'Clean Data'!$B:$B,B31,'Clean Data'!$C:$C,C31)/SUMIFS('Clean Data'!$T:$T,'Clean Data'!$A:$A,"Rural+Urban",'Clean Data'!$B:$B,YEAR(EDATE(A31,-1)),'Clean Data'!$C:$C,TEXT(EDATE(A31,-1),"mmmm"))-1,"")</f>
        <v>4.3715846994536456E-3</v>
      </c>
      <c r="W31" s="32">
        <f>IFERROR(SUMIFS('Clean Data'!$U:$U,'Clean Data'!$A:$A,"Rural+Urban",'Clean Data'!$B:$B,B31,'Clean Data'!$C:$C,C31)/SUMIFS('Clean Data'!$U:$U,'Clean Data'!$A:$A,"Rural+Urban",'Clean Data'!$B:$B,YEAR(EDATE(A31,-1)),'Clean Data'!$C:$C,TEXT(EDATE(A31,-1),"mmmm"))-1,"")</f>
        <v>8.2015231400116573E-3</v>
      </c>
      <c r="X31" s="32">
        <f>IFERROR(SUMIFS('Clean Data'!$V:$V,'Clean Data'!$A:$A,"Rural+Urban",'Clean Data'!$B:$B,B31,'Clean Data'!$C:$C,C31)/SUMIFS('Clean Data'!$V:$V,'Clean Data'!$A:$A,"Rural+Urban",'Clean Data'!$B:$B,YEAR(EDATE(A31,-1)),'Clean Data'!$C:$C,TEXT(EDATE(A31,-1),"mmmm"))-1,"")</f>
        <v>0</v>
      </c>
      <c r="Y31" s="32">
        <f>IFERROR(SUMIFS('Clean Data'!$W:$W,'Clean Data'!$A:$A,"Rural+Urban",'Clean Data'!$B:$B,B31,'Clean Data'!$C:$C,C31)/SUMIFS('Clean Data'!$W:$W,'Clean Data'!$A:$A,"Rural+Urban",'Clean Data'!$B:$B,YEAR(EDATE(A31,-1)),'Clean Data'!$C:$C,TEXT(EDATE(A31,-1),"mmmm"))-1,"")</f>
        <v>4.6484601975596007E-3</v>
      </c>
      <c r="Z31" s="32">
        <f>IFERROR(SUMIFS('Clean Data'!$X:$X,'Clean Data'!$A:$A,"Rural+Urban",'Clean Data'!$B:$B,B31,'Clean Data'!$C:$C,C31)/SUMIFS('Clean Data'!$X:$X,'Clean Data'!$A:$A,"Rural+Urban",'Clean Data'!$B:$B,YEAR(EDATE(A31,-1)),'Clean Data'!$C:$C,TEXT(EDATE(A31,-1),"mmmm"))-1,"")</f>
        <v>6.6261733848702598E-3</v>
      </c>
      <c r="AA31" s="32">
        <f>IFERROR(SUMIFS('Clean Data'!$Y:$Y,'Clean Data'!$A:$A,"Rural+Urban",'Clean Data'!$B:$B,B31,'Clean Data'!$C:$C,C31)/SUMIFS('Clean Data'!$Y:$Y,'Clean Data'!$A:$A,"Rural+Urban",'Clean Data'!$B:$B,YEAR(EDATE(A31,-1)),'Clean Data'!$C:$C,TEXT(EDATE(A31,-1),"mmmm"))-1,"")</f>
        <v>1.2239902080781739E-3</v>
      </c>
      <c r="AB31" s="32">
        <f>IFERROR(SUMIFS('Clean Data'!$Z:$Z,'Clean Data'!$A:$A,"Rural+Urban",'Clean Data'!$B:$B,B31,'Clean Data'!$C:$C,C31)/SUMIFS('Clean Data'!$Z:$Z,'Clean Data'!$A:$A,"Rural+Urban",'Clean Data'!$B:$B,YEAR(EDATE(A31,-1)),'Clean Data'!$C:$C,TEXT(EDATE(A31,-1),"mmmm"))-1,"")</f>
        <v>3.5523978685612079E-3</v>
      </c>
      <c r="AC31" s="32">
        <f>IFERROR(SUMIFS('Clean Data'!$AA:$AA,'Clean Data'!$A:$A,"Rural+Urban",'Clean Data'!$B:$B,B31,'Clean Data'!$C:$C,C31)/SUMIFS('Clean Data'!$AA:$AA,'Clean Data'!$A:$A,"Rural+Urban",'Clean Data'!$B:$B,YEAR(EDATE(A31,-1)),'Clean Data'!$C:$C,TEXT(EDATE(A31,-1),"mmmm"))-1,"")</f>
        <v>1.1487650775416913E-3</v>
      </c>
      <c r="AD31" s="32">
        <f>IFERROR(SUMIFS('Clean Data'!$AB:$AB,'Clean Data'!$A:$A,"Rural+Urban",'Clean Data'!$B:$B,B31,'Clean Data'!$C:$C,C31)/SUMIFS('Clean Data'!$AB:$AB,'Clean Data'!$A:$A,"Rural+Urban",'Clean Data'!$B:$B,YEAR(EDATE(A31,-1)),'Clean Data'!$C:$C,TEXT(EDATE(A31,-1),"mmmm"))-1,"")</f>
        <v>1.5927189988623303E-2</v>
      </c>
      <c r="AE31" s="32">
        <f>IFERROR(SUMIFS('Clean Data'!$AC:$AC,'Clean Data'!$A:$A,"Rural+Urban",'Clean Data'!$B:$B,B31,'Clean Data'!$C:$C,C31)/SUMIFS('Clean Data'!$AC:$AC,'Clean Data'!$A:$A,"Rural+Urban",'Clean Data'!$B:$B,YEAR(EDATE(A31,-1)),'Clean Data'!$C:$C,TEXT(EDATE(A31,-1),"mmmm"))-1,"")</f>
        <v>4.6511627906977715E-3</v>
      </c>
      <c r="AF31" s="32">
        <f>IFERROR(SUMIFS('Clean Data'!$AD:$AD,'Clean Data'!$A:$A,"Rural+Urban",'Clean Data'!$B:$B,B31,'Clean Data'!$C:$C,C31)/SUMIFS('Clean Data'!$AD:$AD,'Clean Data'!$A:$A,"Rural+Urban",'Clean Data'!$B:$B,YEAR(EDATE(A31,-1)),'Clean Data'!$C:$C,TEXT(EDATE(A31,-1),"mmmm"))-1,"")</f>
        <v>4.5532157085943492E-3</v>
      </c>
    </row>
    <row r="32" spans="1:32" ht="15" customHeight="1" x14ac:dyDescent="0.2">
      <c r="A32" s="44">
        <v>44958</v>
      </c>
      <c r="B32" s="30">
        <v>2023</v>
      </c>
      <c r="C32" s="30" t="s">
        <v>90</v>
      </c>
      <c r="D32" s="12">
        <v>82.28</v>
      </c>
      <c r="E32" s="25">
        <f t="shared" si="0"/>
        <v>1.6806722689075571E-2</v>
      </c>
      <c r="F32" s="32">
        <f>IFERROR(SUMIFS('Clean Data'!$D:$D,'Clean Data'!$A:$A,"Rural+Urban",'Clean Data'!$B:$B,B32,'Clean Data'!$C:$C,C32)/SUMIFS('Clean Data'!$D:$D,'Clean Data'!$A:$A,"Rural+Urban",'Clean Data'!$B:$B,YEAR(EDATE(A32,-1)),'Clean Data'!$C:$C,TEXT(EDATE(A32,-1),"mmmm"))-1,"")</f>
        <v>3.4522439585731313E-3</v>
      </c>
      <c r="G32" s="32">
        <f>IFERROR(SUMIFS('Clean Data'!$E:$E,'Clean Data'!$A:$A,"Rural+Urban",'Clean Data'!$B:$B,B32,'Clean Data'!$C:$C,C32)/SUMIFS('Clean Data'!$E:$E,'Clean Data'!$A:$A,"Rural+Urban",'Clean Data'!$B:$B,YEAR(EDATE(A32,-1)),'Clean Data'!$C:$C,TEXT(EDATE(A32,-1),"mmmm"))-1,"")</f>
        <v>-1.423825344091123E-2</v>
      </c>
      <c r="H32" s="32">
        <f>IFERROR(SUMIFS('Clean Data'!$F:$F,'Clean Data'!$A:$A,"Rural+Urban",'Clean Data'!$B:$B,B32,'Clean Data'!$C:$C,C32)/SUMIFS('Clean Data'!$F:$F,'Clean Data'!$A:$A,"Rural+Urban",'Clean Data'!$B:$B,YEAR(EDATE(A32,-1)),'Clean Data'!$C:$C,TEXT(EDATE(A32,-1),"mmmm"))-1,"")</f>
        <v>-9.9228791773778968E-2</v>
      </c>
      <c r="I32" s="32">
        <f>IFERROR(SUMIFS('Clean Data'!$G:$G,'Clean Data'!$A:$A,"Rural+Urban",'Clean Data'!$B:$B,B32,'Clean Data'!$C:$C,C32)/SUMIFS('Clean Data'!$G:$G,'Clean Data'!$A:$A,"Rural+Urban",'Clean Data'!$B:$B,YEAR(EDATE(A32,-1)),'Clean Data'!$C:$C,TEXT(EDATE(A32,-1),"mmmm"))-1,"")</f>
        <v>1.5463917525773363E-2</v>
      </c>
      <c r="J32" s="32">
        <f>IFERROR(SUMIFS('Clean Data'!$H:$H,'Clean Data'!$A:$A,"Rural+Urban",'Clean Data'!$B:$B,B32,'Clean Data'!$C:$C,C32)/SUMIFS('Clean Data'!$H:$H,'Clean Data'!$A:$A,"Rural+Urban",'Clean Data'!$B:$B,YEAR(EDATE(A32,-1)),'Clean Data'!$C:$C,TEXT(EDATE(A32,-1),"mmmm"))-1,"")</f>
        <v>-4.2200854700854551E-2</v>
      </c>
      <c r="K32" s="32">
        <f>IFERROR(SUMIFS('Clean Data'!$I:$I,'Clean Data'!$A:$A,"Rural+Urban",'Clean Data'!$B:$B,B32,'Clean Data'!$C:$C,C32)/SUMIFS('Clean Data'!$I:$I,'Clean Data'!$A:$A,"Rural+Urban",'Clean Data'!$B:$B,YEAR(EDATE(A32,-1)),'Clean Data'!$C:$C,TEXT(EDATE(A32,-1),"mmmm"))-1,"")</f>
        <v>7.0751737207833232E-2</v>
      </c>
      <c r="L32" s="32">
        <f>IFERROR(SUMIFS('Clean Data'!$J:$J,'Clean Data'!$A:$A,"Rural+Urban",'Clean Data'!$B:$B,B32,'Clean Data'!$C:$C,C32)/SUMIFS('Clean Data'!$J:$J,'Clean Data'!$A:$A,"Rural+Urban",'Clean Data'!$B:$B,YEAR(EDATE(A32,-1)),'Clean Data'!$C:$C,TEXT(EDATE(A32,-1),"mmmm"))-1,"")</f>
        <v>-7.7972709551658026E-3</v>
      </c>
      <c r="M32" s="32">
        <f>IFERROR(SUMIFS('Clean Data'!$K:$K,'Clean Data'!$A:$A,"Rural+Urban",'Clean Data'!$B:$B,B32,'Clean Data'!$C:$C,C32)/SUMIFS('Clean Data'!$K:$K,'Clean Data'!$A:$A,"Rural+Urban",'Clean Data'!$B:$B,YEAR(EDATE(A32,-1)),'Clean Data'!$C:$C,TEXT(EDATE(A32,-1),"mmmm"))-1,"")</f>
        <v>5.8513750731425951E-4</v>
      </c>
      <c r="N32" s="32">
        <f>IFERROR(SUMIFS('Clean Data'!$L:$L,'Clean Data'!$A:$A,"Rural+Urban",'Clean Data'!$B:$B,B32,'Clean Data'!$C:$C,C32)/SUMIFS('Clean Data'!$L:$L,'Clean Data'!$A:$A,"Rural+Urban",'Clean Data'!$B:$B,YEAR(EDATE(A32,-1)),'Clean Data'!$C:$C,TEXT(EDATE(A32,-1),"mmmm"))-1,"")</f>
        <v>-9.0834021469858861E-3</v>
      </c>
      <c r="O32" s="32">
        <f>IFERROR(SUMIFS('Clean Data'!$M:$M,'Clean Data'!$A:$A,"Rural+Urban",'Clean Data'!$B:$B,B32,'Clean Data'!$C:$C,C32)/SUMIFS('Clean Data'!$M:$M,'Clean Data'!$A:$A,"Rural+Urban",'Clean Data'!$B:$B,YEAR(EDATE(A32,-1)),'Clean Data'!$C:$C,TEXT(EDATE(A32,-1),"mmmm"))-1,"")</f>
        <v>6.2380038387714887E-3</v>
      </c>
      <c r="P32" s="32">
        <f>IFERROR(SUMIFS('Clean Data'!$N:$N,'Clean Data'!$A:$A,"Rural+Urban",'Clean Data'!$B:$B,B32,'Clean Data'!$C:$C,C32)/SUMIFS('Clean Data'!$N:$N,'Clean Data'!$A:$A,"Rural+Urban",'Clean Data'!$B:$B,YEAR(EDATE(A32,-1)),'Clean Data'!$C:$C,TEXT(EDATE(A32,-1),"mmmm"))-1,"")</f>
        <v>5.2508751458577585E-3</v>
      </c>
      <c r="Q32" s="32">
        <f>IFERROR(SUMIFS('Clean Data'!$O:$O,'Clean Data'!$A:$A,"Rural+Urban",'Clean Data'!$B:$B,B32,'Clean Data'!$C:$C,C32)/SUMIFS('Clean Data'!$O:$O,'Clean Data'!$A:$A,"Rural+Urban",'Clean Data'!$B:$B,YEAR(EDATE(A32,-1)),'Clean Data'!$C:$C,TEXT(EDATE(A32,-1),"mmmm"))-1,"")</f>
        <v>9.4142259414227158E-3</v>
      </c>
      <c r="R32" s="32">
        <f>IFERROR(SUMIFS('Clean Data'!$P:$P,'Clean Data'!$A:$A,"Rural+Urban",'Clean Data'!$B:$B,B32,'Clean Data'!$C:$C,C32)/SUMIFS('Clean Data'!$P:$P,'Clean Data'!$A:$A,"Rural+Urban",'Clean Data'!$B:$B,YEAR(EDATE(A32,-1)),'Clean Data'!$C:$C,TEXT(EDATE(A32,-1),"mmmm"))-1,"")</f>
        <v>1.6977928692700761E-3</v>
      </c>
      <c r="S32" s="32">
        <f>IFERROR(SUMIFS('Clean Data'!$Q:$Q,'Clean Data'!$A:$A,"Rural+Urban",'Clean Data'!$B:$B,B32,'Clean Data'!$C:$C,C32)/SUMIFS('Clean Data'!$Q:$Q,'Clean Data'!$A:$A,"Rural+Urban",'Clean Data'!$B:$B,YEAR(EDATE(A32,-1)),'Clean Data'!$C:$C,TEXT(EDATE(A32,-1),"mmmm"))-1,"")</f>
        <v>6.5590312815337892E-3</v>
      </c>
      <c r="T32" s="32">
        <f>IFERROR(SUMIFS('Clean Data'!$R:$R,'Clean Data'!$A:$A,"Rural+Urban",'Clean Data'!$B:$B,B32,'Clean Data'!$C:$C,C32)/SUMIFS('Clean Data'!$R:$R,'Clean Data'!$A:$A,"Rural+Urban",'Clean Data'!$B:$B,YEAR(EDATE(A32,-1)),'Clean Data'!$C:$C,TEXT(EDATE(A32,-1),"mmmm"))-1,"")</f>
        <v>7.030827474310275E-3</v>
      </c>
      <c r="U32" s="32">
        <f>IFERROR(SUMIFS('Clean Data'!$S:$S,'Clean Data'!$A:$A,"Rural+Urban",'Clean Data'!$B:$B,B32,'Clean Data'!$C:$C,C32)/SUMIFS('Clean Data'!$S:$S,'Clean Data'!$A:$A,"Rural+Urban",'Clean Data'!$B:$B,YEAR(EDATE(A32,-1)),'Clean Data'!$C:$C,TEXT(EDATE(A32,-1),"mmmm"))-1,"")</f>
        <v>6.1936936936937137E-3</v>
      </c>
      <c r="V32" s="32">
        <f>IFERROR(SUMIFS('Clean Data'!$T:$T,'Clean Data'!$A:$A,"Rural+Urban",'Clean Data'!$B:$B,B32,'Clean Data'!$C:$C,C32)/SUMIFS('Clean Data'!$T:$T,'Clean Data'!$A:$A,"Rural+Urban",'Clean Data'!$B:$B,YEAR(EDATE(A32,-1)),'Clean Data'!$C:$C,TEXT(EDATE(A32,-1),"mmmm"))-1,"")</f>
        <v>7.0729053318823176E-3</v>
      </c>
      <c r="W32" s="32">
        <f>IFERROR(SUMIFS('Clean Data'!$U:$U,'Clean Data'!$A:$A,"Rural+Urban",'Clean Data'!$B:$B,B32,'Clean Data'!$C:$C,C32)/SUMIFS('Clean Data'!$U:$U,'Clean Data'!$A:$A,"Rural+Urban",'Clean Data'!$B:$B,YEAR(EDATE(A32,-1)),'Clean Data'!$C:$C,TEXT(EDATE(A32,-1),"mmmm"))-1,"")</f>
        <v>8.1348053457293013E-3</v>
      </c>
      <c r="X32" s="32">
        <f>IFERROR(SUMIFS('Clean Data'!$V:$V,'Clean Data'!$A:$A,"Rural+Urban",'Clean Data'!$B:$B,B32,'Clean Data'!$C:$C,C32)/SUMIFS('Clean Data'!$V:$V,'Clean Data'!$A:$A,"Rural+Urban",'Clean Data'!$B:$B,YEAR(EDATE(A32,-1)),'Clean Data'!$C:$C,TEXT(EDATE(A32,-1),"mmmm"))-1,"")</f>
        <v>5.494505494505475E-4</v>
      </c>
      <c r="Y32" s="32">
        <f>IFERROR(SUMIFS('Clean Data'!$W:$W,'Clean Data'!$A:$A,"Rural+Urban",'Clean Data'!$B:$B,B32,'Clean Data'!$C:$C,C32)/SUMIFS('Clean Data'!$W:$W,'Clean Data'!$A:$A,"Rural+Urban",'Clean Data'!$B:$B,YEAR(EDATE(A32,-1)),'Clean Data'!$C:$C,TEXT(EDATE(A32,-1),"mmmm"))-1,"")</f>
        <v>7.5187969924810361E-3</v>
      </c>
      <c r="Z32" s="32">
        <f>IFERROR(SUMIFS('Clean Data'!$X:$X,'Clean Data'!$A:$A,"Rural+Urban",'Clean Data'!$B:$B,B32,'Clean Data'!$C:$C,C32)/SUMIFS('Clean Data'!$X:$X,'Clean Data'!$A:$A,"Rural+Urban",'Clean Data'!$B:$B,YEAR(EDATE(A32,-1)),'Clean Data'!$C:$C,TEXT(EDATE(A32,-1),"mmmm"))-1,"")</f>
        <v>1.1519473395501967E-2</v>
      </c>
      <c r="AA32" s="32">
        <f>IFERROR(SUMIFS('Clean Data'!$Y:$Y,'Clean Data'!$A:$A,"Rural+Urban",'Clean Data'!$B:$B,B32,'Clean Data'!$C:$C,C32)/SUMIFS('Clean Data'!$Y:$Y,'Clean Data'!$A:$A,"Rural+Urban",'Clean Data'!$B:$B,YEAR(EDATE(A32,-1)),'Clean Data'!$C:$C,TEXT(EDATE(A32,-1),"mmmm"))-1,"")</f>
        <v>3.6674816625916762E-3</v>
      </c>
      <c r="AB32" s="32">
        <f>IFERROR(SUMIFS('Clean Data'!$Z:$Z,'Clean Data'!$A:$A,"Rural+Urban",'Clean Data'!$B:$B,B32,'Clean Data'!$C:$C,C32)/SUMIFS('Clean Data'!$Z:$Z,'Clean Data'!$A:$A,"Rural+Urban",'Clean Data'!$B:$B,YEAR(EDATE(A32,-1)),'Clean Data'!$C:$C,TEXT(EDATE(A32,-1),"mmmm"))-1,"")</f>
        <v>4.719764011799521E-3</v>
      </c>
      <c r="AC32" s="32">
        <f>IFERROR(SUMIFS('Clean Data'!$AA:$AA,'Clean Data'!$A:$A,"Rural+Urban",'Clean Data'!$B:$B,B32,'Clean Data'!$C:$C,C32)/SUMIFS('Clean Data'!$AA:$AA,'Clean Data'!$A:$A,"Rural+Urban",'Clean Data'!$B:$B,YEAR(EDATE(A32,-1)),'Clean Data'!$C:$C,TEXT(EDATE(A32,-1),"mmmm"))-1,"")</f>
        <v>4.0160642570279403E-3</v>
      </c>
      <c r="AD32" s="32">
        <f>IFERROR(SUMIFS('Clean Data'!$AB:$AB,'Clean Data'!$A:$A,"Rural+Urban",'Clean Data'!$B:$B,B32,'Clean Data'!$C:$C,C32)/SUMIFS('Clean Data'!$AB:$AB,'Clean Data'!$A:$A,"Rural+Urban",'Clean Data'!$B:$B,YEAR(EDATE(A32,-1)),'Clean Data'!$C:$C,TEXT(EDATE(A32,-1),"mmmm"))-1,"")</f>
        <v>1.3437849944009095E-2</v>
      </c>
      <c r="AE32" s="32">
        <f>IFERROR(SUMIFS('Clean Data'!$AC:$AC,'Clean Data'!$A:$A,"Rural+Urban",'Clean Data'!$B:$B,B32,'Clean Data'!$C:$C,C32)/SUMIFS('Clean Data'!$AC:$AC,'Clean Data'!$A:$A,"Rural+Urban",'Clean Data'!$B:$B,YEAR(EDATE(A32,-1)),'Clean Data'!$C:$C,TEXT(EDATE(A32,-1),"mmmm"))-1,"")</f>
        <v>7.5231481481481399E-3</v>
      </c>
      <c r="AF32" s="32">
        <f>IFERROR(SUMIFS('Clean Data'!$AD:$AD,'Clean Data'!$A:$A,"Rural+Urban",'Clean Data'!$B:$B,B32,'Clean Data'!$C:$C,C32)/SUMIFS('Clean Data'!$AD:$AD,'Clean Data'!$A:$A,"Rural+Urban",'Clean Data'!$B:$B,YEAR(EDATE(A32,-1)),'Clean Data'!$C:$C,TEXT(EDATE(A32,-1),"mmmm"))-1,"")</f>
        <v>3.9660056657222498E-3</v>
      </c>
    </row>
    <row r="33" spans="1:32" ht="15" customHeight="1" x14ac:dyDescent="0.2">
      <c r="A33" s="44">
        <v>44986</v>
      </c>
      <c r="B33" s="30">
        <v>2023</v>
      </c>
      <c r="C33" s="30" t="s">
        <v>92</v>
      </c>
      <c r="D33" s="12">
        <v>78.540000000000006</v>
      </c>
      <c r="E33" s="25">
        <f t="shared" si="0"/>
        <v>-4.5454545454545414E-2</v>
      </c>
      <c r="F33" s="32">
        <f>IFERROR(SUMIFS('Clean Data'!$D:$D,'Clean Data'!$A:$A,"Rural+Urban",'Clean Data'!$B:$B,B33,'Clean Data'!$C:$C,C33)/SUMIFS('Clean Data'!$D:$D,'Clean Data'!$A:$A,"Rural+Urban",'Clean Data'!$B:$B,YEAR(EDATE(A33,-1)),'Clean Data'!$C:$C,TEXT(EDATE(A33,-1),"mmmm"))-1,"")</f>
        <v>0</v>
      </c>
      <c r="G33" s="32">
        <f>IFERROR(SUMIFS('Clean Data'!$E:$E,'Clean Data'!$A:$A,"Rural+Urban",'Clean Data'!$B:$B,B33,'Clean Data'!$C:$C,C33)/SUMIFS('Clean Data'!$E:$E,'Clean Data'!$A:$A,"Rural+Urban",'Clean Data'!$B:$B,YEAR(EDATE(A33,-1)),'Clean Data'!$C:$C,TEXT(EDATE(A33,-1),"mmmm"))-1,"")</f>
        <v>0</v>
      </c>
      <c r="H33" s="32">
        <f>IFERROR(SUMIFS('Clean Data'!$F:$F,'Clean Data'!$A:$A,"Rural+Urban",'Clean Data'!$B:$B,B33,'Clean Data'!$C:$C,C33)/SUMIFS('Clean Data'!$F:$F,'Clean Data'!$A:$A,"Rural+Urban",'Clean Data'!$B:$B,YEAR(EDATE(A33,-1)),'Clean Data'!$C:$C,TEXT(EDATE(A33,-1),"mmmm"))-1,"")</f>
        <v>0</v>
      </c>
      <c r="I33" s="32">
        <f>IFERROR(SUMIFS('Clean Data'!$G:$G,'Clean Data'!$A:$A,"Rural+Urban",'Clean Data'!$B:$B,B33,'Clean Data'!$C:$C,C33)/SUMIFS('Clean Data'!$G:$G,'Clean Data'!$A:$A,"Rural+Urban",'Clean Data'!$B:$B,YEAR(EDATE(A33,-1)),'Clean Data'!$C:$C,TEXT(EDATE(A33,-1),"mmmm"))-1,"")</f>
        <v>0</v>
      </c>
      <c r="J33" s="32">
        <f>IFERROR(SUMIFS('Clean Data'!$H:$H,'Clean Data'!$A:$A,"Rural+Urban",'Clean Data'!$B:$B,B33,'Clean Data'!$C:$C,C33)/SUMIFS('Clean Data'!$H:$H,'Clean Data'!$A:$A,"Rural+Urban",'Clean Data'!$B:$B,YEAR(EDATE(A33,-1)),'Clean Data'!$C:$C,TEXT(EDATE(A33,-1),"mmmm"))-1,"")</f>
        <v>-5.5772448410496001E-4</v>
      </c>
      <c r="K33" s="32">
        <f>IFERROR(SUMIFS('Clean Data'!$I:$I,'Clean Data'!$A:$A,"Rural+Urban",'Clean Data'!$B:$B,B33,'Clean Data'!$C:$C,C33)/SUMIFS('Clean Data'!$I:$I,'Clean Data'!$A:$A,"Rural+Urban",'Clean Data'!$B:$B,YEAR(EDATE(A33,-1)),'Clean Data'!$C:$C,TEXT(EDATE(A33,-1),"mmmm"))-1,"")</f>
        <v>0</v>
      </c>
      <c r="L33" s="32">
        <f>IFERROR(SUMIFS('Clean Data'!$J:$J,'Clean Data'!$A:$A,"Rural+Urban",'Clean Data'!$B:$B,B33,'Clean Data'!$C:$C,C33)/SUMIFS('Clean Data'!$J:$J,'Clean Data'!$A:$A,"Rural+Urban",'Clean Data'!$B:$B,YEAR(EDATE(A33,-1)),'Clean Data'!$C:$C,TEXT(EDATE(A33,-1),"mmmm"))-1,"")</f>
        <v>6.548788474134426E-4</v>
      </c>
      <c r="M33" s="32">
        <f>IFERROR(SUMIFS('Clean Data'!$K:$K,'Clean Data'!$A:$A,"Rural+Urban",'Clean Data'!$B:$B,B33,'Clean Data'!$C:$C,C33)/SUMIFS('Clean Data'!$K:$K,'Clean Data'!$A:$A,"Rural+Urban",'Clean Data'!$B:$B,YEAR(EDATE(A33,-1)),'Clean Data'!$C:$C,TEXT(EDATE(A33,-1),"mmmm"))-1,"")</f>
        <v>5.847953216373547E-4</v>
      </c>
      <c r="N33" s="32">
        <f>IFERROR(SUMIFS('Clean Data'!$L:$L,'Clean Data'!$A:$A,"Rural+Urban",'Clean Data'!$B:$B,B33,'Clean Data'!$C:$C,C33)/SUMIFS('Clean Data'!$L:$L,'Clean Data'!$A:$A,"Rural+Urban",'Clean Data'!$B:$B,YEAR(EDATE(A33,-1)),'Clean Data'!$C:$C,TEXT(EDATE(A33,-1),"mmmm"))-1,"")</f>
        <v>0</v>
      </c>
      <c r="O33" s="32">
        <f>IFERROR(SUMIFS('Clean Data'!$M:$M,'Clean Data'!$A:$A,"Rural+Urban",'Clean Data'!$B:$B,B33,'Clean Data'!$C:$C,C33)/SUMIFS('Clean Data'!$M:$M,'Clean Data'!$A:$A,"Rural+Urban",'Clean Data'!$B:$B,YEAR(EDATE(A33,-1)),'Clean Data'!$C:$C,TEXT(EDATE(A33,-1),"mmmm"))-1,"")</f>
        <v>0</v>
      </c>
      <c r="P33" s="32">
        <f>IFERROR(SUMIFS('Clean Data'!$N:$N,'Clean Data'!$A:$A,"Rural+Urban",'Clean Data'!$B:$B,B33,'Clean Data'!$C:$C,C33)/SUMIFS('Clean Data'!$N:$N,'Clean Data'!$A:$A,"Rural+Urban",'Clean Data'!$B:$B,YEAR(EDATE(A33,-1)),'Clean Data'!$C:$C,TEXT(EDATE(A33,-1),"mmmm"))-1,"")</f>
        <v>0</v>
      </c>
      <c r="Q33" s="32">
        <f>IFERROR(SUMIFS('Clean Data'!$O:$O,'Clean Data'!$A:$A,"Rural+Urban",'Clean Data'!$B:$B,B33,'Clean Data'!$C:$C,C33)/SUMIFS('Clean Data'!$O:$O,'Clean Data'!$A:$A,"Rural+Urban",'Clean Data'!$B:$B,YEAR(EDATE(A33,-1)),'Clean Data'!$C:$C,TEXT(EDATE(A33,-1),"mmmm"))-1,"")</f>
        <v>0</v>
      </c>
      <c r="R33" s="32">
        <f>IFERROR(SUMIFS('Clean Data'!$P:$P,'Clean Data'!$A:$A,"Rural+Urban",'Clean Data'!$B:$B,B33,'Clean Data'!$C:$C,C33)/SUMIFS('Clean Data'!$P:$P,'Clean Data'!$A:$A,"Rural+Urban",'Clean Data'!$B:$B,YEAR(EDATE(A33,-1)),'Clean Data'!$C:$C,TEXT(EDATE(A33,-1),"mmmm"))-1,"")</f>
        <v>0</v>
      </c>
      <c r="S33" s="32">
        <f>IFERROR(SUMIFS('Clean Data'!$Q:$Q,'Clean Data'!$A:$A,"Rural+Urban",'Clean Data'!$B:$B,B33,'Clean Data'!$C:$C,C33)/SUMIFS('Clean Data'!$Q:$Q,'Clean Data'!$A:$A,"Rural+Urban",'Clean Data'!$B:$B,YEAR(EDATE(A33,-1)),'Clean Data'!$C:$C,TEXT(EDATE(A33,-1),"mmmm"))-1,"")</f>
        <v>0</v>
      </c>
      <c r="T33" s="32">
        <f>IFERROR(SUMIFS('Clean Data'!$R:$R,'Clean Data'!$A:$A,"Rural+Urban",'Clean Data'!$B:$B,B33,'Clean Data'!$C:$C,C33)/SUMIFS('Clean Data'!$R:$R,'Clean Data'!$A:$A,"Rural+Urban",'Clean Data'!$B:$B,YEAR(EDATE(A33,-1)),'Clean Data'!$C:$C,TEXT(EDATE(A33,-1),"mmmm"))-1,"")</f>
        <v>-5.3705692803429628E-4</v>
      </c>
      <c r="U33" s="32">
        <f>IFERROR(SUMIFS('Clean Data'!$S:$S,'Clean Data'!$A:$A,"Rural+Urban",'Clean Data'!$B:$B,B33,'Clean Data'!$C:$C,C33)/SUMIFS('Clean Data'!$S:$S,'Clean Data'!$A:$A,"Rural+Urban",'Clean Data'!$B:$B,YEAR(EDATE(A33,-1)),'Clean Data'!$C:$C,TEXT(EDATE(A33,-1),"mmmm"))-1,"")</f>
        <v>0</v>
      </c>
      <c r="V33" s="32">
        <f>IFERROR(SUMIFS('Clean Data'!$T:$T,'Clean Data'!$A:$A,"Rural+Urban",'Clean Data'!$B:$B,B33,'Clean Data'!$C:$C,C33)/SUMIFS('Clean Data'!$T:$T,'Clean Data'!$A:$A,"Rural+Urban",'Clean Data'!$B:$B,YEAR(EDATE(A33,-1)),'Clean Data'!$C:$C,TEXT(EDATE(A33,-1),"mmmm"))-1,"")</f>
        <v>0</v>
      </c>
      <c r="W33" s="32">
        <f>IFERROR(SUMIFS('Clean Data'!$U:$U,'Clean Data'!$A:$A,"Rural+Urban",'Clean Data'!$B:$B,B33,'Clean Data'!$C:$C,C33)/SUMIFS('Clean Data'!$U:$U,'Clean Data'!$A:$A,"Rural+Urban",'Clean Data'!$B:$B,YEAR(EDATE(A33,-1)),'Clean Data'!$C:$C,TEXT(EDATE(A33,-1),"mmmm"))-1,"")</f>
        <v>0</v>
      </c>
      <c r="X33" s="32">
        <f>IFERROR(SUMIFS('Clean Data'!$V:$V,'Clean Data'!$A:$A,"Rural+Urban",'Clean Data'!$B:$B,B33,'Clean Data'!$C:$C,C33)/SUMIFS('Clean Data'!$V:$V,'Clean Data'!$A:$A,"Rural+Urban",'Clean Data'!$B:$B,YEAR(EDATE(A33,-1)),'Clean Data'!$C:$C,TEXT(EDATE(A33,-1),"mmmm"))-1,"")</f>
        <v>-1.0982976386599841E-3</v>
      </c>
      <c r="Y33" s="32">
        <f>IFERROR(SUMIFS('Clean Data'!$W:$W,'Clean Data'!$A:$A,"Rural+Urban",'Clean Data'!$B:$B,B33,'Clean Data'!$C:$C,C33)/SUMIFS('Clean Data'!$W:$W,'Clean Data'!$A:$A,"Rural+Urban",'Clean Data'!$B:$B,YEAR(EDATE(A33,-1)),'Clean Data'!$C:$C,TEXT(EDATE(A33,-1),"mmmm"))-1,"")</f>
        <v>0</v>
      </c>
      <c r="Z33" s="32">
        <f>IFERROR(SUMIFS('Clean Data'!$X:$X,'Clean Data'!$A:$A,"Rural+Urban",'Clean Data'!$B:$B,B33,'Clean Data'!$C:$C,C33)/SUMIFS('Clean Data'!$X:$X,'Clean Data'!$A:$A,"Rural+Urban",'Clean Data'!$B:$B,YEAR(EDATE(A33,-1)),'Clean Data'!$C:$C,TEXT(EDATE(A33,-1),"mmmm"))-1,"")</f>
        <v>0</v>
      </c>
      <c r="AA33" s="32">
        <f>IFERROR(SUMIFS('Clean Data'!$Y:$Y,'Clean Data'!$A:$A,"Rural+Urban",'Clean Data'!$B:$B,B33,'Clean Data'!$C:$C,C33)/SUMIFS('Clean Data'!$Y:$Y,'Clean Data'!$A:$A,"Rural+Urban",'Clean Data'!$B:$B,YEAR(EDATE(A33,-1)),'Clean Data'!$C:$C,TEXT(EDATE(A33,-1),"mmmm"))-1,"")</f>
        <v>0</v>
      </c>
      <c r="AB33" s="32">
        <f>IFERROR(SUMIFS('Clean Data'!$Z:$Z,'Clean Data'!$A:$A,"Rural+Urban",'Clean Data'!$B:$B,B33,'Clean Data'!$C:$C,C33)/SUMIFS('Clean Data'!$Z:$Z,'Clean Data'!$A:$A,"Rural+Urban",'Clean Data'!$B:$B,YEAR(EDATE(A33,-1)),'Clean Data'!$C:$C,TEXT(EDATE(A33,-1),"mmmm"))-1,"")</f>
        <v>0</v>
      </c>
      <c r="AC33" s="32">
        <f>IFERROR(SUMIFS('Clean Data'!$AA:$AA,'Clean Data'!$A:$A,"Rural+Urban",'Clean Data'!$B:$B,B33,'Clean Data'!$C:$C,C33)/SUMIFS('Clean Data'!$AA:$AA,'Clean Data'!$A:$A,"Rural+Urban",'Clean Data'!$B:$B,YEAR(EDATE(A33,-1)),'Clean Data'!$C:$C,TEXT(EDATE(A33,-1),"mmmm"))-1,"")</f>
        <v>0</v>
      </c>
      <c r="AD33" s="32">
        <f>IFERROR(SUMIFS('Clean Data'!$AB:$AB,'Clean Data'!$A:$A,"Rural+Urban",'Clean Data'!$B:$B,B33,'Clean Data'!$C:$C,C33)/SUMIFS('Clean Data'!$AB:$AB,'Clean Data'!$A:$A,"Rural+Urban",'Clean Data'!$B:$B,YEAR(EDATE(A33,-1)),'Clean Data'!$C:$C,TEXT(EDATE(A33,-1),"mmmm"))-1,"")</f>
        <v>0</v>
      </c>
      <c r="AE33" s="32">
        <f>IFERROR(SUMIFS('Clean Data'!$AC:$AC,'Clean Data'!$A:$A,"Rural+Urban",'Clean Data'!$B:$B,B33,'Clean Data'!$C:$C,C33)/SUMIFS('Clean Data'!$AC:$AC,'Clean Data'!$A:$A,"Rural+Urban",'Clean Data'!$B:$B,YEAR(EDATE(A33,-1)),'Clean Data'!$C:$C,TEXT(EDATE(A33,-1),"mmmm"))-1,"")</f>
        <v>0</v>
      </c>
      <c r="AF33" s="32">
        <f>IFERROR(SUMIFS('Clean Data'!$AD:$AD,'Clean Data'!$A:$A,"Rural+Urban",'Clean Data'!$B:$B,B33,'Clean Data'!$C:$C,C33)/SUMIFS('Clean Data'!$AD:$AD,'Clean Data'!$A:$A,"Rural+Urban",'Clean Data'!$B:$B,YEAR(EDATE(A33,-1)),'Clean Data'!$C:$C,TEXT(EDATE(A33,-1),"mmmm"))-1,"")</f>
        <v>0</v>
      </c>
    </row>
    <row r="34" spans="1:32" ht="15" customHeight="1" x14ac:dyDescent="0.2">
      <c r="A34" s="44">
        <v>45017</v>
      </c>
      <c r="B34" s="30">
        <v>2023</v>
      </c>
      <c r="C34" s="30" t="s">
        <v>93</v>
      </c>
      <c r="D34" s="12">
        <v>83.76</v>
      </c>
      <c r="E34" s="25">
        <f t="shared" si="0"/>
        <v>6.6462948815889877E-2</v>
      </c>
      <c r="F34" s="32">
        <f>IFERROR(SUMIFS('Clean Data'!$D:$D,'Clean Data'!$A:$A,"Rural+Urban",'Clean Data'!$B:$B,B34,'Clean Data'!$C:$C,C34)/SUMIFS('Clean Data'!$D:$D,'Clean Data'!$A:$A,"Rural+Urban",'Clean Data'!$B:$B,YEAR(EDATE(A34,-1)),'Clean Data'!$C:$C,TEXT(EDATE(A34,-1),"mmmm"))-1,"")</f>
        <v>-3.4403669724770714E-3</v>
      </c>
      <c r="G34" s="32">
        <f>IFERROR(SUMIFS('Clean Data'!$E:$E,'Clean Data'!$A:$A,"Rural+Urban",'Clean Data'!$B:$B,B34,'Clean Data'!$C:$C,C34)/SUMIFS('Clean Data'!$E:$E,'Clean Data'!$A:$A,"Rural+Urban",'Clean Data'!$B:$B,YEAR(EDATE(A34,-1)),'Clean Data'!$C:$C,TEXT(EDATE(A34,-1),"mmmm"))-1,"")</f>
        <v>7.7034183919115762E-3</v>
      </c>
      <c r="H34" s="32">
        <f>IFERROR(SUMIFS('Clean Data'!$F:$F,'Clean Data'!$A:$A,"Rural+Urban",'Clean Data'!$B:$B,B34,'Clean Data'!$C:$C,C34)/SUMIFS('Clean Data'!$F:$F,'Clean Data'!$A:$A,"Rural+Urban",'Clean Data'!$B:$B,YEAR(EDATE(A34,-1)),'Clean Data'!$C:$C,TEXT(EDATE(A34,-1),"mmmm"))-1,"")</f>
        <v>-3.1963470319634646E-2</v>
      </c>
      <c r="I34" s="32">
        <f>IFERROR(SUMIFS('Clean Data'!$G:$G,'Clean Data'!$A:$A,"Rural+Urban",'Clean Data'!$B:$B,B34,'Clean Data'!$C:$C,C34)/SUMIFS('Clean Data'!$G:$G,'Clean Data'!$A:$A,"Rural+Urban",'Clean Data'!$B:$B,YEAR(EDATE(A34,-1)),'Clean Data'!$C:$C,TEXT(EDATE(A34,-1),"mmmm"))-1,"")</f>
        <v>6.2041737168641031E-3</v>
      </c>
      <c r="J34" s="32">
        <f>IFERROR(SUMIFS('Clean Data'!$H:$H,'Clean Data'!$A:$A,"Rural+Urban",'Clean Data'!$B:$B,B34,'Clean Data'!$C:$C,C34)/SUMIFS('Clean Data'!$H:$H,'Clean Data'!$A:$A,"Rural+Urban",'Clean Data'!$B:$B,YEAR(EDATE(A34,-1)),'Clean Data'!$C:$C,TEXT(EDATE(A34,-1),"mmmm"))-1,"")</f>
        <v>-2.3995535714285587E-2</v>
      </c>
      <c r="K34" s="32">
        <f>IFERROR(SUMIFS('Clean Data'!$I:$I,'Clean Data'!$A:$A,"Rural+Urban",'Clean Data'!$B:$B,B34,'Clean Data'!$C:$C,C34)/SUMIFS('Clean Data'!$I:$I,'Clean Data'!$A:$A,"Rural+Urban",'Clean Data'!$B:$B,YEAR(EDATE(A34,-1)),'Clean Data'!$C:$C,TEXT(EDATE(A34,-1),"mmmm"))-1,"")</f>
        <v>4.0117994100295151E-2</v>
      </c>
      <c r="L34" s="32">
        <f>IFERROR(SUMIFS('Clean Data'!$J:$J,'Clean Data'!$A:$A,"Rural+Urban",'Clean Data'!$B:$B,B34,'Clean Data'!$C:$C,C34)/SUMIFS('Clean Data'!$J:$J,'Clean Data'!$A:$A,"Rural+Urban",'Clean Data'!$B:$B,YEAR(EDATE(A34,-1)),'Clean Data'!$C:$C,TEXT(EDATE(A34,-1),"mmmm"))-1,"")</f>
        <v>1.7015706806282616E-2</v>
      </c>
      <c r="M34" s="32">
        <f>IFERROR(SUMIFS('Clean Data'!$K:$K,'Clean Data'!$A:$A,"Rural+Urban",'Clean Data'!$B:$B,B34,'Clean Data'!$C:$C,C34)/SUMIFS('Clean Data'!$K:$K,'Clean Data'!$A:$A,"Rural+Urban",'Clean Data'!$B:$B,YEAR(EDATE(A34,-1)),'Clean Data'!$C:$C,TEXT(EDATE(A34,-1),"mmmm"))-1,"")</f>
        <v>1.3442431326709636E-2</v>
      </c>
      <c r="N34" s="32">
        <f>IFERROR(SUMIFS('Clean Data'!$L:$L,'Clean Data'!$A:$A,"Rural+Urban",'Clean Data'!$B:$B,B34,'Clean Data'!$C:$C,C34)/SUMIFS('Clean Data'!$L:$L,'Clean Data'!$A:$A,"Rural+Urban",'Clean Data'!$B:$B,YEAR(EDATE(A34,-1)),'Clean Data'!$C:$C,TEXT(EDATE(A34,-1),"mmmm"))-1,"")</f>
        <v>1.083333333333325E-2</v>
      </c>
      <c r="O34" s="32">
        <f>IFERROR(SUMIFS('Clean Data'!$M:$M,'Clean Data'!$A:$A,"Rural+Urban",'Clean Data'!$B:$B,B34,'Clean Data'!$C:$C,C34)/SUMIFS('Clean Data'!$M:$M,'Clean Data'!$A:$A,"Rural+Urban",'Clean Data'!$B:$B,YEAR(EDATE(A34,-1)),'Clean Data'!$C:$C,TEXT(EDATE(A34,-1),"mmmm"))-1,"")</f>
        <v>1.5259895088221453E-2</v>
      </c>
      <c r="P34" s="32">
        <f>IFERROR(SUMIFS('Clean Data'!$N:$N,'Clean Data'!$A:$A,"Rural+Urban",'Clean Data'!$B:$B,B34,'Clean Data'!$C:$C,C34)/SUMIFS('Clean Data'!$N:$N,'Clean Data'!$A:$A,"Rural+Urban",'Clean Data'!$B:$B,YEAR(EDATE(A34,-1)),'Clean Data'!$C:$C,TEXT(EDATE(A34,-1),"mmmm"))-1,"")</f>
        <v>3.4822983168891763E-3</v>
      </c>
      <c r="Q34" s="32">
        <f>IFERROR(SUMIFS('Clean Data'!$O:$O,'Clean Data'!$A:$A,"Rural+Urban",'Clean Data'!$B:$B,B34,'Clean Data'!$C:$C,C34)/SUMIFS('Clean Data'!$O:$O,'Clean Data'!$A:$A,"Rural+Urban",'Clean Data'!$B:$B,YEAR(EDATE(A34,-1)),'Clean Data'!$C:$C,TEXT(EDATE(A34,-1),"mmmm"))-1,"")</f>
        <v>2.5906735751295429E-3</v>
      </c>
      <c r="R34" s="32">
        <f>IFERROR(SUMIFS('Clean Data'!$P:$P,'Clean Data'!$A:$A,"Rural+Urban",'Clean Data'!$B:$B,B34,'Clean Data'!$C:$C,C34)/SUMIFS('Clean Data'!$P:$P,'Clean Data'!$A:$A,"Rural+Urban",'Clean Data'!$B:$B,YEAR(EDATE(A34,-1)),'Clean Data'!$C:$C,TEXT(EDATE(A34,-1),"mmmm"))-1,"")</f>
        <v>5.0847457627118953E-3</v>
      </c>
      <c r="S34" s="32">
        <f>IFERROR(SUMIFS('Clean Data'!$Q:$Q,'Clean Data'!$A:$A,"Rural+Urban",'Clean Data'!$B:$B,B34,'Clean Data'!$C:$C,C34)/SUMIFS('Clean Data'!$Q:$Q,'Clean Data'!$A:$A,"Rural+Urban",'Clean Data'!$B:$B,YEAR(EDATE(A34,-1)),'Clean Data'!$C:$C,TEXT(EDATE(A34,-1),"mmmm"))-1,"")</f>
        <v>5.5137844611528042E-3</v>
      </c>
      <c r="T34" s="32">
        <f>IFERROR(SUMIFS('Clean Data'!$R:$R,'Clean Data'!$A:$A,"Rural+Urban",'Clean Data'!$B:$B,B34,'Clean Data'!$C:$C,C34)/SUMIFS('Clean Data'!$R:$R,'Clean Data'!$A:$A,"Rural+Urban",'Clean Data'!$B:$B,YEAR(EDATE(A34,-1)),'Clean Data'!$C:$C,TEXT(EDATE(A34,-1),"mmmm"))-1,"")</f>
        <v>4.2987641053198189E-3</v>
      </c>
      <c r="U34" s="32">
        <f>IFERROR(SUMIFS('Clean Data'!$S:$S,'Clean Data'!$A:$A,"Rural+Urban",'Clean Data'!$B:$B,B34,'Clean Data'!$C:$C,C34)/SUMIFS('Clean Data'!$S:$S,'Clean Data'!$A:$A,"Rural+Urban",'Clean Data'!$B:$B,YEAR(EDATE(A34,-1)),'Clean Data'!$C:$C,TEXT(EDATE(A34,-1),"mmmm"))-1,"")</f>
        <v>2.7979854504756041E-3</v>
      </c>
      <c r="V34" s="32">
        <f>IFERROR(SUMIFS('Clean Data'!$T:$T,'Clean Data'!$A:$A,"Rural+Urban",'Clean Data'!$B:$B,B34,'Clean Data'!$C:$C,C34)/SUMIFS('Clean Data'!$T:$T,'Clean Data'!$A:$A,"Rural+Urban",'Clean Data'!$B:$B,YEAR(EDATE(A34,-1)),'Clean Data'!$C:$C,TEXT(EDATE(A34,-1),"mmmm"))-1,"")</f>
        <v>3.2414910858995505E-3</v>
      </c>
      <c r="W34" s="32">
        <f>IFERROR(SUMIFS('Clean Data'!$U:$U,'Clean Data'!$A:$A,"Rural+Urban",'Clean Data'!$B:$B,B34,'Clean Data'!$C:$C,C34)/SUMIFS('Clean Data'!$U:$U,'Clean Data'!$A:$A,"Rural+Urban",'Clean Data'!$B:$B,YEAR(EDATE(A34,-1)),'Clean Data'!$C:$C,TEXT(EDATE(A34,-1),"mmmm"))-1,"")</f>
        <v>9.7982708933717078E-3</v>
      </c>
      <c r="X34" s="32">
        <f>IFERROR(SUMIFS('Clean Data'!$V:$V,'Clean Data'!$A:$A,"Rural+Urban",'Clean Data'!$B:$B,B34,'Clean Data'!$C:$C,C34)/SUMIFS('Clean Data'!$V:$V,'Clean Data'!$A:$A,"Rural+Urban",'Clean Data'!$B:$B,YEAR(EDATE(A34,-1)),'Clean Data'!$C:$C,TEXT(EDATE(A34,-1),"mmmm"))-1,"")</f>
        <v>-1.0995052226498991E-3</v>
      </c>
      <c r="Y34" s="32">
        <f>IFERROR(SUMIFS('Clean Data'!$W:$W,'Clean Data'!$A:$A,"Rural+Urban",'Clean Data'!$B:$B,B34,'Clean Data'!$C:$C,C34)/SUMIFS('Clean Data'!$W:$W,'Clean Data'!$A:$A,"Rural+Urban",'Clean Data'!$B:$B,YEAR(EDATE(A34,-1)),'Clean Data'!$C:$C,TEXT(EDATE(A34,-1),"mmmm"))-1,"")</f>
        <v>2.2962112514350874E-3</v>
      </c>
      <c r="Z34" s="32">
        <f>IFERROR(SUMIFS('Clean Data'!$X:$X,'Clean Data'!$A:$A,"Rural+Urban",'Clean Data'!$B:$B,B34,'Clean Data'!$C:$C,C34)/SUMIFS('Clean Data'!$X:$X,'Clean Data'!$A:$A,"Rural+Urban",'Clean Data'!$B:$B,YEAR(EDATE(A34,-1)),'Clean Data'!$C:$C,TEXT(EDATE(A34,-1),"mmmm"))-1,"")</f>
        <v>3.2537960954446277E-3</v>
      </c>
      <c r="AA34" s="32">
        <f>IFERROR(SUMIFS('Clean Data'!$Y:$Y,'Clean Data'!$A:$A,"Rural+Urban",'Clean Data'!$B:$B,B34,'Clean Data'!$C:$C,C34)/SUMIFS('Clean Data'!$Y:$Y,'Clean Data'!$A:$A,"Rural+Urban",'Clean Data'!$B:$B,YEAR(EDATE(A34,-1)),'Clean Data'!$C:$C,TEXT(EDATE(A34,-1),"mmmm"))-1,"")</f>
        <v>1.8270401948843329E-3</v>
      </c>
      <c r="AB34" s="32">
        <f>IFERROR(SUMIFS('Clean Data'!$Z:$Z,'Clean Data'!$A:$A,"Rural+Urban",'Clean Data'!$B:$B,B34,'Clean Data'!$C:$C,C34)/SUMIFS('Clean Data'!$Z:$Z,'Clean Data'!$A:$A,"Rural+Urban",'Clean Data'!$B:$B,YEAR(EDATE(A34,-1)),'Clean Data'!$C:$C,TEXT(EDATE(A34,-1),"mmmm"))-1,"")</f>
        <v>2.3487962419259656E-3</v>
      </c>
      <c r="AC34" s="32">
        <f>IFERROR(SUMIFS('Clean Data'!$AA:$AA,'Clean Data'!$A:$A,"Rural+Urban",'Clean Data'!$B:$B,B34,'Clean Data'!$C:$C,C34)/SUMIFS('Clean Data'!$AA:$AA,'Clean Data'!$A:$A,"Rural+Urban",'Clean Data'!$B:$B,YEAR(EDATE(A34,-1)),'Clean Data'!$C:$C,TEXT(EDATE(A34,-1),"mmmm"))-1,"")</f>
        <v>8.0000000000000071E-3</v>
      </c>
      <c r="AD34" s="32">
        <f>IFERROR(SUMIFS('Clean Data'!$AB:$AB,'Clean Data'!$A:$A,"Rural+Urban",'Clean Data'!$B:$B,B34,'Clean Data'!$C:$C,C34)/SUMIFS('Clean Data'!$AB:$AB,'Clean Data'!$A:$A,"Rural+Urban",'Clean Data'!$B:$B,YEAR(EDATE(A34,-1)),'Clean Data'!$C:$C,TEXT(EDATE(A34,-1),"mmmm"))-1,"")</f>
        <v>1.6574585635359185E-2</v>
      </c>
      <c r="AE34" s="32">
        <f>IFERROR(SUMIFS('Clean Data'!$AC:$AC,'Clean Data'!$A:$A,"Rural+Urban",'Clean Data'!$B:$B,B34,'Clean Data'!$C:$C,C34)/SUMIFS('Clean Data'!$AC:$AC,'Clean Data'!$A:$A,"Rural+Urban",'Clean Data'!$B:$B,YEAR(EDATE(A34,-1)),'Clean Data'!$C:$C,TEXT(EDATE(A34,-1),"mmmm"))-1,"")</f>
        <v>5.1694428489374999E-3</v>
      </c>
      <c r="AF34" s="32">
        <f>IFERROR(SUMIFS('Clean Data'!$AD:$AD,'Clean Data'!$A:$A,"Rural+Urban",'Clean Data'!$B:$B,B34,'Clean Data'!$C:$C,C34)/SUMIFS('Clean Data'!$AD:$AD,'Clean Data'!$A:$A,"Rural+Urban",'Clean Data'!$B:$B,YEAR(EDATE(A34,-1)),'Clean Data'!$C:$C,TEXT(EDATE(A34,-1),"mmmm"))-1,"")</f>
        <v>5.0790067720090093E-3</v>
      </c>
    </row>
    <row r="35" spans="1:32" ht="15" customHeight="1" x14ac:dyDescent="0.2">
      <c r="A35" s="44">
        <v>45047</v>
      </c>
      <c r="B35" s="30">
        <v>2023</v>
      </c>
      <c r="C35" s="30" t="s">
        <v>95</v>
      </c>
      <c r="D35" s="12">
        <v>74.98</v>
      </c>
      <c r="E35" s="25">
        <f t="shared" si="0"/>
        <v>-0.1048233046800382</v>
      </c>
      <c r="F35" s="32">
        <f>IFERROR(SUMIFS('Clean Data'!$D:$D,'Clean Data'!$A:$A,"Rural+Urban",'Clean Data'!$B:$B,B35,'Clean Data'!$C:$C,C35)/SUMIFS('Clean Data'!$D:$D,'Clean Data'!$A:$A,"Rural+Urban",'Clean Data'!$B:$B,YEAR(EDATE(A35,-1)),'Clean Data'!$C:$C,TEXT(EDATE(A35,-1),"mmmm"))-1,"")</f>
        <v>-5.7537399309559589E-4</v>
      </c>
      <c r="G35" s="32">
        <f>IFERROR(SUMIFS('Clean Data'!$E:$E,'Clean Data'!$A:$A,"Rural+Urban",'Clean Data'!$B:$B,B35,'Clean Data'!$C:$C,C35)/SUMIFS('Clean Data'!$E:$E,'Clean Data'!$A:$A,"Rural+Urban",'Clean Data'!$B:$B,YEAR(EDATE(A35,-1)),'Clean Data'!$C:$C,TEXT(EDATE(A35,-1),"mmmm"))-1,"")</f>
        <v>2.3889154323937012E-2</v>
      </c>
      <c r="H35" s="32">
        <f>IFERROR(SUMIFS('Clean Data'!$F:$F,'Clean Data'!$A:$A,"Rural+Urban",'Clean Data'!$B:$B,B35,'Clean Data'!$C:$C,C35)/SUMIFS('Clean Data'!$F:$F,'Clean Data'!$A:$A,"Rural+Urban",'Clean Data'!$B:$B,YEAR(EDATE(A35,-1)),'Clean Data'!$C:$C,TEXT(EDATE(A35,-1),"mmmm"))-1,"")</f>
        <v>2.1226415094339535E-2</v>
      </c>
      <c r="I35" s="32">
        <f>IFERROR(SUMIFS('Clean Data'!$G:$G,'Clean Data'!$A:$A,"Rural+Urban",'Clean Data'!$B:$B,B35,'Clean Data'!$C:$C,C35)/SUMIFS('Clean Data'!$G:$G,'Clean Data'!$A:$A,"Rural+Urban",'Clean Data'!$B:$B,YEAR(EDATE(A35,-1)),'Clean Data'!$C:$C,TEXT(EDATE(A35,-1),"mmmm"))-1,"")</f>
        <v>6.1659192825112008E-3</v>
      </c>
      <c r="J35" s="32">
        <f>IFERROR(SUMIFS('Clean Data'!$H:$H,'Clean Data'!$A:$A,"Rural+Urban",'Clean Data'!$B:$B,B35,'Clean Data'!$C:$C,C35)/SUMIFS('Clean Data'!$H:$H,'Clean Data'!$A:$A,"Rural+Urban",'Clean Data'!$B:$B,YEAR(EDATE(A35,-1)),'Clean Data'!$C:$C,TEXT(EDATE(A35,-1),"mmmm"))-1,"")</f>
        <v>-2.8016009148084664E-2</v>
      </c>
      <c r="K35" s="32">
        <f>IFERROR(SUMIFS('Clean Data'!$I:$I,'Clean Data'!$A:$A,"Rural+Urban",'Clean Data'!$B:$B,B35,'Clean Data'!$C:$C,C35)/SUMIFS('Clean Data'!$I:$I,'Clean Data'!$A:$A,"Rural+Urban",'Clean Data'!$B:$B,YEAR(EDATE(A35,-1)),'Clean Data'!$C:$C,TEXT(EDATE(A35,-1),"mmmm"))-1,"")</f>
        <v>-2.3255813953488524E-2</v>
      </c>
      <c r="L35" s="32">
        <f>IFERROR(SUMIFS('Clean Data'!$J:$J,'Clean Data'!$A:$A,"Rural+Urban",'Clean Data'!$B:$B,B35,'Clean Data'!$C:$C,C35)/SUMIFS('Clean Data'!$J:$J,'Clean Data'!$A:$A,"Rural+Urban",'Clean Data'!$B:$B,YEAR(EDATE(A35,-1)),'Clean Data'!$C:$C,TEXT(EDATE(A35,-1),"mmmm"))-1,"")</f>
        <v>3.603603603603589E-2</v>
      </c>
      <c r="M35" s="32">
        <f>IFERROR(SUMIFS('Clean Data'!$K:$K,'Clean Data'!$A:$A,"Rural+Urban",'Clean Data'!$B:$B,B35,'Clean Data'!$C:$C,C35)/SUMIFS('Clean Data'!$K:$K,'Clean Data'!$A:$A,"Rural+Urban",'Clean Data'!$B:$B,YEAR(EDATE(A35,-1)),'Clean Data'!$C:$C,TEXT(EDATE(A35,-1),"mmmm"))-1,"")</f>
        <v>1.2687427912341231E-2</v>
      </c>
      <c r="N35" s="32">
        <f>IFERROR(SUMIFS('Clean Data'!$L:$L,'Clean Data'!$A:$A,"Rural+Urban",'Clean Data'!$B:$B,B35,'Clean Data'!$C:$C,C35)/SUMIFS('Clean Data'!$L:$L,'Clean Data'!$A:$A,"Rural+Urban",'Clean Data'!$B:$B,YEAR(EDATE(A35,-1)),'Clean Data'!$C:$C,TEXT(EDATE(A35,-1),"mmmm"))-1,"")</f>
        <v>1.154163231657046E-2</v>
      </c>
      <c r="O35" s="32">
        <f>IFERROR(SUMIFS('Clean Data'!$M:$M,'Clean Data'!$A:$A,"Rural+Urban",'Clean Data'!$B:$B,B35,'Clean Data'!$C:$C,C35)/SUMIFS('Clean Data'!$M:$M,'Clean Data'!$A:$A,"Rural+Urban",'Clean Data'!$B:$B,YEAR(EDATE(A35,-1)),'Clean Data'!$C:$C,TEXT(EDATE(A35,-1),"mmmm"))-1,"")</f>
        <v>2.395490840770309E-2</v>
      </c>
      <c r="P35" s="32">
        <f>IFERROR(SUMIFS('Clean Data'!$N:$N,'Clean Data'!$A:$A,"Rural+Urban",'Clean Data'!$B:$B,B35,'Clean Data'!$C:$C,C35)/SUMIFS('Clean Data'!$N:$N,'Clean Data'!$A:$A,"Rural+Urban",'Clean Data'!$B:$B,YEAR(EDATE(A35,-1)),'Clean Data'!$C:$C,TEXT(EDATE(A35,-1),"mmmm"))-1,"")</f>
        <v>2.8918449971082616E-3</v>
      </c>
      <c r="Q35" s="32">
        <f>IFERROR(SUMIFS('Clean Data'!$O:$O,'Clean Data'!$A:$A,"Rural+Urban",'Clean Data'!$B:$B,B35,'Clean Data'!$C:$C,C35)/SUMIFS('Clean Data'!$O:$O,'Clean Data'!$A:$A,"Rural+Urban",'Clean Data'!$B:$B,YEAR(EDATE(A35,-1)),'Clean Data'!$C:$C,TEXT(EDATE(A35,-1),"mmmm"))-1,"")</f>
        <v>3.6175710594315014E-3</v>
      </c>
      <c r="R35" s="32">
        <f>IFERROR(SUMIFS('Clean Data'!$P:$P,'Clean Data'!$A:$A,"Rural+Urban",'Clean Data'!$B:$B,B35,'Clean Data'!$C:$C,C35)/SUMIFS('Clean Data'!$P:$P,'Clean Data'!$A:$A,"Rural+Urban",'Clean Data'!$B:$B,YEAR(EDATE(A35,-1)),'Clean Data'!$C:$C,TEXT(EDATE(A35,-1),"mmmm"))-1,"")</f>
        <v>6.7453625632376557E-3</v>
      </c>
      <c r="S35" s="32">
        <f>IFERROR(SUMIFS('Clean Data'!$Q:$Q,'Clean Data'!$A:$A,"Rural+Urban",'Clean Data'!$B:$B,B35,'Clean Data'!$C:$C,C35)/SUMIFS('Clean Data'!$Q:$Q,'Clean Data'!$A:$A,"Rural+Urban",'Clean Data'!$B:$B,YEAR(EDATE(A35,-1)),'Clean Data'!$C:$C,TEXT(EDATE(A35,-1),"mmmm"))-1,"")</f>
        <v>1.9940179461614971E-3</v>
      </c>
      <c r="T35" s="32">
        <f>IFERROR(SUMIFS('Clean Data'!$R:$R,'Clean Data'!$A:$A,"Rural+Urban",'Clean Data'!$B:$B,B35,'Clean Data'!$C:$C,C35)/SUMIFS('Clean Data'!$R:$R,'Clean Data'!$A:$A,"Rural+Urban",'Clean Data'!$B:$B,YEAR(EDATE(A35,-1)),'Clean Data'!$C:$C,TEXT(EDATE(A35,-1),"mmmm"))-1,"")</f>
        <v>2.1401819154629464E-3</v>
      </c>
      <c r="U35" s="32">
        <f>IFERROR(SUMIFS('Clean Data'!$S:$S,'Clean Data'!$A:$A,"Rural+Urban",'Clean Data'!$B:$B,B35,'Clean Data'!$C:$C,C35)/SUMIFS('Clean Data'!$S:$S,'Clean Data'!$A:$A,"Rural+Urban",'Clean Data'!$B:$B,YEAR(EDATE(A35,-1)),'Clean Data'!$C:$C,TEXT(EDATE(A35,-1),"mmmm"))-1,"")</f>
        <v>2.7901785714286031E-3</v>
      </c>
      <c r="V35" s="32">
        <f>IFERROR(SUMIFS('Clean Data'!$T:$T,'Clean Data'!$A:$A,"Rural+Urban",'Clean Data'!$B:$B,B35,'Clean Data'!$C:$C,C35)/SUMIFS('Clean Data'!$T:$T,'Clean Data'!$A:$A,"Rural+Urban",'Clean Data'!$B:$B,YEAR(EDATE(A35,-1)),'Clean Data'!$C:$C,TEXT(EDATE(A35,-1),"mmmm"))-1,"")</f>
        <v>2.692514808831481E-3</v>
      </c>
      <c r="W35" s="32">
        <f>IFERROR(SUMIFS('Clean Data'!$U:$U,'Clean Data'!$A:$A,"Rural+Urban",'Clean Data'!$B:$B,B35,'Clean Data'!$C:$C,C35)/SUMIFS('Clean Data'!$U:$U,'Clean Data'!$A:$A,"Rural+Urban",'Clean Data'!$B:$B,YEAR(EDATE(A35,-1)),'Clean Data'!$C:$C,TEXT(EDATE(A35,-1),"mmmm"))-1,"")</f>
        <v>2.2831050228311334E-3</v>
      </c>
      <c r="X35" s="32">
        <f>IFERROR(SUMIFS('Clean Data'!$V:$V,'Clean Data'!$A:$A,"Rural+Urban",'Clean Data'!$B:$B,B35,'Clean Data'!$C:$C,C35)/SUMIFS('Clean Data'!$V:$V,'Clean Data'!$A:$A,"Rural+Urban",'Clean Data'!$B:$B,YEAR(EDATE(A35,-1)),'Clean Data'!$C:$C,TEXT(EDATE(A35,-1),"mmmm"))-1,"")</f>
        <v>6.0539350577877293E-3</v>
      </c>
      <c r="Y35" s="32">
        <f>IFERROR(SUMIFS('Clean Data'!$W:$W,'Clean Data'!$A:$A,"Rural+Urban",'Clean Data'!$B:$B,B35,'Clean Data'!$C:$C,C35)/SUMIFS('Clean Data'!$W:$W,'Clean Data'!$A:$A,"Rural+Urban",'Clean Data'!$B:$B,YEAR(EDATE(A35,-1)),'Clean Data'!$C:$C,TEXT(EDATE(A35,-1),"mmmm"))-1,"")</f>
        <v>3.4364261168384758E-3</v>
      </c>
      <c r="Z35" s="32">
        <f>IFERROR(SUMIFS('Clean Data'!$X:$X,'Clean Data'!$A:$A,"Rural+Urban",'Clean Data'!$B:$B,B35,'Clean Data'!$C:$C,C35)/SUMIFS('Clean Data'!$X:$X,'Clean Data'!$A:$A,"Rural+Urban",'Clean Data'!$B:$B,YEAR(EDATE(A35,-1)),'Clean Data'!$C:$C,TEXT(EDATE(A35,-1),"mmmm"))-1,"")</f>
        <v>3.7837837837837451E-3</v>
      </c>
      <c r="AA35" s="32">
        <f>IFERROR(SUMIFS('Clean Data'!$Y:$Y,'Clean Data'!$A:$A,"Rural+Urban",'Clean Data'!$B:$B,B35,'Clean Data'!$C:$C,C35)/SUMIFS('Clean Data'!$Y:$Y,'Clean Data'!$A:$A,"Rural+Urban",'Clean Data'!$B:$B,YEAR(EDATE(A35,-1)),'Clean Data'!$C:$C,TEXT(EDATE(A35,-1),"mmmm"))-1,"")</f>
        <v>1.8237082066869803E-3</v>
      </c>
      <c r="AB35" s="32">
        <f>IFERROR(SUMIFS('Clean Data'!$Z:$Z,'Clean Data'!$A:$A,"Rural+Urban",'Clean Data'!$B:$B,B35,'Clean Data'!$C:$C,C35)/SUMIFS('Clean Data'!$Z:$Z,'Clean Data'!$A:$A,"Rural+Urban",'Clean Data'!$B:$B,YEAR(EDATE(A35,-1)),'Clean Data'!$C:$C,TEXT(EDATE(A35,-1),"mmmm"))-1,"")</f>
        <v>2.9291154071471315E-3</v>
      </c>
      <c r="AC35" s="32">
        <f>IFERROR(SUMIFS('Clean Data'!$AA:$AA,'Clean Data'!$A:$A,"Rural+Urban",'Clean Data'!$B:$B,B35,'Clean Data'!$C:$C,C35)/SUMIFS('Clean Data'!$AA:$AA,'Clean Data'!$A:$A,"Rural+Urban",'Clean Data'!$B:$B,YEAR(EDATE(A35,-1)),'Clean Data'!$C:$C,TEXT(EDATE(A35,-1),"mmmm"))-1,"")</f>
        <v>3.9682539682539542E-3</v>
      </c>
      <c r="AD35" s="32">
        <f>IFERROR(SUMIFS('Clean Data'!$AB:$AB,'Clean Data'!$A:$A,"Rural+Urban",'Clean Data'!$B:$B,B35,'Clean Data'!$C:$C,C35)/SUMIFS('Clean Data'!$AB:$AB,'Clean Data'!$A:$A,"Rural+Urban",'Clean Data'!$B:$B,YEAR(EDATE(A35,-1)),'Clean Data'!$C:$C,TEXT(EDATE(A35,-1),"mmmm"))-1,"")</f>
        <v>6.5217391304346339E-3</v>
      </c>
      <c r="AE35" s="32">
        <f>IFERROR(SUMIFS('Clean Data'!$AC:$AC,'Clean Data'!$A:$A,"Rural+Urban",'Clean Data'!$B:$B,B35,'Clean Data'!$C:$C,C35)/SUMIFS('Clean Data'!$AC:$AC,'Clean Data'!$A:$A,"Rural+Urban",'Clean Data'!$B:$B,YEAR(EDATE(A35,-1)),'Clean Data'!$C:$C,TEXT(EDATE(A35,-1),"mmmm"))-1,"")</f>
        <v>4.0000000000000036E-3</v>
      </c>
      <c r="AF35" s="32">
        <f>IFERROR(SUMIFS('Clean Data'!$AD:$AD,'Clean Data'!$A:$A,"Rural+Urban",'Clean Data'!$B:$B,B35,'Clean Data'!$C:$C,C35)/SUMIFS('Clean Data'!$AD:$AD,'Clean Data'!$A:$A,"Rural+Urban",'Clean Data'!$B:$B,YEAR(EDATE(A35,-1)),'Clean Data'!$C:$C,TEXT(EDATE(A35,-1),"mmmm"))-1,"")</f>
        <v>5.6148231330712672E-3</v>
      </c>
    </row>
    <row r="36" spans="1:32" ht="15" customHeight="1" x14ac:dyDescent="0.2">
      <c r="A36" s="51"/>
      <c r="B36" s="17"/>
      <c r="C36" s="17"/>
      <c r="D36" s="31"/>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row>
    <row r="37" spans="1:32" ht="15" customHeight="1" x14ac:dyDescent="0.2">
      <c r="A37" s="51"/>
      <c r="B37" s="17"/>
      <c r="C37" s="17"/>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row>
    <row r="38" spans="1:32" ht="15" customHeight="1" x14ac:dyDescent="0.2">
      <c r="A38" s="51"/>
      <c r="B38" s="17"/>
      <c r="C38" s="17"/>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row>
    <row r="39" spans="1:32" ht="15" customHeight="1" x14ac:dyDescent="0.2">
      <c r="A39" s="44" t="s">
        <v>632</v>
      </c>
      <c r="B39" s="17"/>
      <c r="C39" s="17"/>
      <c r="D39" s="31"/>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row>
    <row r="40" spans="1:32" ht="15" customHeight="1" x14ac:dyDescent="0.2">
      <c r="A40" s="44" t="s">
        <v>633</v>
      </c>
      <c r="B40" s="30" t="s">
        <v>634</v>
      </c>
      <c r="C40" s="30" t="s">
        <v>635</v>
      </c>
      <c r="D40" s="12" t="s">
        <v>324</v>
      </c>
      <c r="E40" s="25" t="s">
        <v>325</v>
      </c>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row>
    <row r="41" spans="1:32" ht="15" customHeight="1" x14ac:dyDescent="0.2">
      <c r="A41" s="44" t="s">
        <v>57</v>
      </c>
      <c r="B41" s="52">
        <f>IFERROR(CORREL($E$7:$E$35,F$7:F$35),"")</f>
        <v>-0.27564447109580803</v>
      </c>
      <c r="C41" s="52">
        <f t="shared" ref="C41:C67" si="1">ABS(B41)</f>
        <v>0.27564447109580803</v>
      </c>
      <c r="D41" s="12">
        <f t="shared" ref="D41:D67" si="2">RANK(C41,$C$41:$C$67,0)</f>
        <v>4</v>
      </c>
      <c r="E41" s="32" t="str">
        <f t="shared" ref="E41:E67" si="3">IF(B41&gt;=0.7,"Strong positive",IF(B41&gt;=0.4,"Moderate positive",IF(B41&lt;=-0.7,"Strong negative",IF(B41&lt;=-0.4,"Moderate negative","Weak / limited"))))</f>
        <v>Weak / limited</v>
      </c>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row>
    <row r="42" spans="1:32" ht="15" customHeight="1" x14ac:dyDescent="0.2">
      <c r="A42" s="44" t="s">
        <v>58</v>
      </c>
      <c r="B42" s="52">
        <f>IFERROR(CORREL($E$7:$E$35,G$7:G$35),"")</f>
        <v>0.37444142596588592</v>
      </c>
      <c r="C42" s="52">
        <f t="shared" si="1"/>
        <v>0.37444142596588592</v>
      </c>
      <c r="D42" s="12">
        <f t="shared" si="2"/>
        <v>2</v>
      </c>
      <c r="E42" s="32" t="str">
        <f t="shared" si="3"/>
        <v>Weak / limited</v>
      </c>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row>
    <row r="43" spans="1:32" ht="15" customHeight="1" x14ac:dyDescent="0.2">
      <c r="A43" s="44" t="s">
        <v>59</v>
      </c>
      <c r="B43" s="52">
        <f>IFERROR(CORREL($E$7:$E$35,H$7:H$35),"")</f>
        <v>-0.23600106159932455</v>
      </c>
      <c r="C43" s="52">
        <f t="shared" si="1"/>
        <v>0.23600106159932455</v>
      </c>
      <c r="D43" s="12">
        <f t="shared" si="2"/>
        <v>6</v>
      </c>
      <c r="E43" s="32" t="str">
        <f t="shared" si="3"/>
        <v>Weak / limited</v>
      </c>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row>
    <row r="44" spans="1:32" ht="15" customHeight="1" x14ac:dyDescent="0.2">
      <c r="A44" s="44" t="s">
        <v>60</v>
      </c>
      <c r="B44" s="52">
        <f>IFERROR(CORREL($E$7:$E$35,I$7:I$35),"")</f>
        <v>-0.28947312835268108</v>
      </c>
      <c r="C44" s="52">
        <f t="shared" si="1"/>
        <v>0.28947312835268108</v>
      </c>
      <c r="D44" s="12">
        <f t="shared" si="2"/>
        <v>3</v>
      </c>
      <c r="E44" s="32" t="str">
        <f t="shared" si="3"/>
        <v>Weak / limited</v>
      </c>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row>
    <row r="45" spans="1:32" ht="15" customHeight="1" x14ac:dyDescent="0.2">
      <c r="A45" s="44" t="s">
        <v>61</v>
      </c>
      <c r="B45" s="52">
        <f>IFERROR(CORREL($E$7:$E$35,J$7:J$35),"")</f>
        <v>0.40446502986259125</v>
      </c>
      <c r="C45" s="52">
        <f t="shared" si="1"/>
        <v>0.40446502986259125</v>
      </c>
      <c r="D45" s="12">
        <f t="shared" si="2"/>
        <v>1</v>
      </c>
      <c r="E45" s="32" t="str">
        <f>IF(B45&gt;=0.7,"Strong positive",IF(B45&gt;=0.4,"Moderate positive",IF(B45&lt;=-0.7,"Strong negative",IF(B45&lt;=-0.4,"Moderate negative","Weak / limited"))))</f>
        <v>Moderate positive</v>
      </c>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row>
    <row r="46" spans="1:32" ht="15" customHeight="1" x14ac:dyDescent="0.2">
      <c r="A46" s="44" t="s">
        <v>62</v>
      </c>
      <c r="B46" s="52">
        <f>IFERROR(CORREL($E$7:$E$35,K$7:K$35),"")</f>
        <v>7.1220063174729661E-2</v>
      </c>
      <c r="C46" s="52">
        <f t="shared" si="1"/>
        <v>7.1220063174729661E-2</v>
      </c>
      <c r="D46" s="12">
        <f t="shared" si="2"/>
        <v>21</v>
      </c>
      <c r="E46" s="32" t="str">
        <f t="shared" si="3"/>
        <v>Weak / limited</v>
      </c>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row>
    <row r="47" spans="1:32" ht="15" customHeight="1" x14ac:dyDescent="0.2">
      <c r="A47" s="44" t="s">
        <v>63</v>
      </c>
      <c r="B47" s="52">
        <f>IFERROR(CORREL($E$7:$E$35,L$7:L$35),"")</f>
        <v>-4.6716113528465157E-2</v>
      </c>
      <c r="C47" s="52">
        <f t="shared" si="1"/>
        <v>4.6716113528465157E-2</v>
      </c>
      <c r="D47" s="12">
        <f t="shared" si="2"/>
        <v>23</v>
      </c>
      <c r="E47" s="32" t="str">
        <f t="shared" si="3"/>
        <v>Weak / limited</v>
      </c>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row>
    <row r="48" spans="1:32" ht="15" customHeight="1" x14ac:dyDescent="0.2">
      <c r="A48" s="44" t="s">
        <v>64</v>
      </c>
      <c r="B48" s="52">
        <f>IFERROR(CORREL($E$7:$E$35,M$7:M$35),"")</f>
        <v>-0.21348975947516916</v>
      </c>
      <c r="C48" s="52">
        <f t="shared" si="1"/>
        <v>0.21348975947516916</v>
      </c>
      <c r="D48" s="12">
        <f t="shared" si="2"/>
        <v>7</v>
      </c>
      <c r="E48" s="32" t="str">
        <f t="shared" si="3"/>
        <v>Weak / limited</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row>
    <row r="49" spans="1:32" ht="15" customHeight="1" x14ac:dyDescent="0.2">
      <c r="A49" s="44" t="s">
        <v>65</v>
      </c>
      <c r="B49" s="52">
        <f>IFERROR(CORREL($E$7:$E$35,N$7:N$35),"")</f>
        <v>-0.21333214242606643</v>
      </c>
      <c r="C49" s="52">
        <f t="shared" si="1"/>
        <v>0.21333214242606643</v>
      </c>
      <c r="D49" s="12">
        <f t="shared" si="2"/>
        <v>8</v>
      </c>
      <c r="E49" s="32" t="str">
        <f t="shared" si="3"/>
        <v>Weak / limited</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row>
    <row r="50" spans="1:32" ht="15" customHeight="1" x14ac:dyDescent="0.2">
      <c r="A50" s="44" t="s">
        <v>66</v>
      </c>
      <c r="B50" s="52">
        <f>IFERROR(CORREL($E$7:$E$35,O$7:O$35),"")</f>
        <v>-0.18669717007768752</v>
      </c>
      <c r="C50" s="52">
        <f t="shared" si="1"/>
        <v>0.18669717007768752</v>
      </c>
      <c r="D50" s="12">
        <f t="shared" si="2"/>
        <v>9</v>
      </c>
      <c r="E50" s="32" t="str">
        <f t="shared" si="3"/>
        <v>Weak / limited</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row>
    <row r="51" spans="1:32" ht="15" customHeight="1" x14ac:dyDescent="0.2">
      <c r="A51" s="44" t="s">
        <v>67</v>
      </c>
      <c r="B51" s="52">
        <f>IFERROR(CORREL($E$7:$E$35,P$7:P$35),"")</f>
        <v>0.23659931931689476</v>
      </c>
      <c r="C51" s="52">
        <f t="shared" si="1"/>
        <v>0.23659931931689476</v>
      </c>
      <c r="D51" s="12">
        <f t="shared" si="2"/>
        <v>5</v>
      </c>
      <c r="E51" s="32" t="str">
        <f t="shared" si="3"/>
        <v>Weak / limited</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row>
    <row r="52" spans="1:32" ht="15" customHeight="1" x14ac:dyDescent="0.2">
      <c r="A52" s="44" t="s">
        <v>68</v>
      </c>
      <c r="B52" s="52">
        <f>IFERROR(CORREL($E$7:$E$35,Q$7:Q$35),"")</f>
        <v>8.9409964756316462E-2</v>
      </c>
      <c r="C52" s="52">
        <f t="shared" si="1"/>
        <v>8.9409964756316462E-2</v>
      </c>
      <c r="D52" s="12">
        <f t="shared" si="2"/>
        <v>18</v>
      </c>
      <c r="E52" s="32" t="str">
        <f t="shared" si="3"/>
        <v>Weak / limited</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row>
    <row r="53" spans="1:32" ht="15" customHeight="1" x14ac:dyDescent="0.2">
      <c r="A53" s="44" t="s">
        <v>69</v>
      </c>
      <c r="B53" s="52">
        <f>IFERROR(CORREL($E$7:$E$35,R$7:R$35),"")</f>
        <v>-1.1806939645652584E-2</v>
      </c>
      <c r="C53" s="52">
        <f t="shared" si="1"/>
        <v>1.1806939645652584E-2</v>
      </c>
      <c r="D53" s="12">
        <f t="shared" si="2"/>
        <v>26</v>
      </c>
      <c r="E53" s="32" t="str">
        <f t="shared" si="3"/>
        <v>Weak / limited</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row>
    <row r="54" spans="1:32" ht="15" customHeight="1" x14ac:dyDescent="0.2">
      <c r="A54" s="44" t="s">
        <v>70</v>
      </c>
      <c r="B54" s="52">
        <f>IFERROR(CORREL($E$7:$E$35,S$7:S$35),"")</f>
        <v>0.18023981123903154</v>
      </c>
      <c r="C54" s="52">
        <f t="shared" si="1"/>
        <v>0.18023981123903154</v>
      </c>
      <c r="D54" s="12">
        <f t="shared" si="2"/>
        <v>10</v>
      </c>
      <c r="E54" s="32" t="str">
        <f t="shared" si="3"/>
        <v>Weak / limited</v>
      </c>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row>
    <row r="55" spans="1:32" ht="15" customHeight="1" x14ac:dyDescent="0.2">
      <c r="A55" s="44" t="s">
        <v>71</v>
      </c>
      <c r="B55" s="52">
        <f>IFERROR(CORREL($E$7:$E$35,T$7:T$35),"")</f>
        <v>7.724272964516575E-2</v>
      </c>
      <c r="C55" s="52">
        <f t="shared" si="1"/>
        <v>7.724272964516575E-2</v>
      </c>
      <c r="D55" s="12">
        <f t="shared" si="2"/>
        <v>20</v>
      </c>
      <c r="E55" s="32" t="str">
        <f t="shared" si="3"/>
        <v>Weak / limited</v>
      </c>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row>
    <row r="56" spans="1:32" ht="15" customHeight="1" x14ac:dyDescent="0.2">
      <c r="A56" s="44" t="s">
        <v>72</v>
      </c>
      <c r="B56" s="52">
        <f>IFERROR(CORREL($E$7:$E$35,U$7:U$35),"")</f>
        <v>0.16250696422450406</v>
      </c>
      <c r="C56" s="52">
        <f t="shared" si="1"/>
        <v>0.16250696422450406</v>
      </c>
      <c r="D56" s="12">
        <f t="shared" si="2"/>
        <v>12</v>
      </c>
      <c r="E56" s="32" t="str">
        <f t="shared" si="3"/>
        <v>Weak / limited</v>
      </c>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row>
    <row r="57" spans="1:32" ht="15" customHeight="1" x14ac:dyDescent="0.2">
      <c r="A57" s="44" t="s">
        <v>73</v>
      </c>
      <c r="B57" s="52">
        <f>IFERROR(CORREL($E$7:$E$35,V$7:V$35),"")</f>
        <v>0.10355600632039906</v>
      </c>
      <c r="C57" s="52">
        <f t="shared" si="1"/>
        <v>0.10355600632039906</v>
      </c>
      <c r="D57" s="12">
        <f t="shared" si="2"/>
        <v>16</v>
      </c>
      <c r="E57" s="32" t="str">
        <f t="shared" si="3"/>
        <v>Weak / limited</v>
      </c>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row>
    <row r="58" spans="1:32" ht="15" customHeight="1" x14ac:dyDescent="0.2">
      <c r="A58" s="44" t="s">
        <v>74</v>
      </c>
      <c r="B58" s="52">
        <f>IFERROR(CORREL($E$7:$E$35,W$7:W$35),"")</f>
        <v>6.7652047941903729E-2</v>
      </c>
      <c r="C58" s="52">
        <f t="shared" si="1"/>
        <v>6.7652047941903729E-2</v>
      </c>
      <c r="D58" s="12">
        <f t="shared" si="2"/>
        <v>22</v>
      </c>
      <c r="E58" s="32" t="str">
        <f t="shared" si="3"/>
        <v>Weak / limited</v>
      </c>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row>
    <row r="59" spans="1:32" ht="15" customHeight="1" x14ac:dyDescent="0.2">
      <c r="A59" s="44" t="s">
        <v>75</v>
      </c>
      <c r="B59" s="52">
        <f>IFERROR(CORREL($E$7:$E$35,X$7:X$35),"")</f>
        <v>0.16050341272579477</v>
      </c>
      <c r="C59" s="52">
        <f t="shared" si="1"/>
        <v>0.16050341272579477</v>
      </c>
      <c r="D59" s="12">
        <f t="shared" si="2"/>
        <v>13</v>
      </c>
      <c r="E59" s="32" t="str">
        <f t="shared" si="3"/>
        <v>Weak / limited</v>
      </c>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row>
    <row r="60" spans="1:32" ht="15" customHeight="1" x14ac:dyDescent="0.2">
      <c r="A60" s="44" t="s">
        <v>76</v>
      </c>
      <c r="B60" s="52">
        <f>IFERROR(CORREL($E$7:$E$35,Y$7:Y$35),"")</f>
        <v>-2.6634936673397818E-2</v>
      </c>
      <c r="C60" s="52">
        <f t="shared" si="1"/>
        <v>2.6634936673397818E-2</v>
      </c>
      <c r="D60" s="12">
        <f t="shared" si="2"/>
        <v>24</v>
      </c>
      <c r="E60" s="32" t="str">
        <f t="shared" si="3"/>
        <v>Weak / limited</v>
      </c>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row>
    <row r="61" spans="1:32" ht="15" customHeight="1" x14ac:dyDescent="0.2">
      <c r="A61" s="44" t="s">
        <v>77</v>
      </c>
      <c r="B61" s="52">
        <f>IFERROR(CORREL($E$7:$E$35,Z$7:Z$35),"")</f>
        <v>8.9469179812510499E-2</v>
      </c>
      <c r="C61" s="52">
        <f t="shared" si="1"/>
        <v>8.9469179812510499E-2</v>
      </c>
      <c r="D61" s="12">
        <f t="shared" si="2"/>
        <v>17</v>
      </c>
      <c r="E61" s="32" t="str">
        <f t="shared" si="3"/>
        <v>Weak / limited</v>
      </c>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row>
    <row r="62" spans="1:32" ht="15" customHeight="1" x14ac:dyDescent="0.2">
      <c r="A62" s="44" t="s">
        <v>78</v>
      </c>
      <c r="B62" s="52">
        <f>IFERROR(CORREL($E$7:$E$35,AA$7:AA$35),"")</f>
        <v>0.11791882570767789</v>
      </c>
      <c r="C62" s="52">
        <f t="shared" si="1"/>
        <v>0.11791882570767789</v>
      </c>
      <c r="D62" s="12">
        <f t="shared" si="2"/>
        <v>15</v>
      </c>
      <c r="E62" s="32" t="str">
        <f t="shared" si="3"/>
        <v>Weak / limited</v>
      </c>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row>
    <row r="63" spans="1:32" ht="15" customHeight="1" x14ac:dyDescent="0.2">
      <c r="A63" s="44" t="s">
        <v>79</v>
      </c>
      <c r="B63" s="52">
        <f>IFERROR(CORREL($E$7:$E$35,AB$7:AB$35),"")</f>
        <v>0.14949338100179688</v>
      </c>
      <c r="C63" s="52">
        <f t="shared" si="1"/>
        <v>0.14949338100179688</v>
      </c>
      <c r="D63" s="12">
        <f t="shared" si="2"/>
        <v>14</v>
      </c>
      <c r="E63" s="32" t="str">
        <f t="shared" si="3"/>
        <v>Weak / limited</v>
      </c>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row>
    <row r="64" spans="1:32" ht="15" customHeight="1" x14ac:dyDescent="0.2">
      <c r="A64" s="44" t="s">
        <v>80</v>
      </c>
      <c r="B64" s="52">
        <f>IFERROR(CORREL($E$7:$E$35,AC$7:AC$35),"")</f>
        <v>-0.16457890448361578</v>
      </c>
      <c r="C64" s="52">
        <f t="shared" si="1"/>
        <v>0.16457890448361578</v>
      </c>
      <c r="D64" s="12">
        <f t="shared" si="2"/>
        <v>11</v>
      </c>
      <c r="E64" s="32" t="str">
        <f t="shared" si="3"/>
        <v>Weak / limited</v>
      </c>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row>
    <row r="65" spans="1:32" ht="15" customHeight="1" x14ac:dyDescent="0.2">
      <c r="A65" s="44" t="s">
        <v>81</v>
      </c>
      <c r="B65" s="52">
        <f>IFERROR(CORREL($E$7:$E$35,AD$7:AD$35),"")</f>
        <v>-1.0674755867789617E-2</v>
      </c>
      <c r="C65" s="52">
        <f t="shared" si="1"/>
        <v>1.0674755867789617E-2</v>
      </c>
      <c r="D65" s="12">
        <f t="shared" si="2"/>
        <v>27</v>
      </c>
      <c r="E65" s="32" t="str">
        <f t="shared" si="3"/>
        <v>Weak / limited</v>
      </c>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row>
    <row r="66" spans="1:32" ht="15" customHeight="1" x14ac:dyDescent="0.2">
      <c r="A66" s="44" t="s">
        <v>82</v>
      </c>
      <c r="B66" s="52">
        <f>IFERROR(CORREL($E$7:$E$35,AE$7:AE$35),"")</f>
        <v>8.668815516924655E-2</v>
      </c>
      <c r="C66" s="52">
        <f t="shared" si="1"/>
        <v>8.668815516924655E-2</v>
      </c>
      <c r="D66" s="12">
        <f t="shared" si="2"/>
        <v>19</v>
      </c>
      <c r="E66" s="32" t="str">
        <f t="shared" si="3"/>
        <v>Weak / limited</v>
      </c>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row>
    <row r="67" spans="1:32" ht="15" customHeight="1" x14ac:dyDescent="0.2">
      <c r="A67" s="44" t="s">
        <v>83</v>
      </c>
      <c r="B67" s="52">
        <f>IFERROR(CORREL($E$7:$E$35,AF$7:AF$35),"")</f>
        <v>1.7225173148299883E-2</v>
      </c>
      <c r="C67" s="52">
        <f t="shared" si="1"/>
        <v>1.7225173148299883E-2</v>
      </c>
      <c r="D67" s="12">
        <f t="shared" si="2"/>
        <v>25</v>
      </c>
      <c r="E67" s="32" t="str">
        <f t="shared" si="3"/>
        <v>Weak / limited</v>
      </c>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row>
    <row r="68" spans="1:32" ht="15" customHeight="1" x14ac:dyDescent="0.2">
      <c r="A68" s="51"/>
      <c r="B68" s="17"/>
      <c r="C68" s="17"/>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row>
    <row r="69" spans="1:32" ht="15" customHeight="1" x14ac:dyDescent="0.2">
      <c r="A69" s="51"/>
      <c r="B69" s="17"/>
      <c r="C69" s="17"/>
      <c r="D69" s="31"/>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row>
    <row r="70" spans="1:32" ht="15" customHeight="1" x14ac:dyDescent="0.2">
      <c r="A70" s="44" t="s">
        <v>636</v>
      </c>
      <c r="B70" s="17"/>
      <c r="C70" s="17"/>
      <c r="D70" s="31"/>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row>
    <row r="71" spans="1:32" ht="15" customHeight="1" x14ac:dyDescent="0.2">
      <c r="A71" s="44" t="s">
        <v>637</v>
      </c>
      <c r="B71" s="17" t="str">
        <f>INDEX($A$41:$A$67,MATCH(MAX($B$41:$B$67),$B$41:$B$67,0))</f>
        <v>Oils and fats</v>
      </c>
      <c r="C71" s="17"/>
      <c r="D71" s="31"/>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row>
    <row r="72" spans="1:32" ht="15" customHeight="1" x14ac:dyDescent="0.2">
      <c r="A72" s="44" t="s">
        <v>638</v>
      </c>
      <c r="B72" s="52">
        <f>MAX($B$41:$B$67)</f>
        <v>0.40446502986259125</v>
      </c>
      <c r="C72" s="17"/>
      <c r="D72" s="31"/>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row>
    <row r="73" spans="1:32" ht="15" customHeight="1" x14ac:dyDescent="0.2">
      <c r="A73" s="44" t="s">
        <v>639</v>
      </c>
      <c r="B73" s="17" t="str">
        <f>INDEX($A$41:$A$67,MATCH(MAX($C$41:$C$67),$C$41:$C$67,0))</f>
        <v>Oils and fats</v>
      </c>
      <c r="C73" s="17"/>
      <c r="D73" s="31"/>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row>
    <row r="74" spans="1:32" ht="15" customHeight="1" x14ac:dyDescent="0.2">
      <c r="A74" s="44" t="s">
        <v>640</v>
      </c>
      <c r="B74" s="52">
        <f>MAX($C$41:$C$67)</f>
        <v>0.40446502986259125</v>
      </c>
      <c r="C74" s="17"/>
      <c r="D74" s="3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row>
    <row r="75" spans="1:32" ht="15" customHeight="1" x14ac:dyDescent="0.2">
      <c r="A75" s="51"/>
      <c r="B75" s="17"/>
      <c r="C75" s="17"/>
      <c r="D75" s="31"/>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row>
    <row r="76" spans="1:32" ht="15" customHeight="1" x14ac:dyDescent="0.2">
      <c r="A76" s="51"/>
      <c r="B76" s="17"/>
      <c r="C76" s="17"/>
      <c r="D76" s="31"/>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row>
    <row r="77" spans="1:32" ht="15" customHeight="1" x14ac:dyDescent="0.2">
      <c r="A77" s="44" t="s">
        <v>286</v>
      </c>
      <c r="B77" s="17"/>
      <c r="C77" s="17"/>
      <c r="D77" s="31"/>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row>
    <row r="78" spans="1:32" ht="41.25" customHeight="1" x14ac:dyDescent="0.2">
      <c r="A78" s="44" t="s">
        <v>641</v>
      </c>
      <c r="B78" s="17" t="s">
        <v>642</v>
      </c>
      <c r="C78" s="17"/>
      <c r="D78" s="31"/>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row>
    <row r="79" spans="1:32" ht="41.25" customHeight="1" x14ac:dyDescent="0.2">
      <c r="A79" s="44" t="s">
        <v>590</v>
      </c>
      <c r="B79" s="17" t="s">
        <v>643</v>
      </c>
      <c r="C79" s="17"/>
      <c r="D79" s="31"/>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row>
    <row r="80" spans="1:32" ht="54.75" customHeight="1" x14ac:dyDescent="0.2">
      <c r="A80" s="44" t="s">
        <v>644</v>
      </c>
      <c r="B80" s="17" t="s">
        <v>645</v>
      </c>
      <c r="C80" s="17"/>
      <c r="D80" s="3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row>
    <row r="81" spans="1:32" ht="41.25" customHeight="1" x14ac:dyDescent="0.2">
      <c r="A81" s="44" t="s">
        <v>646</v>
      </c>
      <c r="B81" s="17" t="s">
        <v>647</v>
      </c>
      <c r="C81" s="17"/>
      <c r="D81" s="31"/>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row>
    <row r="82" spans="1:32" ht="27.75" customHeight="1" x14ac:dyDescent="0.2">
      <c r="A82" s="44" t="s">
        <v>328</v>
      </c>
      <c r="B82" s="17" t="s">
        <v>648</v>
      </c>
      <c r="C82" s="17"/>
      <c r="D82" s="31"/>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row>
    <row r="83" spans="1:32" ht="27.75" customHeight="1" x14ac:dyDescent="0.2">
      <c r="A83" s="44" t="s">
        <v>330</v>
      </c>
      <c r="B83" s="17" t="s">
        <v>649</v>
      </c>
      <c r="C83" s="17"/>
      <c r="D83" s="31"/>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row>
    <row r="84" spans="1:32" ht="27.75" customHeight="1" x14ac:dyDescent="0.2">
      <c r="A84" s="44" t="s">
        <v>332</v>
      </c>
      <c r="B84" s="17" t="s">
        <v>650</v>
      </c>
      <c r="C84" s="17"/>
      <c r="D84" s="31"/>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row>
    <row r="85" spans="1:32" ht="68.25" customHeight="1" x14ac:dyDescent="0.2">
      <c r="A85" s="44" t="s">
        <v>325</v>
      </c>
      <c r="B85" s="17" t="s">
        <v>651</v>
      </c>
      <c r="C85" s="17"/>
      <c r="D85" s="31"/>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row>
  </sheetData>
  <conditionalFormatting sqref="B41:B67">
    <cfRule type="colorScale" priority="2">
      <colorScale>
        <cfvo type="num" val="-1"/>
        <cfvo type="num" val="0"/>
        <cfvo type="num" val="1"/>
        <color rgb="FFF8696B"/>
        <color rgb="FFFFEB84"/>
        <color rgb="FF63BE7B"/>
      </colorScale>
    </cfRule>
  </conditionalFormatting>
  <hyperlinks>
    <hyperlink ref="AG2" r:id="rId1" location="'Dashboard'!A1" xr:uid="{00000000-0004-0000-1700-000000000000}"/>
  </hyperlinks>
  <pageMargins left="0.75" right="0.75" top="1" bottom="1" header="0.511811023622047" footer="0.511811023622047"/>
  <pageSetup paperSize="9" fitToHeight="0"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64A2"/>
    <pageSetUpPr fitToPage="1"/>
  </sheetPr>
  <dimension ref="A1:H23"/>
  <sheetViews>
    <sheetView showGridLines="0" zoomScale="90" zoomScaleNormal="90" workbookViewId="0">
      <pane ySplit="4" topLeftCell="A5" activePane="bottomLeft" state="frozen"/>
      <selection pane="bottomLeft"/>
    </sheetView>
  </sheetViews>
  <sheetFormatPr defaultColWidth="8.7109375" defaultRowHeight="15" customHeight="1" x14ac:dyDescent="0.2"/>
  <cols>
    <col min="1" max="7" width="42" customWidth="1"/>
    <col min="8" max="8" width="10" customWidth="1"/>
  </cols>
  <sheetData>
    <row r="1" spans="1:8" ht="24" customHeight="1" x14ac:dyDescent="0.2">
      <c r="A1" s="14" t="s">
        <v>652</v>
      </c>
      <c r="B1" s="49"/>
      <c r="C1" s="49"/>
      <c r="D1" s="49"/>
      <c r="E1" s="49"/>
      <c r="F1" s="49"/>
      <c r="G1" s="49"/>
    </row>
    <row r="2" spans="1:8" ht="41.25" customHeight="1" x14ac:dyDescent="0.2">
      <c r="A2" s="17" t="s">
        <v>653</v>
      </c>
      <c r="B2" s="17"/>
      <c r="C2" s="17"/>
      <c r="D2" s="17"/>
      <c r="E2" s="17"/>
      <c r="F2" s="17"/>
      <c r="G2" s="17"/>
      <c r="H2" s="10" t="s">
        <v>86</v>
      </c>
    </row>
    <row r="3" spans="1:8" ht="15" customHeight="1" x14ac:dyDescent="0.2">
      <c r="A3" s="17"/>
      <c r="B3" s="17"/>
      <c r="C3" s="17"/>
      <c r="D3" s="17"/>
      <c r="E3" s="17"/>
      <c r="F3" s="17"/>
      <c r="G3" s="17"/>
    </row>
    <row r="4" spans="1:8" ht="27.75" customHeight="1" x14ac:dyDescent="0.2">
      <c r="A4" s="50" t="s">
        <v>55</v>
      </c>
      <c r="B4" s="50" t="s">
        <v>654</v>
      </c>
      <c r="C4" s="50" t="s">
        <v>655</v>
      </c>
      <c r="D4" s="50" t="s">
        <v>656</v>
      </c>
      <c r="E4" s="50" t="s">
        <v>657</v>
      </c>
      <c r="F4" s="50" t="s">
        <v>658</v>
      </c>
      <c r="G4" s="50" t="s">
        <v>659</v>
      </c>
    </row>
    <row r="5" spans="1:8" ht="15" customHeight="1" x14ac:dyDescent="0.2">
      <c r="A5" s="50">
        <v>2021</v>
      </c>
      <c r="B5" s="53">
        <f>AVERAGEIFS('Q5 Oil Data'!$D:$D,'Q5 Oil Data'!$B:$B,A5)</f>
        <v>69.632500000000007</v>
      </c>
      <c r="C5" s="54">
        <f>AVERAGEIFS('Q5 Oil Data'!$E:$E,'Q5 Oil Data'!$B:$B,A5)</f>
        <v>3.4748402691326001E-2</v>
      </c>
      <c r="D5" s="54">
        <f>AVERAGEIFS('Q5 Calculation'!$AF:$AF,'Q5 Calculation'!$B:$B,A5)</f>
        <v>3.7762193720294046E-3</v>
      </c>
      <c r="E5" s="54">
        <f>AVERAGEIFS('Q5 Calculation'!$R:$R,'Q5 Calculation'!$B:$B,A5)</f>
        <v>1.5102723292632254E-3</v>
      </c>
      <c r="F5" s="54">
        <f>AVERAGEIFS('Q5 Calculation'!$X:$X,'Q5 Calculation'!$B:$B,A5)</f>
        <v>1.065428885223843E-2</v>
      </c>
      <c r="G5" s="54">
        <f>AVERAGEIFS('Q5 Calculation'!$AA:$AA,'Q5 Calculation'!$B:$B,A5)</f>
        <v>8.5042659983850331E-3</v>
      </c>
    </row>
    <row r="6" spans="1:8" ht="15" customHeight="1" x14ac:dyDescent="0.2">
      <c r="A6" s="30">
        <v>2022</v>
      </c>
      <c r="B6" s="31">
        <f>AVERAGEIFS('Q5 Oil Data'!$D:$D,'Q5 Oil Data'!$B:$B,A6)</f>
        <v>97.587499999999991</v>
      </c>
      <c r="C6" s="32">
        <f>AVERAGEIFS('Q5 Oil Data'!$E:$E,'Q5 Oil Data'!$B:$B,A6)</f>
        <v>1.0233810243387162E-2</v>
      </c>
      <c r="D6" s="32">
        <f>AVERAGEIFS('Q5 Calculation'!$AF:$AF,'Q5 Calculation'!$B:$B,A6)</f>
        <v>4.656828417955089E-3</v>
      </c>
      <c r="E6" s="32">
        <f>AVERAGEIFS('Q5 Calculation'!$R:$R,'Q5 Calculation'!$B:$B,A6)</f>
        <v>3.7823701730395156E-3</v>
      </c>
      <c r="F6" s="32">
        <f>AVERAGEIFS('Q5 Calculation'!$X:$X,'Q5 Calculation'!$B:$B,A6)</f>
        <v>8.7030304023698792E-3</v>
      </c>
      <c r="G6" s="32">
        <f>AVERAGEIFS('Q5 Calculation'!$AA:$AA,'Q5 Calculation'!$B:$B,A6)</f>
        <v>4.0693515060862733E-3</v>
      </c>
    </row>
    <row r="7" spans="1:8" ht="15" customHeight="1" x14ac:dyDescent="0.2">
      <c r="A7" s="30">
        <v>2023</v>
      </c>
      <c r="B7" s="31">
        <f>AVERAGEIFS('Q5 Oil Data'!$D:$D,'Q5 Oil Data'!$B:$B,A7)</f>
        <v>82.225833333333341</v>
      </c>
      <c r="C7" s="32">
        <f>AVERAGEIFS('Q5 Oil Data'!$E:$E,'Q5 Oil Data'!$B:$B,A7)</f>
        <v>1.3206871801670166E-3</v>
      </c>
      <c r="D7" s="32">
        <f>AVERAGEIFS('Q5 Calculation'!$AF:$AF,'Q5 Calculation'!$B:$B,A7)</f>
        <v>3.8426102558793752E-3</v>
      </c>
      <c r="E7" s="32">
        <f>AVERAGEIFS('Q5 Calculation'!$R:$R,'Q5 Calculation'!$B:$B,A7)</f>
        <v>3.6151879707096322E-3</v>
      </c>
      <c r="F7" s="32">
        <f>AVERAGEIFS('Q5 Calculation'!$X:$X,'Q5 Calculation'!$B:$B,A7)</f>
        <v>8.8111654918567874E-4</v>
      </c>
      <c r="G7" s="32">
        <f>AVERAGEIFS('Q5 Calculation'!$AA:$AA,'Q5 Calculation'!$B:$B,A7)</f>
        <v>1.7084440544482327E-3</v>
      </c>
    </row>
    <row r="8" spans="1:8" ht="15" customHeight="1" x14ac:dyDescent="0.2">
      <c r="A8" s="17"/>
      <c r="B8" s="17"/>
      <c r="C8" s="17"/>
      <c r="D8" s="17"/>
      <c r="E8" s="17"/>
      <c r="F8" s="17"/>
      <c r="G8" s="17"/>
    </row>
    <row r="9" spans="1:8" ht="15" customHeight="1" x14ac:dyDescent="0.2">
      <c r="A9" s="17"/>
      <c r="B9" s="17"/>
      <c r="C9" s="17"/>
      <c r="D9" s="17"/>
      <c r="E9" s="17"/>
      <c r="F9" s="17"/>
      <c r="G9" s="17"/>
    </row>
    <row r="10" spans="1:8" ht="15" customHeight="1" x14ac:dyDescent="0.2">
      <c r="A10" s="30" t="s">
        <v>660</v>
      </c>
      <c r="B10" s="17"/>
      <c r="C10" s="17"/>
      <c r="D10" s="17"/>
      <c r="E10" s="17"/>
      <c r="F10" s="17"/>
      <c r="G10" s="17"/>
    </row>
    <row r="11" spans="1:8" ht="15" customHeight="1" x14ac:dyDescent="0.2">
      <c r="A11" s="30" t="s">
        <v>324</v>
      </c>
      <c r="B11" s="30" t="s">
        <v>489</v>
      </c>
      <c r="C11" s="30" t="s">
        <v>661</v>
      </c>
      <c r="D11" s="30" t="s">
        <v>635</v>
      </c>
      <c r="E11" s="17"/>
      <c r="F11" s="17"/>
      <c r="G11" s="17"/>
    </row>
    <row r="12" spans="1:8" ht="15" customHeight="1" x14ac:dyDescent="0.2">
      <c r="A12" s="30">
        <v>1</v>
      </c>
      <c r="B12" s="17" t="str">
        <f>INDEX('Q5 Calculation'!$A$41:$A$67,MATCH(LARGE('Q5 Calculation'!$C$41:$C$67,1),'Q5 Calculation'!$C$41:$C$67,0))</f>
        <v>Oils and fats</v>
      </c>
      <c r="C12" s="55">
        <f>INDEX('Q5 Calculation'!$B$41:$B$67,MATCH(LARGE('Q5 Calculation'!$C$41:$C$67,1),'Q5 Calculation'!$C$41:$C$67,0))</f>
        <v>0.40446502986259125</v>
      </c>
      <c r="D12" s="52">
        <f t="shared" ref="D12:D21" si="0">ABS(C12)</f>
        <v>0.40446502986259125</v>
      </c>
      <c r="E12" s="17"/>
      <c r="F12" s="17"/>
      <c r="G12" s="17"/>
    </row>
    <row r="13" spans="1:8" ht="15" customHeight="1" x14ac:dyDescent="0.2">
      <c r="A13" s="30">
        <v>2</v>
      </c>
      <c r="B13" s="17" t="str">
        <f>INDEX('Q5 Calculation'!$A$41:$A$67,MATCH(LARGE('Q5 Calculation'!$C$41:$C$67,2),'Q5 Calculation'!$C$41:$C$67,0))</f>
        <v>Meat and fish</v>
      </c>
      <c r="C13" s="55">
        <f>INDEX('Q5 Calculation'!$B$41:$B$67,MATCH(LARGE('Q5 Calculation'!$C$41:$C$67,2),'Q5 Calculation'!$C$41:$C$67,0))</f>
        <v>0.37444142596588592</v>
      </c>
      <c r="D13" s="52">
        <f t="shared" si="0"/>
        <v>0.37444142596588592</v>
      </c>
      <c r="E13" s="17"/>
      <c r="F13" s="17"/>
      <c r="G13" s="17"/>
    </row>
    <row r="14" spans="1:8" ht="15" customHeight="1" x14ac:dyDescent="0.2">
      <c r="A14" s="30">
        <v>3</v>
      </c>
      <c r="B14" s="17" t="str">
        <f>INDEX('Q5 Calculation'!$A$41:$A$67,MATCH(LARGE('Q5 Calculation'!$C$41:$C$67,3),'Q5 Calculation'!$C$41:$C$67,0))</f>
        <v>Milk and products</v>
      </c>
      <c r="C14" s="55">
        <f>INDEX('Q5 Calculation'!$B$41:$B$67,MATCH(LARGE('Q5 Calculation'!$C$41:$C$67,3),'Q5 Calculation'!$C$41:$C$67,0))</f>
        <v>-0.28947312835268108</v>
      </c>
      <c r="D14" s="52">
        <f t="shared" si="0"/>
        <v>0.28947312835268108</v>
      </c>
      <c r="E14" s="17"/>
      <c r="F14" s="17"/>
      <c r="G14" s="17"/>
    </row>
    <row r="15" spans="1:8" ht="15" customHeight="1" x14ac:dyDescent="0.2">
      <c r="A15" s="30">
        <v>4</v>
      </c>
      <c r="B15" s="17" t="str">
        <f>INDEX('Q5 Calculation'!$A$41:$A$67,MATCH(LARGE('Q5 Calculation'!$C$41:$C$67,4),'Q5 Calculation'!$C$41:$C$67,0))</f>
        <v>Cereals and products</v>
      </c>
      <c r="C15" s="55">
        <f>INDEX('Q5 Calculation'!$B$41:$B$67,MATCH(LARGE('Q5 Calculation'!$C$41:$C$67,4),'Q5 Calculation'!$C$41:$C$67,0))</f>
        <v>-0.27564447109580803</v>
      </c>
      <c r="D15" s="52">
        <f t="shared" si="0"/>
        <v>0.27564447109580803</v>
      </c>
      <c r="E15" s="17"/>
      <c r="F15" s="17"/>
      <c r="G15" s="17"/>
    </row>
    <row r="16" spans="1:8" ht="15" customHeight="1" x14ac:dyDescent="0.2">
      <c r="A16" s="30">
        <v>5</v>
      </c>
      <c r="B16" s="17" t="str">
        <f>INDEX('Q5 Calculation'!$A$41:$A$67,MATCH(LARGE('Q5 Calculation'!$C$41:$C$67,5),'Q5 Calculation'!$C$41:$C$67,0))</f>
        <v>Non-alcoholic beverages</v>
      </c>
      <c r="C16" s="55">
        <f>INDEX('Q5 Calculation'!$B$41:$B$67,MATCH(LARGE('Q5 Calculation'!$C$41:$C$67,5),'Q5 Calculation'!$C$41:$C$67,0))</f>
        <v>0.23659931931689476</v>
      </c>
      <c r="D16" s="52">
        <f t="shared" si="0"/>
        <v>0.23659931931689476</v>
      </c>
      <c r="E16" s="17"/>
      <c r="F16" s="17"/>
      <c r="G16" s="17"/>
    </row>
    <row r="17" spans="1:7" ht="15" customHeight="1" x14ac:dyDescent="0.2">
      <c r="A17" s="30">
        <v>6</v>
      </c>
      <c r="B17" s="17" t="str">
        <f>INDEX('Q5 Calculation'!$A$41:$A$67,MATCH(LARGE('Q5 Calculation'!$C$41:$C$67,6),'Q5 Calculation'!$C$41:$C$67,0))</f>
        <v>Egg</v>
      </c>
      <c r="C17" s="55">
        <f>INDEX('Q5 Calculation'!$B$41:$B$67,MATCH(LARGE('Q5 Calculation'!$C$41:$C$67,6),'Q5 Calculation'!$C$41:$C$67,0))</f>
        <v>-0.23600106159932455</v>
      </c>
      <c r="D17" s="52">
        <f t="shared" si="0"/>
        <v>0.23600106159932455</v>
      </c>
      <c r="E17" s="17"/>
      <c r="F17" s="17"/>
      <c r="G17" s="17"/>
    </row>
    <row r="18" spans="1:7" ht="15" customHeight="1" x14ac:dyDescent="0.2">
      <c r="A18" s="30">
        <v>7</v>
      </c>
      <c r="B18" s="17" t="str">
        <f>INDEX('Q5 Calculation'!$A$41:$A$67,MATCH(LARGE('Q5 Calculation'!$C$41:$C$67,7),'Q5 Calculation'!$C$41:$C$67,0))</f>
        <v>Pulses and products</v>
      </c>
      <c r="C18" s="55">
        <f>INDEX('Q5 Calculation'!$B$41:$B$67,MATCH(LARGE('Q5 Calculation'!$C$41:$C$67,7),'Q5 Calculation'!$C$41:$C$67,0))</f>
        <v>-0.21348975947516916</v>
      </c>
      <c r="D18" s="52">
        <f t="shared" si="0"/>
        <v>0.21348975947516916</v>
      </c>
      <c r="E18" s="17"/>
      <c r="F18" s="17"/>
      <c r="G18" s="17"/>
    </row>
    <row r="19" spans="1:7" ht="15" customHeight="1" x14ac:dyDescent="0.2">
      <c r="A19" s="30">
        <v>8</v>
      </c>
      <c r="B19" s="17" t="str">
        <f>INDEX('Q5 Calculation'!$A$41:$A$67,MATCH(LARGE('Q5 Calculation'!$C$41:$C$67,8),'Q5 Calculation'!$C$41:$C$67,0))</f>
        <v>Sugar and Confectionery</v>
      </c>
      <c r="C19" s="55">
        <f>INDEX('Q5 Calculation'!$B$41:$B$67,MATCH(LARGE('Q5 Calculation'!$C$41:$C$67,8),'Q5 Calculation'!$C$41:$C$67,0))</f>
        <v>-0.21333214242606643</v>
      </c>
      <c r="D19" s="52">
        <f t="shared" si="0"/>
        <v>0.21333214242606643</v>
      </c>
      <c r="E19" s="17"/>
      <c r="F19" s="17"/>
      <c r="G19" s="17"/>
    </row>
    <row r="20" spans="1:7" ht="15" customHeight="1" x14ac:dyDescent="0.2">
      <c r="A20" s="30">
        <v>9</v>
      </c>
      <c r="B20" s="17" t="str">
        <f>INDEX('Q5 Calculation'!$A$41:$A$67,MATCH(LARGE('Q5 Calculation'!$C$41:$C$67,9),'Q5 Calculation'!$C$41:$C$67,0))</f>
        <v>Spices</v>
      </c>
      <c r="C20" s="55">
        <f>INDEX('Q5 Calculation'!$B$41:$B$67,MATCH(LARGE('Q5 Calculation'!$C$41:$C$67,9),'Q5 Calculation'!$C$41:$C$67,0))</f>
        <v>-0.18669717007768752</v>
      </c>
      <c r="D20" s="52">
        <f t="shared" si="0"/>
        <v>0.18669717007768752</v>
      </c>
      <c r="E20" s="17"/>
      <c r="F20" s="17"/>
      <c r="G20" s="17"/>
    </row>
    <row r="21" spans="1:7" ht="15" customHeight="1" x14ac:dyDescent="0.2">
      <c r="A21" s="30">
        <v>10</v>
      </c>
      <c r="B21" s="17" t="str">
        <f>INDEX('Q5 Calculation'!$A$41:$A$67,MATCH(LARGE('Q5 Calculation'!$C$41:$C$67,10),'Q5 Calculation'!$C$41:$C$67,0))</f>
        <v>Pan, tobacco and intoxicants</v>
      </c>
      <c r="C21" s="55">
        <f>INDEX('Q5 Calculation'!$B$41:$B$67,MATCH(LARGE('Q5 Calculation'!$C$41:$C$67,10),'Q5 Calculation'!$C$41:$C$67,0))</f>
        <v>0.18023981123903154</v>
      </c>
      <c r="D21" s="52">
        <f t="shared" si="0"/>
        <v>0.18023981123903154</v>
      </c>
      <c r="E21" s="17"/>
      <c r="F21" s="17"/>
      <c r="G21" s="17"/>
    </row>
    <row r="22" spans="1:7" ht="15" customHeight="1" x14ac:dyDescent="0.2">
      <c r="A22" s="17"/>
      <c r="B22" s="17"/>
      <c r="C22" s="17"/>
      <c r="D22" s="17"/>
      <c r="E22" s="17"/>
      <c r="F22" s="17"/>
      <c r="G22" s="17"/>
    </row>
    <row r="23" spans="1:7" ht="41.25" customHeight="1" x14ac:dyDescent="0.2">
      <c r="A23" s="30" t="s">
        <v>662</v>
      </c>
      <c r="B23" s="17" t="s">
        <v>663</v>
      </c>
      <c r="C23" s="17"/>
      <c r="D23" s="17"/>
      <c r="E23" s="17"/>
      <c r="F23" s="17"/>
      <c r="G23" s="17"/>
    </row>
  </sheetData>
  <hyperlinks>
    <hyperlink ref="H2" r:id="rId1" location="'Dashboard'!A1" xr:uid="{00000000-0004-0000-1800-000000000000}"/>
  </hyperlinks>
  <pageMargins left="0.75" right="0.75" top="1" bottom="1" header="0.511811023622047" footer="0.511811023622047"/>
  <pageSetup paperSize="9" fitToHeight="0"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64A2"/>
    <pageSetUpPr fitToPage="1"/>
  </sheetPr>
  <dimension ref="A1:P46"/>
  <sheetViews>
    <sheetView showGridLines="0" zoomScale="90" zoomScaleNormal="90" workbookViewId="0">
      <selection activeCell="F2" sqref="F2"/>
    </sheetView>
  </sheetViews>
  <sheetFormatPr defaultColWidth="8.7109375" defaultRowHeight="15" customHeight="1" x14ac:dyDescent="0.2"/>
  <cols>
    <col min="1" max="1" width="42" customWidth="1"/>
    <col min="2" max="2" width="14" customWidth="1"/>
    <col min="3" max="3" width="18.85546875" customWidth="1"/>
    <col min="4" max="4" width="19.85546875" customWidth="1"/>
    <col min="5" max="5" width="18.85546875" customWidth="1"/>
    <col min="6" max="6" width="27.85546875" customWidth="1"/>
    <col min="7" max="7" width="14" customWidth="1"/>
    <col min="8" max="8" width="18.85546875" customWidth="1"/>
    <col min="9" max="10" width="14" customWidth="1"/>
    <col min="11" max="11" width="10" customWidth="1"/>
  </cols>
  <sheetData>
    <row r="1" spans="1:11" ht="24" customHeight="1" x14ac:dyDescent="0.2">
      <c r="A1" s="37" t="s">
        <v>664</v>
      </c>
      <c r="B1" s="49"/>
      <c r="C1" s="49"/>
      <c r="D1" s="49"/>
      <c r="E1" s="49"/>
      <c r="F1" s="49"/>
      <c r="G1" s="49"/>
      <c r="H1" s="49"/>
      <c r="I1" s="49"/>
      <c r="J1" s="49"/>
    </row>
    <row r="2" spans="1:11" ht="108.75" customHeight="1" x14ac:dyDescent="0.2">
      <c r="A2" s="17" t="s">
        <v>665</v>
      </c>
      <c r="B2" s="17"/>
      <c r="C2" s="17"/>
      <c r="D2" s="17"/>
      <c r="E2" s="17"/>
      <c r="F2" s="17"/>
      <c r="G2" s="17"/>
      <c r="H2" s="17"/>
      <c r="I2" s="17"/>
      <c r="J2" s="17"/>
      <c r="K2" s="10" t="s">
        <v>86</v>
      </c>
    </row>
    <row r="3" spans="1:11" ht="15" customHeight="1" x14ac:dyDescent="0.2">
      <c r="A3" s="17"/>
      <c r="B3" s="17"/>
      <c r="C3" s="17"/>
      <c r="D3" s="17"/>
      <c r="E3" s="17"/>
      <c r="F3" s="17"/>
      <c r="G3" s="17"/>
      <c r="H3" s="17"/>
      <c r="I3" s="17"/>
      <c r="J3" s="17"/>
    </row>
    <row r="4" spans="1:11" ht="27.75" customHeight="1" x14ac:dyDescent="0.2">
      <c r="A4" s="50" t="s">
        <v>56</v>
      </c>
      <c r="B4" s="50" t="s">
        <v>603</v>
      </c>
      <c r="C4" s="50" t="s">
        <v>604</v>
      </c>
      <c r="D4" s="50" t="s">
        <v>666</v>
      </c>
      <c r="E4" s="50" t="s">
        <v>667</v>
      </c>
      <c r="F4" s="50" t="s">
        <v>668</v>
      </c>
      <c r="G4" s="17"/>
      <c r="H4" s="50" t="s">
        <v>489</v>
      </c>
      <c r="I4" s="50" t="s">
        <v>661</v>
      </c>
      <c r="J4" s="50" t="s">
        <v>635</v>
      </c>
    </row>
    <row r="5" spans="1:11" ht="15" customHeight="1" x14ac:dyDescent="0.2">
      <c r="A5" s="56">
        <f>'Q5 Calculation'!A7</f>
        <v>44197</v>
      </c>
      <c r="B5" s="57">
        <f>'Q5 Calculation'!D7</f>
        <v>54.79</v>
      </c>
      <c r="C5" s="58">
        <f>'Q5 Calculation'!E7</f>
        <v>9.9317817014446197E-2</v>
      </c>
      <c r="D5" s="58">
        <f>'Q5 Calculation'!R7</f>
        <v>-2.6602176541717037E-2</v>
      </c>
      <c r="E5" s="58">
        <f>'Q5 Calculation'!X7</f>
        <v>2.2821576763485618E-2</v>
      </c>
      <c r="F5" s="58">
        <f>'Q5 Calculation'!AA7</f>
        <v>8.5287846481878482E-3</v>
      </c>
      <c r="G5" s="17"/>
      <c r="H5" s="50" t="str">
        <f>'Q5 Calculation'!A41</f>
        <v>Cereals and products</v>
      </c>
      <c r="I5" s="59">
        <f>'Q5 Calculation'!B41</f>
        <v>-0.27564447109580803</v>
      </c>
      <c r="J5" s="59">
        <f>'Q5 Calculation'!C41</f>
        <v>0.27564447109580803</v>
      </c>
    </row>
    <row r="6" spans="1:11" ht="15" customHeight="1" x14ac:dyDescent="0.2">
      <c r="A6" s="44">
        <f>'Q5 Calculation'!A8</f>
        <v>44228</v>
      </c>
      <c r="B6" s="12">
        <f>'Q5 Calculation'!D8</f>
        <v>61.22</v>
      </c>
      <c r="C6" s="25">
        <f>'Q5 Calculation'!E8</f>
        <v>0.11735718196751233</v>
      </c>
      <c r="D6" s="25">
        <f>'Q5 Calculation'!R8</f>
        <v>-2.5465838509316718E-2</v>
      </c>
      <c r="E6" s="25">
        <f>'Q5 Calculation'!X8</f>
        <v>3.0425963488843744E-2</v>
      </c>
      <c r="F6" s="25">
        <f>'Q5 Calculation'!AA8</f>
        <v>2.2551092318534138E-2</v>
      </c>
      <c r="G6" s="17"/>
      <c r="H6" s="30" t="str">
        <f>'Q5 Calculation'!A42</f>
        <v>Meat and fish</v>
      </c>
      <c r="I6" s="52">
        <f>'Q5 Calculation'!B42</f>
        <v>0.37444142596588592</v>
      </c>
      <c r="J6" s="52">
        <f>'Q5 Calculation'!C42</f>
        <v>0.37444142596588592</v>
      </c>
    </row>
    <row r="7" spans="1:11" ht="15" customHeight="1" x14ac:dyDescent="0.2">
      <c r="A7" s="44">
        <f>'Q5 Calculation'!A9</f>
        <v>44256</v>
      </c>
      <c r="B7" s="12">
        <f>'Q5 Calculation'!D9</f>
        <v>64.73</v>
      </c>
      <c r="C7" s="25">
        <f>'Q5 Calculation'!E9</f>
        <v>5.7334204508330711E-2</v>
      </c>
      <c r="D7" s="25">
        <f>'Q5 Calculation'!R9</f>
        <v>-1.274697259400992E-3</v>
      </c>
      <c r="E7" s="25">
        <f>'Q5 Calculation'!X9</f>
        <v>2.0341207349081403E-2</v>
      </c>
      <c r="F7" s="25">
        <f>'Q5 Calculation'!AA9</f>
        <v>7.5809786354237296E-3</v>
      </c>
      <c r="G7" s="17"/>
      <c r="H7" s="30" t="str">
        <f>'Q5 Calculation'!A43</f>
        <v>Egg</v>
      </c>
      <c r="I7" s="52">
        <f>'Q5 Calculation'!B43</f>
        <v>-0.23600106159932455</v>
      </c>
      <c r="J7" s="52">
        <f>'Q5 Calculation'!C43</f>
        <v>0.23600106159932455</v>
      </c>
    </row>
    <row r="8" spans="1:11" ht="15" customHeight="1" x14ac:dyDescent="0.2">
      <c r="A8" s="44">
        <f>'Q5 Calculation'!A10</f>
        <v>44287</v>
      </c>
      <c r="B8" s="12">
        <f>'Q5 Calculation'!D10</f>
        <v>63.4</v>
      </c>
      <c r="C8" s="25">
        <f>'Q5 Calculation'!E10</f>
        <v>-2.0546887069365138E-2</v>
      </c>
      <c r="D8" s="25">
        <f>'Q5 Calculation'!R10</f>
        <v>8.2961072112317513E-3</v>
      </c>
      <c r="E8" s="25">
        <f>'Q5 Calculation'!X10</f>
        <v>6.430868167202064E-4</v>
      </c>
      <c r="F8" s="25">
        <f>'Q5 Calculation'!AA10</f>
        <v>2.7359781121751858E-3</v>
      </c>
      <c r="G8" s="17"/>
      <c r="H8" s="30" t="str">
        <f>'Q5 Calculation'!A44</f>
        <v>Milk and products</v>
      </c>
      <c r="I8" s="52">
        <f>'Q5 Calculation'!B44</f>
        <v>-0.28947312835268108</v>
      </c>
      <c r="J8" s="52">
        <f>'Q5 Calculation'!C44</f>
        <v>0.28947312835268108</v>
      </c>
    </row>
    <row r="9" spans="1:11" ht="15" customHeight="1" x14ac:dyDescent="0.2">
      <c r="A9" s="44">
        <f>'Q5 Calculation'!A11</f>
        <v>44317</v>
      </c>
      <c r="B9" s="12">
        <f>'Q5 Calculation'!D11</f>
        <v>66.95</v>
      </c>
      <c r="C9" s="25">
        <f>'Q5 Calculation'!E11</f>
        <v>5.5993690851735112E-2</v>
      </c>
      <c r="D9" s="25">
        <f>'Q5 Calculation'!R11</f>
        <v>1.7088607594936578E-2</v>
      </c>
      <c r="E9" s="25">
        <f>'Q5 Calculation'!X11</f>
        <v>2.4421593830334265E-2</v>
      </c>
      <c r="F9" s="25">
        <f>'Q5 Calculation'!AA11</f>
        <v>1.568894952251032E-2</v>
      </c>
      <c r="G9" s="17"/>
      <c r="H9" s="30" t="str">
        <f>'Q5 Calculation'!A45</f>
        <v>Oils and fats</v>
      </c>
      <c r="I9" s="52">
        <f>'Q5 Calculation'!B45</f>
        <v>0.40446502986259125</v>
      </c>
      <c r="J9" s="52">
        <f>'Q5 Calculation'!C45</f>
        <v>0.40446502986259125</v>
      </c>
    </row>
    <row r="10" spans="1:11" ht="15" customHeight="1" x14ac:dyDescent="0.2">
      <c r="A10" s="44">
        <f>'Q5 Calculation'!A12</f>
        <v>44348</v>
      </c>
      <c r="B10" s="12">
        <f>'Q5 Calculation'!D12</f>
        <v>71.98</v>
      </c>
      <c r="C10" s="25">
        <f>'Q5 Calculation'!E12</f>
        <v>7.5130694548170229E-2</v>
      </c>
      <c r="D10" s="25">
        <f>'Q5 Calculation'!R12</f>
        <v>1.1823273179838223E-2</v>
      </c>
      <c r="E10" s="25">
        <f>'Q5 Calculation'!X12</f>
        <v>2.5094102885823144E-3</v>
      </c>
      <c r="F10" s="25">
        <f>'Q5 Calculation'!AA12</f>
        <v>1.2088650100738674E-2</v>
      </c>
      <c r="G10" s="17"/>
      <c r="H10" s="30" t="str">
        <f>'Q5 Calculation'!A46</f>
        <v>Fruits</v>
      </c>
      <c r="I10" s="52">
        <f>'Q5 Calculation'!B46</f>
        <v>7.1220063174729661E-2</v>
      </c>
      <c r="J10" s="52">
        <f>'Q5 Calculation'!C46</f>
        <v>7.1220063174729661E-2</v>
      </c>
    </row>
    <row r="11" spans="1:11" ht="15" customHeight="1" x14ac:dyDescent="0.2">
      <c r="A11" s="44">
        <f>'Q5 Calculation'!A13</f>
        <v>44378</v>
      </c>
      <c r="B11" s="12">
        <f>'Q5 Calculation'!D13</f>
        <v>73.540000000000006</v>
      </c>
      <c r="C11" s="25">
        <f>'Q5 Calculation'!E13</f>
        <v>2.1672686857460377E-2</v>
      </c>
      <c r="D11" s="25">
        <f>'Q5 Calculation'!R13</f>
        <v>8.610086100861114E-3</v>
      </c>
      <c r="E11" s="25">
        <f>'Q5 Calculation'!X13</f>
        <v>5.632040050062459E-3</v>
      </c>
      <c r="F11" s="25">
        <f>'Q5 Calculation'!AA13</f>
        <v>1.5925680159256883E-2</v>
      </c>
      <c r="G11" s="17"/>
      <c r="H11" s="30" t="str">
        <f>'Q5 Calculation'!A47</f>
        <v>Vegetables</v>
      </c>
      <c r="I11" s="52">
        <f>'Q5 Calculation'!B47</f>
        <v>-4.6716113528465157E-2</v>
      </c>
      <c r="J11" s="52">
        <f>'Q5 Calculation'!C47</f>
        <v>4.6716113528465157E-2</v>
      </c>
    </row>
    <row r="12" spans="1:11" ht="15" customHeight="1" x14ac:dyDescent="0.2">
      <c r="A12" s="44">
        <f>'Q5 Calculation'!A14</f>
        <v>44409</v>
      </c>
      <c r="B12" s="12">
        <f>'Q5 Calculation'!D14</f>
        <v>69.8</v>
      </c>
      <c r="C12" s="25">
        <f>'Q5 Calculation'!E14</f>
        <v>-5.0856676638564191E-2</v>
      </c>
      <c r="D12" s="25">
        <f>'Q5 Calculation'!R14</f>
        <v>0</v>
      </c>
      <c r="E12" s="25">
        <f>'Q5 Calculation'!X14</f>
        <v>1.1823273179838223E-2</v>
      </c>
      <c r="F12" s="25">
        <f>'Q5 Calculation'!AA14</f>
        <v>5.878510777269863E-3</v>
      </c>
      <c r="G12" s="17"/>
      <c r="H12" s="30" t="str">
        <f>'Q5 Calculation'!A48</f>
        <v>Pulses and products</v>
      </c>
      <c r="I12" s="52">
        <f>'Q5 Calculation'!B48</f>
        <v>-0.21348975947516916</v>
      </c>
      <c r="J12" s="52">
        <f>'Q5 Calculation'!C48</f>
        <v>0.21348975947516916</v>
      </c>
    </row>
    <row r="13" spans="1:11" ht="15" customHeight="1" x14ac:dyDescent="0.2">
      <c r="A13" s="44">
        <f>'Q5 Calculation'!A15</f>
        <v>44440</v>
      </c>
      <c r="B13" s="12">
        <f>'Q5 Calculation'!D15</f>
        <v>73.13</v>
      </c>
      <c r="C13" s="25">
        <f>'Q5 Calculation'!E15</f>
        <v>4.770773638968473E-2</v>
      </c>
      <c r="D13" s="25">
        <f>'Q5 Calculation'!R15</f>
        <v>0</v>
      </c>
      <c r="E13" s="25">
        <f>'Q5 Calculation'!X15</f>
        <v>0</v>
      </c>
      <c r="F13" s="25">
        <f>'Q5 Calculation'!AA15</f>
        <v>0</v>
      </c>
      <c r="G13" s="17"/>
      <c r="H13" s="30" t="str">
        <f>'Q5 Calculation'!A49</f>
        <v>Sugar and Confectionery</v>
      </c>
      <c r="I13" s="52">
        <f>'Q5 Calculation'!B49</f>
        <v>-0.21333214242606643</v>
      </c>
      <c r="J13" s="52">
        <f>'Q5 Calculation'!C49</f>
        <v>0.21333214242606643</v>
      </c>
    </row>
    <row r="14" spans="1:11" ht="15" customHeight="1" x14ac:dyDescent="0.2">
      <c r="A14" s="44">
        <f>'Q5 Calculation'!A16</f>
        <v>44470</v>
      </c>
      <c r="B14" s="12">
        <f>'Q5 Calculation'!D16</f>
        <v>82.11</v>
      </c>
      <c r="C14" s="25">
        <f>'Q5 Calculation'!E16</f>
        <v>0.12279502256255981</v>
      </c>
      <c r="D14" s="25">
        <f>'Q5 Calculation'!R16</f>
        <v>2.2560975609756007E-2</v>
      </c>
      <c r="E14" s="25">
        <f>'Q5 Calculation'!X16</f>
        <v>9.8400984009838766E-3</v>
      </c>
      <c r="F14" s="25">
        <f>'Q5 Calculation'!AA16</f>
        <v>1.1038961038960959E-2</v>
      </c>
      <c r="G14" s="17"/>
      <c r="H14" s="30" t="str">
        <f>'Q5 Calculation'!A50</f>
        <v>Spices</v>
      </c>
      <c r="I14" s="52">
        <f>'Q5 Calculation'!B50</f>
        <v>-0.18669717007768752</v>
      </c>
      <c r="J14" s="52">
        <f>'Q5 Calculation'!C50</f>
        <v>0.18669717007768752</v>
      </c>
    </row>
    <row r="15" spans="1:11" ht="15" customHeight="1" x14ac:dyDescent="0.2">
      <c r="A15" s="44">
        <f>'Q5 Calculation'!A17</f>
        <v>44501</v>
      </c>
      <c r="B15" s="12">
        <f>'Q5 Calculation'!D17</f>
        <v>80.64</v>
      </c>
      <c r="C15" s="25">
        <f>'Q5 Calculation'!E17</f>
        <v>-1.7902813299232712E-2</v>
      </c>
      <c r="D15" s="25">
        <f>'Q5 Calculation'!R17</f>
        <v>1.1926058437686349E-2</v>
      </c>
      <c r="E15" s="25">
        <f>'Q5 Calculation'!X17</f>
        <v>-1.8270401948842219E-3</v>
      </c>
      <c r="F15" s="25">
        <f>'Q5 Calculation'!AA17</f>
        <v>-5.7803468208090791E-3</v>
      </c>
      <c r="G15" s="17"/>
      <c r="H15" s="30" t="str">
        <f>'Q5 Calculation'!A51</f>
        <v>Non-alcoholic beverages</v>
      </c>
      <c r="I15" s="52">
        <f>'Q5 Calculation'!B51</f>
        <v>0.23659931931689476</v>
      </c>
      <c r="J15" s="52">
        <f>'Q5 Calculation'!C51</f>
        <v>0.23659931931689476</v>
      </c>
    </row>
    <row r="16" spans="1:11" ht="15" customHeight="1" x14ac:dyDescent="0.2">
      <c r="A16" s="44">
        <f>'Q5 Calculation'!A18</f>
        <v>44531</v>
      </c>
      <c r="B16" s="12">
        <f>'Q5 Calculation'!D18</f>
        <v>73.3</v>
      </c>
      <c r="C16" s="25">
        <f>'Q5 Calculation'!E18</f>
        <v>-9.1021825396825462E-2</v>
      </c>
      <c r="D16" s="25">
        <f>'Q5 Calculation'!R18</f>
        <v>-8.8391278727165679E-3</v>
      </c>
      <c r="E16" s="25">
        <f>'Q5 Calculation'!X18</f>
        <v>1.2202562538132788E-3</v>
      </c>
      <c r="F16" s="25">
        <f>'Q5 Calculation'!AA18</f>
        <v>5.8139534883718813E-3</v>
      </c>
      <c r="G16" s="17"/>
      <c r="H16" s="30" t="str">
        <f>'Q5 Calculation'!A52</f>
        <v>Prepared meals, snacks, sweets etc.</v>
      </c>
      <c r="I16" s="52">
        <f>'Q5 Calculation'!B52</f>
        <v>8.9409964756316462E-2</v>
      </c>
      <c r="J16" s="52">
        <f>'Q5 Calculation'!C52</f>
        <v>8.9409964756316462E-2</v>
      </c>
    </row>
    <row r="17" spans="1:10" ht="15" customHeight="1" x14ac:dyDescent="0.2">
      <c r="A17" s="44">
        <f>'Q5 Calculation'!A19</f>
        <v>44562</v>
      </c>
      <c r="B17" s="12">
        <f>'Q5 Calculation'!D19</f>
        <v>84.67</v>
      </c>
      <c r="C17" s="25">
        <f>'Q5 Calculation'!E19</f>
        <v>0.15511596180081866</v>
      </c>
      <c r="D17" s="25">
        <f>'Q5 Calculation'!R19</f>
        <v>-1.0701545778834642E-2</v>
      </c>
      <c r="E17" s="25">
        <f>'Q5 Calculation'!X19</f>
        <v>6.0938452163306067E-4</v>
      </c>
      <c r="F17" s="25">
        <f>'Q5 Calculation'!AA19</f>
        <v>5.138086062941527E-3</v>
      </c>
      <c r="G17" s="17"/>
      <c r="H17" s="30" t="str">
        <f>'Q5 Calculation'!A53</f>
        <v>Food and beverages</v>
      </c>
      <c r="I17" s="52">
        <f>'Q5 Calculation'!B53</f>
        <v>-1.1806939645652584E-2</v>
      </c>
      <c r="J17" s="52">
        <f>'Q5 Calculation'!C53</f>
        <v>1.1806939645652584E-2</v>
      </c>
    </row>
    <row r="18" spans="1:10" ht="15" customHeight="1" x14ac:dyDescent="0.2">
      <c r="A18" s="44">
        <f>'Q5 Calculation'!A20</f>
        <v>44593</v>
      </c>
      <c r="B18" s="12">
        <f>'Q5 Calculation'!D20</f>
        <v>94.07</v>
      </c>
      <c r="C18" s="25">
        <f>'Q5 Calculation'!E20</f>
        <v>0.11101925121058209</v>
      </c>
      <c r="D18" s="25">
        <f>'Q5 Calculation'!R20</f>
        <v>-1.2019230769231282E-3</v>
      </c>
      <c r="E18" s="25">
        <f>'Q5 Calculation'!X20</f>
        <v>9.1352009744214424E-3</v>
      </c>
      <c r="F18" s="25">
        <f>'Q5 Calculation'!AA20</f>
        <v>2.5559105431309792E-3</v>
      </c>
      <c r="G18" s="17"/>
      <c r="H18" s="30" t="str">
        <f>'Q5 Calculation'!A54</f>
        <v>Pan, tobacco and intoxicants</v>
      </c>
      <c r="I18" s="52">
        <f>'Q5 Calculation'!B54</f>
        <v>0.18023981123903154</v>
      </c>
      <c r="J18" s="52">
        <f>'Q5 Calculation'!C54</f>
        <v>0.18023981123903154</v>
      </c>
    </row>
    <row r="19" spans="1:10" ht="15" customHeight="1" x14ac:dyDescent="0.2">
      <c r="A19" s="44">
        <f>'Q5 Calculation'!A21</f>
        <v>44621</v>
      </c>
      <c r="B19" s="12">
        <f>'Q5 Calculation'!D21</f>
        <v>112.87</v>
      </c>
      <c r="C19" s="25">
        <f>'Q5 Calculation'!E21</f>
        <v>0.19985117465717028</v>
      </c>
      <c r="D19" s="25">
        <f>'Q5 Calculation'!R21</f>
        <v>1.3237063778580138E-2</v>
      </c>
      <c r="E19" s="25">
        <f>'Q5 Calculation'!X21</f>
        <v>9.0525045262521697E-3</v>
      </c>
      <c r="F19" s="25">
        <f>'Q5 Calculation'!AA21</f>
        <v>6.3734862970044048E-3</v>
      </c>
      <c r="G19" s="17"/>
      <c r="H19" s="30" t="str">
        <f>'Q5 Calculation'!A55</f>
        <v>Clothing</v>
      </c>
      <c r="I19" s="52">
        <f>'Q5 Calculation'!B55</f>
        <v>7.724272964516575E-2</v>
      </c>
      <c r="J19" s="52">
        <f>'Q5 Calculation'!C55</f>
        <v>7.724272964516575E-2</v>
      </c>
    </row>
    <row r="20" spans="1:10" ht="15" customHeight="1" x14ac:dyDescent="0.2">
      <c r="A20" s="44">
        <f>'Q5 Calculation'!A22</f>
        <v>44652</v>
      </c>
      <c r="B20" s="12">
        <f>'Q5 Calculation'!D22</f>
        <v>102.97</v>
      </c>
      <c r="C20" s="25">
        <f>'Q5 Calculation'!E22</f>
        <v>-8.7711526534951734E-2</v>
      </c>
      <c r="D20" s="25">
        <f>'Q5 Calculation'!R22</f>
        <v>1.4251781472684133E-2</v>
      </c>
      <c r="E20" s="25">
        <f>'Q5 Calculation'!X22</f>
        <v>2.9904306220095656E-2</v>
      </c>
      <c r="F20" s="25">
        <f>'Q5 Calculation'!AA22</f>
        <v>2.9765674477517434E-2</v>
      </c>
      <c r="G20" s="17"/>
      <c r="H20" s="30" t="str">
        <f>'Q5 Calculation'!A56</f>
        <v>Footwear</v>
      </c>
      <c r="I20" s="52">
        <f>'Q5 Calculation'!B56</f>
        <v>0.16250696422450406</v>
      </c>
      <c r="J20" s="52">
        <f>'Q5 Calculation'!C56</f>
        <v>0.16250696422450406</v>
      </c>
    </row>
    <row r="21" spans="1:10" ht="15" customHeight="1" x14ac:dyDescent="0.2">
      <c r="A21" s="44">
        <f>'Q5 Calculation'!A23</f>
        <v>44682</v>
      </c>
      <c r="B21" s="12">
        <f>'Q5 Calculation'!D23</f>
        <v>109.51</v>
      </c>
      <c r="C21" s="25">
        <f>'Q5 Calculation'!E23</f>
        <v>6.3513644750898379E-2</v>
      </c>
      <c r="D21" s="25">
        <f>'Q5 Calculation'!R23</f>
        <v>1.4637002341920446E-2</v>
      </c>
      <c r="E21" s="25">
        <f>'Q5 Calculation'!X23</f>
        <v>1.3937282229965264E-2</v>
      </c>
      <c r="F21" s="25">
        <f>'Q5 Calculation'!AA23</f>
        <v>2.4600246002459691E-3</v>
      </c>
      <c r="G21" s="17"/>
      <c r="H21" s="30" t="str">
        <f>'Q5 Calculation'!A57</f>
        <v>Clothing and footwear</v>
      </c>
      <c r="I21" s="52">
        <f>'Q5 Calculation'!B57</f>
        <v>0.10355600632039906</v>
      </c>
      <c r="J21" s="52">
        <f>'Q5 Calculation'!C57</f>
        <v>0.10355600632039906</v>
      </c>
    </row>
    <row r="22" spans="1:10" ht="15" customHeight="1" x14ac:dyDescent="0.2">
      <c r="A22" s="44">
        <f>'Q5 Calculation'!A24</f>
        <v>44713</v>
      </c>
      <c r="B22" s="12">
        <f>'Q5 Calculation'!D24</f>
        <v>116.01</v>
      </c>
      <c r="C22" s="25">
        <f>'Q5 Calculation'!E24</f>
        <v>5.935531001735006E-2</v>
      </c>
      <c r="D22" s="25">
        <f>'Q5 Calculation'!R24</f>
        <v>9.2325447201384581E-3</v>
      </c>
      <c r="E22" s="25">
        <f>'Q5 Calculation'!X24</f>
        <v>8.0183276059564434E-3</v>
      </c>
      <c r="F22" s="25">
        <f>'Q5 Calculation'!AA24</f>
        <v>-1.1656441717791455E-2</v>
      </c>
      <c r="G22" s="17"/>
      <c r="H22" s="30" t="str">
        <f>'Q5 Calculation'!A58</f>
        <v>Housing</v>
      </c>
      <c r="I22" s="52">
        <f>'Q5 Calculation'!B58</f>
        <v>6.7652047941903729E-2</v>
      </c>
      <c r="J22" s="52">
        <f>'Q5 Calculation'!C58</f>
        <v>6.7652047941903729E-2</v>
      </c>
    </row>
    <row r="23" spans="1:10" ht="15" customHeight="1" x14ac:dyDescent="0.2">
      <c r="A23" s="44">
        <f>'Q5 Calculation'!A25</f>
        <v>44743</v>
      </c>
      <c r="B23" s="12">
        <f>'Q5 Calculation'!D25</f>
        <v>105.49</v>
      </c>
      <c r="C23" s="25">
        <f>'Q5 Calculation'!E25</f>
        <v>-9.0681837772605856E-2</v>
      </c>
      <c r="D23" s="25">
        <f>'Q5 Calculation'!R25</f>
        <v>5.7175528873631976E-4</v>
      </c>
      <c r="E23" s="25">
        <f>'Q5 Calculation'!X25</f>
        <v>2.0454545454545503E-2</v>
      </c>
      <c r="F23" s="25">
        <f>'Q5 Calculation'!AA25</f>
        <v>3.1036623215394687E-3</v>
      </c>
      <c r="G23" s="17"/>
      <c r="H23" s="30" t="str">
        <f>'Q5 Calculation'!A59</f>
        <v>Fuel and light</v>
      </c>
      <c r="I23" s="52">
        <f>'Q5 Calculation'!B59</f>
        <v>0.16050341272579477</v>
      </c>
      <c r="J23" s="52">
        <f>'Q5 Calculation'!C59</f>
        <v>0.16050341272579477</v>
      </c>
    </row>
    <row r="24" spans="1:10" ht="15" customHeight="1" x14ac:dyDescent="0.2">
      <c r="A24" s="44">
        <f>'Q5 Calculation'!A26</f>
        <v>44774</v>
      </c>
      <c r="B24" s="12">
        <f>'Q5 Calculation'!D26</f>
        <v>97.4</v>
      </c>
      <c r="C24" s="25">
        <f>'Q5 Calculation'!E26</f>
        <v>-7.668973362404008E-2</v>
      </c>
      <c r="D24" s="25">
        <f>'Q5 Calculation'!R26</f>
        <v>7.4285714285715621E-3</v>
      </c>
      <c r="E24" s="25">
        <f>'Q5 Calculation'!X26</f>
        <v>-4.4543429844097204E-3</v>
      </c>
      <c r="F24" s="25">
        <f>'Q5 Calculation'!AA26</f>
        <v>1.8564356435644136E-3</v>
      </c>
      <c r="G24" s="17"/>
      <c r="H24" s="30" t="str">
        <f>'Q5 Calculation'!A60</f>
        <v>Household goods and services</v>
      </c>
      <c r="I24" s="52">
        <f>'Q5 Calculation'!B60</f>
        <v>-2.6634936673397818E-2</v>
      </c>
      <c r="J24" s="52">
        <f>'Q5 Calculation'!C60</f>
        <v>2.6634936673397818E-2</v>
      </c>
    </row>
    <row r="25" spans="1:10" ht="15" customHeight="1" x14ac:dyDescent="0.2">
      <c r="A25" s="44">
        <f>'Q5 Calculation'!A27</f>
        <v>44805</v>
      </c>
      <c r="B25" s="12">
        <f>'Q5 Calculation'!D27</f>
        <v>90.71</v>
      </c>
      <c r="C25" s="25">
        <f>'Q5 Calculation'!E27</f>
        <v>-6.8685831622176674E-2</v>
      </c>
      <c r="D25" s="25">
        <f>'Q5 Calculation'!R27</f>
        <v>8.5082246171299669E-3</v>
      </c>
      <c r="E25" s="25">
        <f>'Q5 Calculation'!X27</f>
        <v>3.9149888143175104E-3</v>
      </c>
      <c r="F25" s="25">
        <f>'Q5 Calculation'!AA27</f>
        <v>2.4706609017912662E-3</v>
      </c>
      <c r="G25" s="17"/>
      <c r="H25" s="30" t="str">
        <f>'Q5 Calculation'!A61</f>
        <v>Health</v>
      </c>
      <c r="I25" s="52">
        <f>'Q5 Calculation'!B61</f>
        <v>8.9469179812510499E-2</v>
      </c>
      <c r="J25" s="52">
        <f>'Q5 Calculation'!C61</f>
        <v>8.9469179812510499E-2</v>
      </c>
    </row>
    <row r="26" spans="1:10" ht="15" customHeight="1" x14ac:dyDescent="0.2">
      <c r="A26" s="44">
        <f>'Q5 Calculation'!A28</f>
        <v>44835</v>
      </c>
      <c r="B26" s="12">
        <f>'Q5 Calculation'!D28</f>
        <v>91.7</v>
      </c>
      <c r="C26" s="25">
        <f>'Q5 Calculation'!E28</f>
        <v>1.0913901444162821E-2</v>
      </c>
      <c r="D26" s="25">
        <f>'Q5 Calculation'!R28</f>
        <v>1.0123734533183271E-2</v>
      </c>
      <c r="E26" s="25">
        <f>'Q5 Calculation'!X28</f>
        <v>5.5710306406684396E-3</v>
      </c>
      <c r="F26" s="25">
        <f>'Q5 Calculation'!AA28</f>
        <v>3.6968576709797141E-3</v>
      </c>
      <c r="G26" s="17"/>
      <c r="H26" s="30" t="str">
        <f>'Q5 Calculation'!A62</f>
        <v>Transport and communication</v>
      </c>
      <c r="I26" s="52">
        <f>'Q5 Calculation'!B62</f>
        <v>0.11791882570767789</v>
      </c>
      <c r="J26" s="52">
        <f>'Q5 Calculation'!C62</f>
        <v>0.11791882570767789</v>
      </c>
    </row>
    <row r="27" spans="1:10" ht="15" customHeight="1" x14ac:dyDescent="0.2">
      <c r="A27" s="44">
        <f>'Q5 Calculation'!A29</f>
        <v>44866</v>
      </c>
      <c r="B27" s="12">
        <f>'Q5 Calculation'!D29</f>
        <v>87.55</v>
      </c>
      <c r="C27" s="25">
        <f>'Q5 Calculation'!E29</f>
        <v>-4.5256270447110225E-2</v>
      </c>
      <c r="D27" s="25">
        <f>'Q5 Calculation'!R29</f>
        <v>-7.2383073496657957E-3</v>
      </c>
      <c r="E27" s="25">
        <f>'Q5 Calculation'!X29</f>
        <v>4.4321329639889218E-3</v>
      </c>
      <c r="F27" s="25">
        <f>'Q5 Calculation'!AA29</f>
        <v>6.1387354205022504E-4</v>
      </c>
      <c r="G27" s="17"/>
      <c r="H27" s="30" t="str">
        <f>'Q5 Calculation'!A63</f>
        <v>Recreation and amusement</v>
      </c>
      <c r="I27" s="52">
        <f>'Q5 Calculation'!B63</f>
        <v>0.14949338100179688</v>
      </c>
      <c r="J27" s="52">
        <f>'Q5 Calculation'!C63</f>
        <v>0.14949338100179688</v>
      </c>
    </row>
    <row r="28" spans="1:10" ht="15" customHeight="1" x14ac:dyDescent="0.2">
      <c r="A28" s="44">
        <f>'Q5 Calculation'!A30</f>
        <v>44896</v>
      </c>
      <c r="B28" s="12">
        <f>'Q5 Calculation'!D30</f>
        <v>78.099999999999994</v>
      </c>
      <c r="C28" s="25">
        <f>'Q5 Calculation'!E30</f>
        <v>-0.10793832095945177</v>
      </c>
      <c r="D28" s="25">
        <f>'Q5 Calculation'!R30</f>
        <v>-1.346045989904654E-2</v>
      </c>
      <c r="E28" s="25">
        <f>'Q5 Calculation'!X30</f>
        <v>3.8610038610038533E-3</v>
      </c>
      <c r="F28" s="25">
        <f>'Q5 Calculation'!AA30</f>
        <v>2.4539877300613355E-3</v>
      </c>
      <c r="G28" s="17"/>
      <c r="H28" s="30" t="str">
        <f>'Q5 Calculation'!A64</f>
        <v>Education</v>
      </c>
      <c r="I28" s="52">
        <f>'Q5 Calculation'!B64</f>
        <v>-0.16457890448361578</v>
      </c>
      <c r="J28" s="52">
        <f>'Q5 Calculation'!C64</f>
        <v>0.16457890448361578</v>
      </c>
    </row>
    <row r="29" spans="1:10" ht="15" customHeight="1" x14ac:dyDescent="0.2">
      <c r="A29" s="44">
        <f>'Q5 Calculation'!A31</f>
        <v>44927</v>
      </c>
      <c r="B29" s="12">
        <f>'Q5 Calculation'!D31</f>
        <v>80.92</v>
      </c>
      <c r="C29" s="25">
        <f>'Q5 Calculation'!E31</f>
        <v>3.6107554417413645E-2</v>
      </c>
      <c r="D29" s="25">
        <f>'Q5 Calculation'!R31</f>
        <v>4.5480386583285348E-3</v>
      </c>
      <c r="E29" s="25">
        <f>'Q5 Calculation'!X31</f>
        <v>0</v>
      </c>
      <c r="F29" s="25">
        <f>'Q5 Calculation'!AA31</f>
        <v>1.2239902080781739E-3</v>
      </c>
      <c r="G29" s="17"/>
      <c r="H29" s="30" t="str">
        <f>'Q5 Calculation'!A65</f>
        <v>Personal care and effects</v>
      </c>
      <c r="I29" s="52">
        <f>'Q5 Calculation'!B65</f>
        <v>-1.0674755867789617E-2</v>
      </c>
      <c r="J29" s="52">
        <f>'Q5 Calculation'!C65</f>
        <v>1.0674755867789617E-2</v>
      </c>
    </row>
    <row r="30" spans="1:10" ht="15" customHeight="1" x14ac:dyDescent="0.2">
      <c r="A30" s="44">
        <f>'Q5 Calculation'!A32</f>
        <v>44958</v>
      </c>
      <c r="B30" s="12">
        <f>'Q5 Calculation'!D32</f>
        <v>82.28</v>
      </c>
      <c r="C30" s="25">
        <f>'Q5 Calculation'!E32</f>
        <v>1.6806722689075571E-2</v>
      </c>
      <c r="D30" s="25">
        <f>'Q5 Calculation'!R32</f>
        <v>1.6977928692700761E-3</v>
      </c>
      <c r="E30" s="25">
        <f>'Q5 Calculation'!X32</f>
        <v>5.494505494505475E-4</v>
      </c>
      <c r="F30" s="25">
        <f>'Q5 Calculation'!AA32</f>
        <v>3.6674816625916762E-3</v>
      </c>
      <c r="G30" s="17"/>
      <c r="H30" s="30" t="str">
        <f>'Q5 Calculation'!A66</f>
        <v>Miscellaneous</v>
      </c>
      <c r="I30" s="52">
        <f>'Q5 Calculation'!B66</f>
        <v>8.668815516924655E-2</v>
      </c>
      <c r="J30" s="52">
        <f>'Q5 Calculation'!C66</f>
        <v>8.668815516924655E-2</v>
      </c>
    </row>
    <row r="31" spans="1:10" ht="15" customHeight="1" x14ac:dyDescent="0.2">
      <c r="A31" s="44">
        <f>'Q5 Calculation'!A33</f>
        <v>44986</v>
      </c>
      <c r="B31" s="12">
        <f>'Q5 Calculation'!D33</f>
        <v>78.540000000000006</v>
      </c>
      <c r="C31" s="25">
        <f>'Q5 Calculation'!E33</f>
        <v>-4.5454545454545414E-2</v>
      </c>
      <c r="D31" s="25">
        <f>'Q5 Calculation'!R33</f>
        <v>0</v>
      </c>
      <c r="E31" s="25">
        <f>'Q5 Calculation'!X33</f>
        <v>-1.0982976386599841E-3</v>
      </c>
      <c r="F31" s="25">
        <f>'Q5 Calculation'!AA33</f>
        <v>0</v>
      </c>
      <c r="G31" s="17"/>
      <c r="H31" s="30" t="str">
        <f>'Q5 Calculation'!A67</f>
        <v>General index</v>
      </c>
      <c r="I31" s="52">
        <f>'Q5 Calculation'!B67</f>
        <v>1.7225173148299883E-2</v>
      </c>
      <c r="J31" s="52">
        <f>'Q5 Calculation'!C67</f>
        <v>1.7225173148299883E-2</v>
      </c>
    </row>
    <row r="32" spans="1:10" ht="15" customHeight="1" x14ac:dyDescent="0.2">
      <c r="A32" s="44">
        <f>'Q5 Calculation'!A34</f>
        <v>45017</v>
      </c>
      <c r="B32" s="12">
        <f>'Q5 Calculation'!D34</f>
        <v>83.76</v>
      </c>
      <c r="C32" s="25">
        <f>'Q5 Calculation'!E34</f>
        <v>6.6462948815889877E-2</v>
      </c>
      <c r="D32" s="25">
        <f>'Q5 Calculation'!R34</f>
        <v>5.0847457627118953E-3</v>
      </c>
      <c r="E32" s="25">
        <f>'Q5 Calculation'!X34</f>
        <v>-1.0995052226498991E-3</v>
      </c>
      <c r="F32" s="25">
        <f>'Q5 Calculation'!AA34</f>
        <v>1.8270401948843329E-3</v>
      </c>
      <c r="G32" s="17"/>
      <c r="H32" s="17"/>
      <c r="I32" s="17"/>
      <c r="J32" s="17"/>
    </row>
    <row r="33" spans="1:16" ht="15" customHeight="1" x14ac:dyDescent="0.2">
      <c r="A33" s="44">
        <f>'Q5 Calculation'!A35</f>
        <v>45047</v>
      </c>
      <c r="B33" s="12">
        <f>'Q5 Calculation'!D35</f>
        <v>74.98</v>
      </c>
      <c r="C33" s="25">
        <f>'Q5 Calculation'!E35</f>
        <v>-0.1048233046800382</v>
      </c>
      <c r="D33" s="25">
        <f>'Q5 Calculation'!R35</f>
        <v>6.7453625632376557E-3</v>
      </c>
      <c r="E33" s="25">
        <f>'Q5 Calculation'!X35</f>
        <v>6.0539350577877293E-3</v>
      </c>
      <c r="F33" s="25">
        <f>'Q5 Calculation'!AA35</f>
        <v>1.8237082066869803E-3</v>
      </c>
      <c r="G33" s="17"/>
      <c r="H33" s="17"/>
      <c r="I33" s="17"/>
      <c r="J33" s="17"/>
    </row>
    <row r="34" spans="1:16" ht="15" customHeight="1" x14ac:dyDescent="0.2">
      <c r="A34" s="17"/>
      <c r="B34" s="17"/>
      <c r="C34" s="17"/>
      <c r="D34" s="17"/>
      <c r="E34" s="17"/>
      <c r="F34" s="17"/>
      <c r="G34" s="17"/>
      <c r="H34" s="17"/>
      <c r="I34" s="17"/>
      <c r="J34" s="17"/>
    </row>
    <row r="35" spans="1:16" ht="15" customHeight="1" x14ac:dyDescent="0.2">
      <c r="A35" s="17"/>
      <c r="B35" s="17"/>
      <c r="C35" s="17"/>
      <c r="D35" s="17"/>
      <c r="E35" s="17"/>
      <c r="F35" s="17"/>
      <c r="G35" s="17"/>
      <c r="H35" s="17"/>
      <c r="I35" s="17"/>
      <c r="J35" s="17"/>
    </row>
    <row r="36" spans="1:16" ht="15" customHeight="1" x14ac:dyDescent="0.2">
      <c r="A36" s="17"/>
      <c r="B36" s="17"/>
      <c r="C36" s="17"/>
      <c r="D36" s="17"/>
      <c r="E36" s="17"/>
      <c r="F36" s="17"/>
      <c r="G36" s="17"/>
      <c r="H36" s="17"/>
      <c r="I36" s="17"/>
      <c r="J36" s="17"/>
    </row>
    <row r="37" spans="1:16" ht="15" customHeight="1" x14ac:dyDescent="0.2">
      <c r="A37" s="17"/>
      <c r="B37" s="17"/>
      <c r="C37" s="17"/>
      <c r="D37" s="17"/>
      <c r="E37" s="17"/>
      <c r="F37" s="17"/>
      <c r="G37" s="17"/>
      <c r="H37" s="17"/>
      <c r="I37" s="17"/>
      <c r="J37" s="17"/>
    </row>
    <row r="38" spans="1:16" ht="24" customHeight="1" x14ac:dyDescent="0.2">
      <c r="A38" s="105" t="s">
        <v>669</v>
      </c>
      <c r="B38" s="106"/>
      <c r="C38" s="106"/>
      <c r="D38" s="106"/>
      <c r="E38" s="106"/>
      <c r="F38" s="106"/>
      <c r="G38" s="106"/>
      <c r="H38" s="106"/>
      <c r="I38" s="17"/>
      <c r="J38" s="17"/>
    </row>
    <row r="39" spans="1:16" ht="30" customHeight="1" x14ac:dyDescent="0.2">
      <c r="A39" s="107" t="s">
        <v>721</v>
      </c>
      <c r="B39" s="108"/>
      <c r="C39" s="108"/>
      <c r="D39" s="108"/>
      <c r="E39" s="108"/>
      <c r="F39" s="108"/>
      <c r="G39" s="108"/>
      <c r="H39" s="108"/>
      <c r="I39" s="99"/>
      <c r="J39" s="99"/>
      <c r="K39" s="99"/>
      <c r="L39" s="99"/>
      <c r="M39" s="99"/>
      <c r="N39" s="99"/>
      <c r="O39" s="99"/>
      <c r="P39" s="101"/>
    </row>
    <row r="40" spans="1:16" ht="30" customHeight="1" x14ac:dyDescent="0.2">
      <c r="A40" s="109"/>
      <c r="B40" s="110"/>
      <c r="C40" s="110"/>
      <c r="D40" s="110"/>
      <c r="E40" s="110"/>
      <c r="F40" s="110"/>
      <c r="G40" s="110"/>
      <c r="H40" s="110"/>
      <c r="I40" s="100"/>
      <c r="J40" s="100"/>
      <c r="K40" s="100"/>
      <c r="L40" s="100"/>
      <c r="M40" s="100"/>
      <c r="N40" s="100"/>
      <c r="O40" s="100"/>
      <c r="P40" s="102"/>
    </row>
    <row r="41" spans="1:16" ht="30" customHeight="1" x14ac:dyDescent="0.2">
      <c r="A41" s="109"/>
      <c r="B41" s="110"/>
      <c r="C41" s="110"/>
      <c r="D41" s="110"/>
      <c r="E41" s="110"/>
      <c r="F41" s="110"/>
      <c r="G41" s="110"/>
      <c r="H41" s="110"/>
      <c r="I41" s="103"/>
      <c r="J41" s="103"/>
      <c r="K41" s="103"/>
      <c r="L41" s="103"/>
      <c r="M41" s="103"/>
      <c r="N41" s="103"/>
      <c r="O41" s="103"/>
      <c r="P41" s="104"/>
    </row>
    <row r="42" spans="1:16" ht="108.75" customHeight="1" x14ac:dyDescent="0.2">
      <c r="A42" s="30" t="s">
        <v>670</v>
      </c>
      <c r="B42" s="17" t="s">
        <v>671</v>
      </c>
      <c r="C42" s="17"/>
      <c r="D42" s="17"/>
      <c r="E42" s="17"/>
      <c r="F42" s="17"/>
      <c r="G42" s="17"/>
      <c r="H42" s="17"/>
      <c r="I42" s="17"/>
      <c r="J42" s="17"/>
    </row>
    <row r="43" spans="1:16" ht="122.25" customHeight="1" x14ac:dyDescent="0.2">
      <c r="A43" s="30" t="s">
        <v>672</v>
      </c>
      <c r="B43" s="17" t="s">
        <v>673</v>
      </c>
      <c r="C43" s="17"/>
      <c r="D43" s="17"/>
      <c r="E43" s="17"/>
      <c r="F43" s="17"/>
      <c r="G43" s="17"/>
      <c r="H43" s="17"/>
      <c r="I43" s="17"/>
      <c r="J43" s="17"/>
    </row>
    <row r="44" spans="1:16" ht="15" customHeight="1" x14ac:dyDescent="0.2">
      <c r="A44" s="17"/>
      <c r="B44" s="17"/>
      <c r="C44" s="17"/>
      <c r="D44" s="17"/>
      <c r="E44" s="17"/>
      <c r="F44" s="17"/>
      <c r="G44" s="17"/>
      <c r="H44" s="17"/>
      <c r="I44" s="17"/>
      <c r="J44" s="17"/>
    </row>
    <row r="45" spans="1:16" ht="27.75" customHeight="1" x14ac:dyDescent="0.2">
      <c r="A45" s="30" t="s">
        <v>286</v>
      </c>
      <c r="B45" s="17"/>
      <c r="C45" s="17"/>
      <c r="D45" s="17"/>
      <c r="E45" s="17"/>
      <c r="F45" s="17"/>
      <c r="G45" s="17"/>
      <c r="H45" s="17"/>
      <c r="I45" s="17"/>
      <c r="J45" s="17"/>
    </row>
    <row r="46" spans="1:16" ht="81.75" customHeight="1" x14ac:dyDescent="0.2">
      <c r="A46" s="30" t="s">
        <v>345</v>
      </c>
      <c r="B46" s="17" t="s">
        <v>674</v>
      </c>
      <c r="C46" s="17"/>
      <c r="D46" s="17"/>
      <c r="E46" s="17"/>
      <c r="F46" s="17"/>
      <c r="G46" s="17"/>
      <c r="H46" s="17"/>
      <c r="I46" s="17"/>
      <c r="J46" s="17"/>
    </row>
  </sheetData>
  <mergeCells count="2">
    <mergeCell ref="A38:H38"/>
    <mergeCell ref="A39:H41"/>
  </mergeCells>
  <hyperlinks>
    <hyperlink ref="K2" r:id="rId1" location="'Dashboard'!A1" xr:uid="{00000000-0004-0000-1900-000000000000}"/>
  </hyperlinks>
  <pageMargins left="0.75" right="0.75" top="1" bottom="1" header="0.511811023622047" footer="0.511811023622047"/>
  <pageSetup paperSize="9" fitToHeight="0" orientation="landscape" horizontalDpi="300" verticalDpi="30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91D8-E131-4ACC-BCF9-707030AFC62B}">
  <sheetPr>
    <tabColor rgb="FF8064A2"/>
  </sheetPr>
  <dimension ref="A1:AB28"/>
  <sheetViews>
    <sheetView workbookViewId="0">
      <selection activeCell="B11" sqref="B11"/>
    </sheetView>
  </sheetViews>
  <sheetFormatPr defaultRowHeight="12.75" x14ac:dyDescent="0.2"/>
  <sheetData>
    <row r="1" spans="1:28" ht="14.25" x14ac:dyDescent="0.2">
      <c r="A1" s="50" t="s">
        <v>489</v>
      </c>
      <c r="B1" s="50" t="s">
        <v>57</v>
      </c>
      <c r="C1" t="s">
        <v>58</v>
      </c>
      <c r="D1" t="s">
        <v>59</v>
      </c>
      <c r="E1" t="s">
        <v>60</v>
      </c>
      <c r="F1" t="s">
        <v>61</v>
      </c>
      <c r="G1" t="s">
        <v>62</v>
      </c>
      <c r="H1" t="s">
        <v>63</v>
      </c>
      <c r="I1" t="s">
        <v>64</v>
      </c>
      <c r="J1" t="s">
        <v>65</v>
      </c>
      <c r="K1" t="s">
        <v>66</v>
      </c>
      <c r="L1" t="s">
        <v>67</v>
      </c>
      <c r="M1" t="s">
        <v>68</v>
      </c>
      <c r="N1" t="s">
        <v>69</v>
      </c>
      <c r="O1" t="s">
        <v>70</v>
      </c>
      <c r="P1" t="s">
        <v>71</v>
      </c>
      <c r="Q1" t="s">
        <v>72</v>
      </c>
      <c r="R1" t="s">
        <v>73</v>
      </c>
      <c r="S1" t="s">
        <v>74</v>
      </c>
      <c r="T1" t="s">
        <v>75</v>
      </c>
      <c r="U1" t="s">
        <v>76</v>
      </c>
      <c r="V1" t="s">
        <v>77</v>
      </c>
      <c r="W1" t="s">
        <v>78</v>
      </c>
      <c r="X1" t="s">
        <v>79</v>
      </c>
      <c r="Y1" t="s">
        <v>80</v>
      </c>
      <c r="Z1" t="s">
        <v>81</v>
      </c>
      <c r="AA1" t="s">
        <v>82</v>
      </c>
      <c r="AB1" t="s">
        <v>83</v>
      </c>
    </row>
    <row r="2" spans="1:28" ht="14.25" x14ac:dyDescent="0.2">
      <c r="A2" s="59" t="s">
        <v>661</v>
      </c>
      <c r="B2" s="59">
        <v>-0.27564447109580803</v>
      </c>
      <c r="C2">
        <v>0.37444142596588592</v>
      </c>
      <c r="D2">
        <v>-0.23600106159932455</v>
      </c>
      <c r="E2">
        <v>-0.28947312835268108</v>
      </c>
      <c r="F2">
        <v>0.40446502986259125</v>
      </c>
      <c r="G2">
        <v>7.1220063174729661E-2</v>
      </c>
      <c r="H2">
        <v>-4.6716113528465157E-2</v>
      </c>
      <c r="I2">
        <v>-0.21348975947516916</v>
      </c>
      <c r="J2">
        <v>-0.21333214242606643</v>
      </c>
      <c r="K2">
        <v>-0.18669717007768752</v>
      </c>
      <c r="L2">
        <v>0.23659931931689476</v>
      </c>
      <c r="M2">
        <v>8.9409964756316462E-2</v>
      </c>
      <c r="N2">
        <v>-1.1806939645652584E-2</v>
      </c>
      <c r="O2">
        <v>0.18023981123903154</v>
      </c>
      <c r="P2">
        <v>7.724272964516575E-2</v>
      </c>
      <c r="Q2">
        <v>0.16250696422450406</v>
      </c>
      <c r="R2">
        <v>0.10355600632039906</v>
      </c>
      <c r="S2">
        <v>6.7652047941903729E-2</v>
      </c>
      <c r="T2">
        <v>0.16050341272579477</v>
      </c>
      <c r="U2">
        <v>-2.6634936673397818E-2</v>
      </c>
      <c r="V2">
        <v>8.9469179812510499E-2</v>
      </c>
      <c r="W2">
        <v>0.11791882570767789</v>
      </c>
      <c r="X2">
        <v>0.14949338100179688</v>
      </c>
      <c r="Y2">
        <v>-0.16457890448361578</v>
      </c>
      <c r="Z2">
        <v>-1.0674755867789617E-2</v>
      </c>
      <c r="AA2">
        <v>8.668815516924655E-2</v>
      </c>
      <c r="AB2">
        <v>1.7225173148299883E-2</v>
      </c>
    </row>
    <row r="3" spans="1:28" ht="15" x14ac:dyDescent="0.2">
      <c r="A3" s="52" t="s">
        <v>635</v>
      </c>
      <c r="B3" s="52">
        <v>0.27564447109580803</v>
      </c>
      <c r="C3">
        <v>0.37444142596588592</v>
      </c>
      <c r="D3">
        <v>0.23600106159932455</v>
      </c>
      <c r="E3">
        <v>0.28947312835268108</v>
      </c>
      <c r="F3">
        <v>0.40446502986259125</v>
      </c>
      <c r="G3">
        <v>7.1220063174729661E-2</v>
      </c>
      <c r="H3">
        <v>4.6716113528465157E-2</v>
      </c>
      <c r="I3">
        <v>0.21348975947516916</v>
      </c>
      <c r="J3">
        <v>0.21333214242606643</v>
      </c>
      <c r="K3">
        <v>0.18669717007768752</v>
      </c>
      <c r="L3">
        <v>0.23659931931689476</v>
      </c>
      <c r="M3">
        <v>8.9409964756316462E-2</v>
      </c>
      <c r="N3">
        <v>1.1806939645652584E-2</v>
      </c>
      <c r="O3">
        <v>0.18023981123903154</v>
      </c>
      <c r="P3">
        <v>7.724272964516575E-2</v>
      </c>
      <c r="Q3">
        <v>0.16250696422450406</v>
      </c>
      <c r="R3">
        <v>0.10355600632039906</v>
      </c>
      <c r="S3">
        <v>6.7652047941903729E-2</v>
      </c>
      <c r="T3">
        <v>0.16050341272579477</v>
      </c>
      <c r="U3">
        <v>2.6634936673397818E-2</v>
      </c>
      <c r="V3">
        <v>8.9469179812510499E-2</v>
      </c>
      <c r="W3">
        <v>0.11791882570767789</v>
      </c>
      <c r="X3">
        <v>0.14949338100179688</v>
      </c>
      <c r="Y3">
        <v>0.16457890448361578</v>
      </c>
      <c r="Z3">
        <v>1.0674755867789617E-2</v>
      </c>
      <c r="AA3">
        <v>8.668815516924655E-2</v>
      </c>
      <c r="AB3">
        <v>1.7225173148299883E-2</v>
      </c>
    </row>
    <row r="4" spans="1:28" ht="15" x14ac:dyDescent="0.2">
      <c r="A4" s="52"/>
      <c r="B4" s="52"/>
    </row>
    <row r="5" spans="1:28" ht="15" x14ac:dyDescent="0.2">
      <c r="A5" s="52"/>
      <c r="B5" s="52"/>
    </row>
    <row r="6" spans="1:28" ht="15" x14ac:dyDescent="0.2">
      <c r="A6" s="52"/>
      <c r="B6" s="52"/>
    </row>
    <row r="7" spans="1:28" ht="15" x14ac:dyDescent="0.2">
      <c r="A7" s="52"/>
      <c r="B7" s="52"/>
    </row>
    <row r="8" spans="1:28" ht="15" x14ac:dyDescent="0.2">
      <c r="A8" s="52"/>
      <c r="B8" s="52"/>
    </row>
    <row r="9" spans="1:28" ht="15" x14ac:dyDescent="0.2">
      <c r="A9" s="52"/>
      <c r="B9" s="52"/>
    </row>
    <row r="10" spans="1:28" ht="15" x14ac:dyDescent="0.2">
      <c r="A10" s="52"/>
      <c r="B10" s="52"/>
    </row>
    <row r="11" spans="1:28" ht="15" x14ac:dyDescent="0.2">
      <c r="A11" s="52"/>
      <c r="B11" s="52"/>
    </row>
    <row r="12" spans="1:28" ht="15" x14ac:dyDescent="0.2">
      <c r="A12" s="52"/>
      <c r="B12" s="52"/>
    </row>
    <row r="13" spans="1:28" ht="15" x14ac:dyDescent="0.2">
      <c r="A13" s="52"/>
      <c r="B13" s="52"/>
    </row>
    <row r="14" spans="1:28" ht="15" x14ac:dyDescent="0.2">
      <c r="A14" s="52"/>
      <c r="B14" s="52"/>
    </row>
    <row r="15" spans="1:28" ht="15" x14ac:dyDescent="0.2">
      <c r="A15" s="52"/>
      <c r="B15" s="52"/>
    </row>
    <row r="16" spans="1:28" ht="15" x14ac:dyDescent="0.2">
      <c r="A16" s="52"/>
      <c r="B16" s="52"/>
    </row>
    <row r="17" spans="1:2" ht="15" x14ac:dyDescent="0.2">
      <c r="A17" s="52"/>
      <c r="B17" s="52"/>
    </row>
    <row r="18" spans="1:2" ht="15" x14ac:dyDescent="0.2">
      <c r="A18" s="52"/>
      <c r="B18" s="52"/>
    </row>
    <row r="19" spans="1:2" ht="15" x14ac:dyDescent="0.2">
      <c r="A19" s="52"/>
      <c r="B19" s="52"/>
    </row>
    <row r="20" spans="1:2" ht="15" x14ac:dyDescent="0.2">
      <c r="A20" s="52"/>
      <c r="B20" s="52"/>
    </row>
    <row r="21" spans="1:2" ht="15" x14ac:dyDescent="0.2">
      <c r="A21" s="52"/>
      <c r="B21" s="52"/>
    </row>
    <row r="22" spans="1:2" ht="15" x14ac:dyDescent="0.2">
      <c r="A22" s="52"/>
      <c r="B22" s="52"/>
    </row>
    <row r="23" spans="1:2" ht="15" x14ac:dyDescent="0.2">
      <c r="A23" s="52"/>
      <c r="B23" s="52"/>
    </row>
    <row r="24" spans="1:2" ht="15" x14ac:dyDescent="0.2">
      <c r="A24" s="52"/>
      <c r="B24" s="52"/>
    </row>
    <row r="25" spans="1:2" ht="15" x14ac:dyDescent="0.2">
      <c r="A25" s="52"/>
      <c r="B25" s="52"/>
    </row>
    <row r="26" spans="1:2" ht="15" x14ac:dyDescent="0.2">
      <c r="A26" s="52"/>
      <c r="B26" s="52"/>
    </row>
    <row r="27" spans="1:2" ht="15" x14ac:dyDescent="0.2">
      <c r="A27" s="52"/>
      <c r="B27" s="52"/>
    </row>
    <row r="28" spans="1:2" ht="15" x14ac:dyDescent="0.2">
      <c r="A28" s="52"/>
      <c r="B28" s="52"/>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64A2"/>
    <pageSetUpPr fitToPage="1"/>
  </sheetPr>
  <dimension ref="A1:F22"/>
  <sheetViews>
    <sheetView showGridLines="0" zoomScale="90" zoomScaleNormal="90" workbookViewId="0">
      <pane ySplit="4" topLeftCell="A5" activePane="bottomLeft" state="frozen"/>
      <selection pane="bottomLeft"/>
    </sheetView>
  </sheetViews>
  <sheetFormatPr defaultColWidth="8.7109375" defaultRowHeight="15" customHeight="1" x14ac:dyDescent="0.2"/>
  <cols>
    <col min="1" max="2" width="42" customWidth="1"/>
    <col min="3" max="3" width="22.42578125" customWidth="1"/>
    <col min="4" max="5" width="42" customWidth="1"/>
    <col min="6" max="6" width="10" customWidth="1"/>
  </cols>
  <sheetData>
    <row r="1" spans="1:6" ht="24" customHeight="1" x14ac:dyDescent="0.2">
      <c r="A1" s="37" t="s">
        <v>675</v>
      </c>
      <c r="B1" s="49"/>
      <c r="C1" s="49"/>
      <c r="D1" s="49"/>
      <c r="E1" s="49"/>
    </row>
    <row r="2" spans="1:6" ht="15" customHeight="1" x14ac:dyDescent="0.2">
      <c r="A2" s="17"/>
      <c r="B2" s="17"/>
      <c r="C2" s="17"/>
      <c r="D2" s="17"/>
      <c r="E2" s="17"/>
      <c r="F2" s="10" t="s">
        <v>86</v>
      </c>
    </row>
    <row r="3" spans="1:6" ht="15" customHeight="1" x14ac:dyDescent="0.2">
      <c r="A3" s="30" t="s">
        <v>676</v>
      </c>
      <c r="B3" s="30" t="s">
        <v>399</v>
      </c>
      <c r="C3" s="30" t="s">
        <v>400</v>
      </c>
      <c r="D3" s="30" t="s">
        <v>401</v>
      </c>
      <c r="E3" s="30" t="s">
        <v>402</v>
      </c>
    </row>
    <row r="4" spans="1:6" ht="41.25" customHeight="1" x14ac:dyDescent="0.2">
      <c r="A4" s="50" t="s">
        <v>677</v>
      </c>
      <c r="B4" s="60" t="s">
        <v>678</v>
      </c>
      <c r="C4" s="50" t="s">
        <v>679</v>
      </c>
      <c r="D4" s="60" t="s">
        <v>597</v>
      </c>
      <c r="E4" s="60" t="s">
        <v>680</v>
      </c>
    </row>
    <row r="5" spans="1:6" ht="27.75" customHeight="1" x14ac:dyDescent="0.2">
      <c r="A5" s="50" t="s">
        <v>681</v>
      </c>
      <c r="B5" s="60" t="s">
        <v>682</v>
      </c>
      <c r="C5" s="50" t="s">
        <v>683</v>
      </c>
      <c r="D5" s="60" t="s">
        <v>597</v>
      </c>
      <c r="E5" s="60" t="s">
        <v>684</v>
      </c>
    </row>
    <row r="6" spans="1:6" ht="41.25" customHeight="1" x14ac:dyDescent="0.2">
      <c r="A6" s="30" t="s">
        <v>685</v>
      </c>
      <c r="B6" s="17" t="s">
        <v>686</v>
      </c>
      <c r="C6" s="30" t="s">
        <v>405</v>
      </c>
      <c r="D6" s="17" t="s">
        <v>406</v>
      </c>
      <c r="E6" s="17" t="s">
        <v>687</v>
      </c>
    </row>
    <row r="7" spans="1:6" ht="41.25" customHeight="1" x14ac:dyDescent="0.2">
      <c r="A7" s="30" t="s">
        <v>688</v>
      </c>
      <c r="B7" s="17" t="s">
        <v>689</v>
      </c>
      <c r="C7" s="30" t="s">
        <v>405</v>
      </c>
      <c r="D7" s="17" t="s">
        <v>406</v>
      </c>
      <c r="E7" s="17" t="s">
        <v>690</v>
      </c>
    </row>
    <row r="8" spans="1:6" ht="41.25" customHeight="1" x14ac:dyDescent="0.2">
      <c r="A8" s="30" t="s">
        <v>691</v>
      </c>
      <c r="B8" s="17" t="s">
        <v>692</v>
      </c>
      <c r="C8" s="30" t="s">
        <v>405</v>
      </c>
      <c r="D8" s="17" t="s">
        <v>406</v>
      </c>
      <c r="E8" s="17" t="s">
        <v>693</v>
      </c>
    </row>
    <row r="9" spans="1:6" ht="27.75" customHeight="1" x14ac:dyDescent="0.2">
      <c r="A9" s="30" t="s">
        <v>694</v>
      </c>
      <c r="B9" s="17" t="s">
        <v>695</v>
      </c>
      <c r="C9" s="30" t="s">
        <v>696</v>
      </c>
      <c r="D9" s="17" t="s">
        <v>697</v>
      </c>
      <c r="E9" s="17" t="s">
        <v>698</v>
      </c>
    </row>
    <row r="10" spans="1:6" ht="41.25" customHeight="1" x14ac:dyDescent="0.2">
      <c r="A10" s="30" t="s">
        <v>699</v>
      </c>
      <c r="B10" s="17" t="s">
        <v>700</v>
      </c>
      <c r="C10" s="30" t="s">
        <v>701</v>
      </c>
      <c r="D10" s="17" t="s">
        <v>702</v>
      </c>
      <c r="E10" s="17" t="s">
        <v>703</v>
      </c>
    </row>
    <row r="11" spans="1:6" ht="15" customHeight="1" x14ac:dyDescent="0.2">
      <c r="A11" s="17"/>
      <c r="B11" s="17"/>
      <c r="C11" s="17"/>
      <c r="D11" s="17"/>
      <c r="E11" s="17"/>
    </row>
    <row r="12" spans="1:6" ht="15" customHeight="1" x14ac:dyDescent="0.2">
      <c r="A12" s="17"/>
      <c r="B12" s="17"/>
      <c r="C12" s="17"/>
      <c r="D12" s="17"/>
      <c r="E12" s="17"/>
    </row>
    <row r="13" spans="1:6" ht="15" customHeight="1" x14ac:dyDescent="0.2">
      <c r="A13" s="30" t="s">
        <v>704</v>
      </c>
      <c r="B13" s="17"/>
      <c r="C13" s="17"/>
      <c r="D13" s="17"/>
      <c r="E13" s="17"/>
    </row>
    <row r="14" spans="1:6" ht="283.5" customHeight="1" x14ac:dyDescent="0.2">
      <c r="A14" s="17" t="s">
        <v>705</v>
      </c>
      <c r="B14" s="17"/>
      <c r="C14" s="17"/>
      <c r="D14" s="17"/>
      <c r="E14" s="17"/>
    </row>
    <row r="15" spans="1:6" ht="15" customHeight="1" x14ac:dyDescent="0.2">
      <c r="A15" s="17"/>
      <c r="B15" s="17"/>
      <c r="C15" s="17"/>
      <c r="D15" s="17"/>
      <c r="E15" s="17"/>
    </row>
    <row r="16" spans="1:6" ht="15" customHeight="1" x14ac:dyDescent="0.2">
      <c r="A16" s="30" t="s">
        <v>706</v>
      </c>
      <c r="B16" s="17"/>
      <c r="C16" s="17"/>
      <c r="D16" s="17"/>
      <c r="E16" s="17"/>
    </row>
    <row r="17" spans="1:5" ht="122.25" customHeight="1" x14ac:dyDescent="0.2">
      <c r="A17" s="17" t="s">
        <v>707</v>
      </c>
      <c r="B17" s="17"/>
      <c r="C17" s="17"/>
      <c r="D17" s="17"/>
      <c r="E17" s="17"/>
    </row>
    <row r="18" spans="1:5" ht="15" customHeight="1" x14ac:dyDescent="0.2">
      <c r="A18" s="17"/>
      <c r="B18" s="17"/>
      <c r="C18" s="17"/>
      <c r="D18" s="17"/>
      <c r="E18" s="17"/>
    </row>
    <row r="19" spans="1:5" ht="15" customHeight="1" x14ac:dyDescent="0.2">
      <c r="A19" s="30" t="s">
        <v>596</v>
      </c>
      <c r="B19" s="17"/>
      <c r="C19" s="17"/>
      <c r="D19" s="17"/>
      <c r="E19" s="17"/>
    </row>
    <row r="20" spans="1:5" ht="15" customHeight="1" x14ac:dyDescent="0.2">
      <c r="A20" s="30" t="s">
        <v>708</v>
      </c>
      <c r="B20" s="17" t="s">
        <v>597</v>
      </c>
      <c r="C20" s="17"/>
      <c r="D20" s="17"/>
      <c r="E20" s="17"/>
    </row>
    <row r="21" spans="1:5" ht="15" customHeight="1" x14ac:dyDescent="0.2">
      <c r="A21" s="30" t="s">
        <v>405</v>
      </c>
      <c r="B21" s="17" t="s">
        <v>406</v>
      </c>
      <c r="C21" s="17"/>
      <c r="D21" s="17"/>
      <c r="E21" s="17"/>
    </row>
    <row r="22" spans="1:5" ht="15" customHeight="1" x14ac:dyDescent="0.2">
      <c r="A22" s="30" t="s">
        <v>709</v>
      </c>
      <c r="B22" s="17" t="s">
        <v>702</v>
      </c>
      <c r="C22" s="17"/>
      <c r="D22" s="17"/>
      <c r="E22" s="17"/>
    </row>
  </sheetData>
  <hyperlinks>
    <hyperlink ref="F2" r:id="rId1" location="'Dashboard'!A1" xr:uid="{00000000-0004-0000-1A00-000000000000}"/>
  </hyperlink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Dashboard</vt:lpstr>
      <vt:lpstr>Project Guide</vt:lpstr>
      <vt:lpstr>Raw Data</vt:lpstr>
      <vt:lpstr>Clean Data</vt:lpstr>
      <vt:lpstr>Data Quality Check</vt:lpstr>
      <vt:lpstr>Category Mapping</vt:lpstr>
      <vt:lpstr>Q1 Analysis</vt:lpstr>
      <vt:lpstr>Q1 Calculation</vt:lpstr>
      <vt:lpstr>Q1 Contribution</vt:lpstr>
      <vt:lpstr>Q1 Pivot</vt:lpstr>
      <vt:lpstr>Q1 Visualization</vt:lpstr>
      <vt:lpstr>Q2 Calculation</vt:lpstr>
      <vt:lpstr>Q2 Monthly Data</vt:lpstr>
      <vt:lpstr>Q2 Visualization</vt:lpstr>
      <vt:lpstr>Q2 Research</vt:lpstr>
      <vt:lpstr>Q3 Calculation</vt:lpstr>
      <vt:lpstr>Q3 Pivot</vt:lpstr>
      <vt:lpstr>Q3 Visualization</vt:lpstr>
      <vt:lpstr>Q4 Calculation</vt:lpstr>
      <vt:lpstr>Q4 Pivot</vt:lpstr>
      <vt:lpstr>Q4 Visualization</vt:lpstr>
      <vt:lpstr>Q4 Research</vt:lpstr>
      <vt:lpstr>Q5 Oil Data</vt:lpstr>
      <vt:lpstr>Q5 Calculation</vt:lpstr>
      <vt:lpstr>Q5 Pivot</vt:lpstr>
      <vt:lpstr>Q5 Visualization</vt:lpstr>
      <vt:lpstr>Sheet1</vt:lpstr>
      <vt:lpstr>Q5 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soni</cp:lastModifiedBy>
  <cp:revision>0</cp:revision>
  <dcterms:created xsi:type="dcterms:W3CDTF">2026-09-02T06:27:10Z</dcterms:created>
  <dcterms:modified xsi:type="dcterms:W3CDTF">2026-09-19T08:55:13Z</dcterms:modified>
  <dc:language>en-US</dc:language>
</cp:coreProperties>
</file>